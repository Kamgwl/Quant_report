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20" yWindow="-120" windowWidth="21480" windowHeight="6690"/>
  </bookViews>
  <sheets>
    <sheet name="OCT-2026" sheetId="44" r:id="rId1"/>
    <sheet name="FY-(26-27)Q3" sheetId="45" r:id="rId2"/>
    <sheet name="SEP-2026" sheetId="43" r:id="rId3"/>
    <sheet name="AUG-2026" sheetId="42" r:id="rId4"/>
    <sheet name="JULY-2026" sheetId="39" r:id="rId5"/>
    <sheet name="FY-(26-27)Q2" sheetId="41" r:id="rId6"/>
    <sheet name="JUNE-2026" sheetId="38" r:id="rId7"/>
    <sheet name="MAY-2026" sheetId="37" r:id="rId8"/>
    <sheet name="APR-2026" sheetId="36" r:id="rId9"/>
    <sheet name="FY-(26-27)Q1" sheetId="32" r:id="rId10"/>
  </sheets>
  <externalReferences>
    <externalReference r:id="rId11"/>
    <externalReference r:id="rId12"/>
  </externalReferences>
  <calcPr calcId="144525"/>
</workbook>
</file>

<file path=xl/calcChain.xml><?xml version="1.0" encoding="utf-8"?>
<calcChain xmlns="http://schemas.openxmlformats.org/spreadsheetml/2006/main">
  <c r="X60" i="44" l="1"/>
  <c r="X54" i="44"/>
  <c r="Z58" i="44"/>
  <c r="Z59" i="44"/>
  <c r="W60" i="44"/>
  <c r="W54" i="44"/>
  <c r="V60" i="44" l="1"/>
  <c r="V54" i="44"/>
  <c r="M10" i="32" l="1"/>
  <c r="N10" i="32"/>
  <c r="M11" i="32"/>
  <c r="N11" i="32"/>
  <c r="P82" i="32"/>
  <c r="M82" i="32"/>
  <c r="K82" i="32"/>
  <c r="I82" i="32"/>
  <c r="G82" i="32"/>
  <c r="U60" i="44"/>
  <c r="U54" i="44"/>
  <c r="Z5" i="44"/>
  <c r="AA5" i="44" s="1"/>
  <c r="H5" i="45" s="1"/>
  <c r="Z6" i="44"/>
  <c r="AA6" i="44" s="1"/>
  <c r="H6" i="45" s="1"/>
  <c r="Z7" i="44"/>
  <c r="AA7" i="44" s="1"/>
  <c r="H7" i="45" s="1"/>
  <c r="Z8" i="44"/>
  <c r="AA8" i="44" s="1"/>
  <c r="H8" i="45" s="1"/>
  <c r="Z9" i="44"/>
  <c r="AA9" i="44" s="1"/>
  <c r="H9" i="45" s="1"/>
  <c r="Z10" i="44"/>
  <c r="AA10" i="44" s="1"/>
  <c r="Z11" i="44"/>
  <c r="AA11" i="44" s="1"/>
  <c r="Z12" i="44"/>
  <c r="AA12" i="44" s="1"/>
  <c r="H12" i="45" s="1"/>
  <c r="Z13" i="44"/>
  <c r="AA13" i="44" s="1"/>
  <c r="Z14" i="44"/>
  <c r="AA14" i="44" s="1"/>
  <c r="Z15" i="44"/>
  <c r="AA15" i="44" s="1"/>
  <c r="H14" i="45" s="1"/>
  <c r="Z16" i="44"/>
  <c r="AA16" i="44" s="1"/>
  <c r="Z17" i="44"/>
  <c r="AA17" i="44" s="1"/>
  <c r="H17" i="45" s="1"/>
  <c r="Z18" i="44"/>
  <c r="AA18" i="44" s="1"/>
  <c r="H21" i="45" s="1"/>
  <c r="Z19" i="44"/>
  <c r="AA19" i="44" s="1"/>
  <c r="Z20" i="44"/>
  <c r="AA20" i="44" s="1"/>
  <c r="Z21" i="44"/>
  <c r="AA21" i="44" s="1"/>
  <c r="Z22" i="44"/>
  <c r="AA22" i="44" s="1"/>
  <c r="Z23" i="44"/>
  <c r="AA23" i="44" s="1"/>
  <c r="H22" i="45" s="1"/>
  <c r="Z24" i="44"/>
  <c r="AA24" i="44" s="1"/>
  <c r="H23" i="45" s="1"/>
  <c r="Z25" i="44"/>
  <c r="AA25" i="44" s="1"/>
  <c r="H24" i="45" s="1"/>
  <c r="Z26" i="44"/>
  <c r="AA26" i="44" s="1"/>
  <c r="H25" i="45" s="1"/>
  <c r="Z27" i="44"/>
  <c r="AA27" i="44" s="1"/>
  <c r="H26" i="45" s="1"/>
  <c r="Z28" i="44"/>
  <c r="AA28" i="44" s="1"/>
  <c r="Z29" i="44"/>
  <c r="AA29" i="44" s="1"/>
  <c r="H28" i="45" s="1"/>
  <c r="Z30" i="44"/>
  <c r="AA30" i="44" s="1"/>
  <c r="H29" i="45" s="1"/>
  <c r="Z31" i="44"/>
  <c r="AA31" i="44" s="1"/>
  <c r="H30" i="45" s="1"/>
  <c r="Z32" i="44"/>
  <c r="AA32" i="44" s="1"/>
  <c r="H31" i="45" s="1"/>
  <c r="Z33" i="44"/>
  <c r="AA33" i="44" s="1"/>
  <c r="H32" i="45" s="1"/>
  <c r="Z34" i="44"/>
  <c r="AA34" i="44" s="1"/>
  <c r="H33" i="45" s="1"/>
  <c r="Z35" i="44"/>
  <c r="AA35" i="44" s="1"/>
  <c r="H34" i="45" s="1"/>
  <c r="Z36" i="44"/>
  <c r="AA36" i="44" s="1"/>
  <c r="H35" i="45" s="1"/>
  <c r="Z37" i="44"/>
  <c r="AA37" i="44" s="1"/>
  <c r="H36" i="45" s="1"/>
  <c r="Z38" i="44"/>
  <c r="AA38" i="44" s="1"/>
  <c r="Z39" i="44"/>
  <c r="AA39" i="44" s="1"/>
  <c r="Z40" i="44"/>
  <c r="AA40" i="44" s="1"/>
  <c r="Z41" i="44"/>
  <c r="AA41" i="44" s="1"/>
  <c r="Z42" i="44"/>
  <c r="AA42" i="44" s="1"/>
  <c r="H41" i="45" s="1"/>
  <c r="Z43" i="44"/>
  <c r="AA43" i="44" s="1"/>
  <c r="Z44" i="44"/>
  <c r="AA44" i="44" s="1"/>
  <c r="Z45" i="44"/>
  <c r="AA45" i="44" s="1"/>
  <c r="Z46" i="44"/>
  <c r="AA46" i="44" s="1"/>
  <c r="Z47" i="44"/>
  <c r="AA47" i="44" s="1"/>
  <c r="Z48" i="44"/>
  <c r="AA48" i="44" s="1"/>
  <c r="Z49" i="44"/>
  <c r="AA49" i="44" s="1"/>
  <c r="Z50" i="44"/>
  <c r="AA50" i="44" s="1"/>
  <c r="Z51" i="44"/>
  <c r="AA51" i="44" s="1"/>
  <c r="Z52" i="44"/>
  <c r="AA52" i="44" s="1"/>
  <c r="Z53" i="44"/>
  <c r="AA53" i="44" s="1"/>
  <c r="P10" i="32"/>
  <c r="Q10" i="32"/>
  <c r="T10" i="32"/>
  <c r="Z10" i="32" s="1"/>
  <c r="P11" i="32"/>
  <c r="Q11" i="32"/>
  <c r="T11" i="32"/>
  <c r="I54" i="44"/>
  <c r="J54" i="44"/>
  <c r="K54" i="44"/>
  <c r="L54" i="44"/>
  <c r="M54" i="44"/>
  <c r="N54" i="44"/>
  <c r="O54" i="44"/>
  <c r="P54" i="44"/>
  <c r="Q54" i="44"/>
  <c r="R54" i="44"/>
  <c r="S54" i="44"/>
  <c r="T54" i="44"/>
  <c r="T7" i="32"/>
  <c r="S8" i="32"/>
  <c r="T8" i="32"/>
  <c r="T9" i="32"/>
  <c r="T12" i="32"/>
  <c r="T13" i="32"/>
  <c r="T14" i="32"/>
  <c r="T15" i="32"/>
  <c r="S16" i="32"/>
  <c r="T16" i="32"/>
  <c r="S17" i="32"/>
  <c r="T17" i="32"/>
  <c r="S18" i="32"/>
  <c r="T18" i="32"/>
  <c r="S19" i="32"/>
  <c r="T19" i="32"/>
  <c r="T20" i="32"/>
  <c r="T21" i="32"/>
  <c r="S22" i="32"/>
  <c r="T22" i="32"/>
  <c r="T23" i="32"/>
  <c r="T24" i="32"/>
  <c r="S25" i="32"/>
  <c r="T25" i="32"/>
  <c r="T26" i="32"/>
  <c r="S27" i="32"/>
  <c r="T27" i="32"/>
  <c r="S28" i="32"/>
  <c r="T28" i="32"/>
  <c r="S29" i="32"/>
  <c r="T29" i="32"/>
  <c r="T30" i="32"/>
  <c r="T31" i="32"/>
  <c r="T32" i="32"/>
  <c r="S33" i="32"/>
  <c r="T33" i="32"/>
  <c r="T34" i="32"/>
  <c r="S35" i="32"/>
  <c r="T35" i="32"/>
  <c r="T36" i="32"/>
  <c r="S37" i="32"/>
  <c r="T37" i="32"/>
  <c r="T38" i="32"/>
  <c r="T39" i="32"/>
  <c r="T40" i="32"/>
  <c r="T41" i="32"/>
  <c r="T42" i="32"/>
  <c r="S43" i="32"/>
  <c r="T43" i="32"/>
  <c r="S44" i="32"/>
  <c r="T44" i="32"/>
  <c r="S45" i="32"/>
  <c r="T45" i="32"/>
  <c r="S46" i="32"/>
  <c r="T46" i="32"/>
  <c r="S47" i="32"/>
  <c r="T47" i="32"/>
  <c r="T48" i="32"/>
  <c r="T49" i="32"/>
  <c r="T50" i="32"/>
  <c r="T51" i="32"/>
  <c r="S52" i="32"/>
  <c r="T52" i="32"/>
  <c r="T53" i="32"/>
  <c r="S54" i="32"/>
  <c r="T54" i="32"/>
  <c r="S55" i="32"/>
  <c r="T55" i="32"/>
  <c r="T56" i="32"/>
  <c r="T57" i="32"/>
  <c r="T58" i="32"/>
  <c r="T59" i="32"/>
  <c r="T60" i="32"/>
  <c r="S61" i="32"/>
  <c r="T61" i="32"/>
  <c r="S62" i="32"/>
  <c r="T62" i="32"/>
  <c r="T63" i="32"/>
  <c r="T64" i="32"/>
  <c r="T65" i="32"/>
  <c r="T66" i="32"/>
  <c r="T67" i="32"/>
  <c r="T68" i="32"/>
  <c r="T69" i="32"/>
  <c r="T70" i="32"/>
  <c r="T71" i="32"/>
  <c r="S72" i="32"/>
  <c r="T72" i="32"/>
  <c r="T73" i="32"/>
  <c r="S74" i="32"/>
  <c r="T74" i="32"/>
  <c r="T75" i="32"/>
  <c r="T76" i="32"/>
  <c r="T77" i="32"/>
  <c r="T78" i="32"/>
  <c r="S79" i="32"/>
  <c r="T79" i="32"/>
  <c r="T80" i="32"/>
  <c r="T81" i="32"/>
  <c r="G6" i="45"/>
  <c r="G7" i="45"/>
  <c r="G8" i="45"/>
  <c r="G12" i="45"/>
  <c r="G14" i="45"/>
  <c r="G21" i="45"/>
  <c r="G22" i="45"/>
  <c r="G25" i="45"/>
  <c r="G29" i="45"/>
  <c r="G30" i="45"/>
  <c r="G34" i="45"/>
  <c r="G35" i="45"/>
  <c r="G41" i="45"/>
  <c r="M41" i="45" s="1"/>
  <c r="G44" i="45"/>
  <c r="H44" i="45"/>
  <c r="G48" i="45"/>
  <c r="H48" i="45"/>
  <c r="I41" i="45"/>
  <c r="J41" i="45"/>
  <c r="K41" i="45"/>
  <c r="L41" i="45"/>
  <c r="S5" i="32"/>
  <c r="T5" i="32"/>
  <c r="T6" i="32"/>
  <c r="P5" i="32"/>
  <c r="Q5" i="32"/>
  <c r="P6" i="32"/>
  <c r="Q6" i="32"/>
  <c r="P7" i="32"/>
  <c r="Q7" i="32"/>
  <c r="P8" i="32"/>
  <c r="Q8" i="32"/>
  <c r="P9" i="32"/>
  <c r="Q9" i="32"/>
  <c r="P12" i="32"/>
  <c r="Q12" i="32"/>
  <c r="P13" i="32"/>
  <c r="Q13" i="32"/>
  <c r="P14" i="32"/>
  <c r="Q14" i="32"/>
  <c r="P15" i="32"/>
  <c r="Q15" i="32"/>
  <c r="P16" i="32"/>
  <c r="Q16" i="32"/>
  <c r="P17" i="32"/>
  <c r="Q17" i="32"/>
  <c r="P18" i="32"/>
  <c r="Q18" i="32"/>
  <c r="P19" i="32"/>
  <c r="Q19" i="32"/>
  <c r="P20" i="32"/>
  <c r="Q20" i="32"/>
  <c r="P21" i="32"/>
  <c r="Q21" i="32"/>
  <c r="P22" i="32"/>
  <c r="Q22" i="32"/>
  <c r="P23" i="32"/>
  <c r="Q23" i="32"/>
  <c r="P24" i="32"/>
  <c r="Q24" i="32"/>
  <c r="P25" i="32"/>
  <c r="Q25" i="32"/>
  <c r="P26" i="32"/>
  <c r="Q26" i="32"/>
  <c r="P27" i="32"/>
  <c r="Q27" i="32"/>
  <c r="P28" i="32"/>
  <c r="Q28" i="32"/>
  <c r="P29" i="32"/>
  <c r="Q29" i="32"/>
  <c r="P30" i="32"/>
  <c r="Q30" i="32"/>
  <c r="P31" i="32"/>
  <c r="Q31" i="32"/>
  <c r="P32" i="32"/>
  <c r="Q32" i="32"/>
  <c r="P33" i="32"/>
  <c r="Q33" i="32"/>
  <c r="P34" i="32"/>
  <c r="Q34" i="32"/>
  <c r="P35" i="32"/>
  <c r="Q35" i="32"/>
  <c r="P36" i="32"/>
  <c r="Q36" i="32"/>
  <c r="P37" i="32"/>
  <c r="Q37" i="32"/>
  <c r="P38" i="32"/>
  <c r="Q38" i="32"/>
  <c r="P39" i="32"/>
  <c r="Q39" i="32"/>
  <c r="P40" i="32"/>
  <c r="Q40" i="32"/>
  <c r="P41" i="32"/>
  <c r="Q41" i="32"/>
  <c r="P42" i="32"/>
  <c r="Q42" i="32"/>
  <c r="P43" i="32"/>
  <c r="Q43" i="32"/>
  <c r="P44" i="32"/>
  <c r="Q44" i="32"/>
  <c r="P45" i="32"/>
  <c r="Q45" i="32"/>
  <c r="P46" i="32"/>
  <c r="Q46" i="32"/>
  <c r="P47" i="32"/>
  <c r="Q47" i="32"/>
  <c r="P48" i="32"/>
  <c r="Q48" i="32"/>
  <c r="P49" i="32"/>
  <c r="Q49" i="32"/>
  <c r="P50" i="32"/>
  <c r="Q50" i="32"/>
  <c r="P51" i="32"/>
  <c r="Q51" i="32"/>
  <c r="P52" i="32"/>
  <c r="Q52" i="32"/>
  <c r="P53" i="32"/>
  <c r="Q53" i="32"/>
  <c r="P54" i="32"/>
  <c r="Q54" i="32"/>
  <c r="P55" i="32"/>
  <c r="Q55" i="32"/>
  <c r="P56" i="32"/>
  <c r="Q56" i="32"/>
  <c r="P57" i="32"/>
  <c r="Q57" i="32"/>
  <c r="P58" i="32"/>
  <c r="Q58" i="32"/>
  <c r="P59" i="32"/>
  <c r="Q59" i="32"/>
  <c r="P60" i="32"/>
  <c r="Q60" i="32"/>
  <c r="P61" i="32"/>
  <c r="Q61" i="32"/>
  <c r="P62" i="32"/>
  <c r="Q62" i="32"/>
  <c r="P63" i="32"/>
  <c r="Q63" i="32"/>
  <c r="P64" i="32"/>
  <c r="Q64" i="32"/>
  <c r="P65" i="32"/>
  <c r="Q65" i="32"/>
  <c r="P66" i="32"/>
  <c r="Q66" i="32"/>
  <c r="P67" i="32"/>
  <c r="Q67" i="32"/>
  <c r="P68" i="32"/>
  <c r="Q68" i="32"/>
  <c r="P69" i="32"/>
  <c r="Q69" i="32"/>
  <c r="P70" i="32"/>
  <c r="Q70" i="32"/>
  <c r="P71" i="32"/>
  <c r="Q71" i="32"/>
  <c r="P72" i="32"/>
  <c r="Q72" i="32"/>
  <c r="P73" i="32"/>
  <c r="Q73" i="32"/>
  <c r="P74" i="32"/>
  <c r="Q74" i="32"/>
  <c r="P75" i="32"/>
  <c r="Q75" i="32"/>
  <c r="P76" i="32"/>
  <c r="Q76" i="32"/>
  <c r="P77" i="32"/>
  <c r="Q77" i="32"/>
  <c r="P78" i="32"/>
  <c r="Q78" i="32"/>
  <c r="P79" i="32"/>
  <c r="Q79" i="32"/>
  <c r="P80" i="32"/>
  <c r="Q80" i="32"/>
  <c r="P81" i="32"/>
  <c r="Q81" i="32"/>
  <c r="G9" i="32"/>
  <c r="H9" i="32"/>
  <c r="I9" i="32"/>
  <c r="J9" i="32"/>
  <c r="K9" i="32"/>
  <c r="L9" i="32"/>
  <c r="G12" i="32"/>
  <c r="H12" i="32"/>
  <c r="I12" i="32"/>
  <c r="J12" i="32"/>
  <c r="K12" i="32"/>
  <c r="L12" i="32"/>
  <c r="G13" i="32"/>
  <c r="H13" i="32"/>
  <c r="I13" i="32"/>
  <c r="J13" i="32"/>
  <c r="K13" i="32"/>
  <c r="L13" i="32"/>
  <c r="G14" i="32"/>
  <c r="H14" i="32"/>
  <c r="I14" i="32"/>
  <c r="J14" i="32"/>
  <c r="K14" i="32"/>
  <c r="L14" i="32"/>
  <c r="G15" i="32"/>
  <c r="H15" i="32"/>
  <c r="I15" i="32"/>
  <c r="J15" i="32"/>
  <c r="K15" i="32"/>
  <c r="L15" i="32"/>
  <c r="G16" i="32"/>
  <c r="H16" i="32"/>
  <c r="I16" i="32"/>
  <c r="J16" i="32"/>
  <c r="K16" i="32"/>
  <c r="L16" i="32"/>
  <c r="G17" i="32"/>
  <c r="H17" i="32"/>
  <c r="I17" i="32"/>
  <c r="J17" i="32"/>
  <c r="K17" i="32"/>
  <c r="L17" i="32"/>
  <c r="G18" i="32"/>
  <c r="H18" i="32"/>
  <c r="I18" i="32"/>
  <c r="J18" i="32"/>
  <c r="K18" i="32"/>
  <c r="L18" i="32"/>
  <c r="G19" i="32"/>
  <c r="H19" i="32"/>
  <c r="I19" i="32"/>
  <c r="J19" i="32"/>
  <c r="K19" i="32"/>
  <c r="L19" i="32"/>
  <c r="G20" i="32"/>
  <c r="H20" i="32"/>
  <c r="I20" i="32"/>
  <c r="J20" i="32"/>
  <c r="K20" i="32"/>
  <c r="L20" i="32"/>
  <c r="G21" i="32"/>
  <c r="H21" i="32"/>
  <c r="I21" i="32"/>
  <c r="J21" i="32"/>
  <c r="K21" i="32"/>
  <c r="L21" i="32"/>
  <c r="G22" i="32"/>
  <c r="H22" i="32"/>
  <c r="I22" i="32"/>
  <c r="J22" i="32"/>
  <c r="K22" i="32"/>
  <c r="L22" i="32"/>
  <c r="G23" i="32"/>
  <c r="H23" i="32"/>
  <c r="I23" i="32"/>
  <c r="J23" i="32"/>
  <c r="K23" i="32"/>
  <c r="L23" i="32"/>
  <c r="G24" i="32"/>
  <c r="H24" i="32"/>
  <c r="I24" i="32"/>
  <c r="J24" i="32"/>
  <c r="K24" i="32"/>
  <c r="L24" i="32"/>
  <c r="G25" i="32"/>
  <c r="H25" i="32"/>
  <c r="I25" i="32"/>
  <c r="J25" i="32"/>
  <c r="K25" i="32"/>
  <c r="L25" i="32"/>
  <c r="G26" i="32"/>
  <c r="H26" i="32"/>
  <c r="I26" i="32"/>
  <c r="J26" i="32"/>
  <c r="K26" i="32"/>
  <c r="L26" i="32"/>
  <c r="G27" i="32"/>
  <c r="H27" i="32"/>
  <c r="I27" i="32"/>
  <c r="J27" i="32"/>
  <c r="K27" i="32"/>
  <c r="L27" i="32"/>
  <c r="G28" i="32"/>
  <c r="H28" i="32"/>
  <c r="I28" i="32"/>
  <c r="J28" i="32"/>
  <c r="K28" i="32"/>
  <c r="L28" i="32"/>
  <c r="G29" i="32"/>
  <c r="H29" i="32"/>
  <c r="I29" i="32"/>
  <c r="J29" i="32"/>
  <c r="K29" i="32"/>
  <c r="L29" i="32"/>
  <c r="G30" i="32"/>
  <c r="H30" i="32"/>
  <c r="I30" i="32"/>
  <c r="J30" i="32"/>
  <c r="K30" i="32"/>
  <c r="L30" i="32"/>
  <c r="G31" i="32"/>
  <c r="H31" i="32"/>
  <c r="I31" i="32"/>
  <c r="J31" i="32"/>
  <c r="K31" i="32"/>
  <c r="L31" i="32"/>
  <c r="G32" i="32"/>
  <c r="H32" i="32"/>
  <c r="I32" i="32"/>
  <c r="J32" i="32"/>
  <c r="K32" i="32"/>
  <c r="L32" i="32"/>
  <c r="G33" i="32"/>
  <c r="H33" i="32"/>
  <c r="I33" i="32"/>
  <c r="J33" i="32"/>
  <c r="K33" i="32"/>
  <c r="L33" i="32"/>
  <c r="G34" i="32"/>
  <c r="H34" i="32"/>
  <c r="I34" i="32"/>
  <c r="J34" i="32"/>
  <c r="K34" i="32"/>
  <c r="L34" i="32"/>
  <c r="G35" i="32"/>
  <c r="H35" i="32"/>
  <c r="I35" i="32"/>
  <c r="J35" i="32"/>
  <c r="K35" i="32"/>
  <c r="L35" i="32"/>
  <c r="G36" i="32"/>
  <c r="H36" i="32"/>
  <c r="I36" i="32"/>
  <c r="J36" i="32"/>
  <c r="K36" i="32"/>
  <c r="L36" i="32"/>
  <c r="G37" i="32"/>
  <c r="H37" i="32"/>
  <c r="I37" i="32"/>
  <c r="J37" i="32"/>
  <c r="K37" i="32"/>
  <c r="L37" i="32"/>
  <c r="G38" i="32"/>
  <c r="H38" i="32"/>
  <c r="I38" i="32"/>
  <c r="J38" i="32"/>
  <c r="K38" i="32"/>
  <c r="L38" i="32"/>
  <c r="G39" i="32"/>
  <c r="H39" i="32"/>
  <c r="I39" i="32"/>
  <c r="J39" i="32"/>
  <c r="K39" i="32"/>
  <c r="L39" i="32"/>
  <c r="G40" i="32"/>
  <c r="H40" i="32"/>
  <c r="I40" i="32"/>
  <c r="J40" i="32"/>
  <c r="K40" i="32"/>
  <c r="L40" i="32"/>
  <c r="G41" i="32"/>
  <c r="H41" i="32"/>
  <c r="I41" i="32"/>
  <c r="J41" i="32"/>
  <c r="K41" i="32"/>
  <c r="L41" i="32"/>
  <c r="G42" i="32"/>
  <c r="H42" i="32"/>
  <c r="I42" i="32"/>
  <c r="J42" i="32"/>
  <c r="K42" i="32"/>
  <c r="L42" i="32"/>
  <c r="G43" i="32"/>
  <c r="H43" i="32"/>
  <c r="I43" i="32"/>
  <c r="J43" i="32"/>
  <c r="K43" i="32"/>
  <c r="L43" i="32"/>
  <c r="G44" i="32"/>
  <c r="H44" i="32"/>
  <c r="I44" i="32"/>
  <c r="J44" i="32"/>
  <c r="K44" i="32"/>
  <c r="L44" i="32"/>
  <c r="G45" i="32"/>
  <c r="H45" i="32"/>
  <c r="I45" i="32"/>
  <c r="J45" i="32"/>
  <c r="K45" i="32"/>
  <c r="L45" i="32"/>
  <c r="G46" i="32"/>
  <c r="H46" i="32"/>
  <c r="I46" i="32"/>
  <c r="J46" i="32"/>
  <c r="K46" i="32"/>
  <c r="L46" i="32"/>
  <c r="G47" i="32"/>
  <c r="H47" i="32"/>
  <c r="I47" i="32"/>
  <c r="J47" i="32"/>
  <c r="K47" i="32"/>
  <c r="L47" i="32"/>
  <c r="G48" i="32"/>
  <c r="H48" i="32"/>
  <c r="I48" i="32"/>
  <c r="J48" i="32"/>
  <c r="K48" i="32"/>
  <c r="L48" i="32"/>
  <c r="G49" i="32"/>
  <c r="H49" i="32"/>
  <c r="I49" i="32"/>
  <c r="J49" i="32"/>
  <c r="K49" i="32"/>
  <c r="L49" i="32"/>
  <c r="G50" i="32"/>
  <c r="H50" i="32"/>
  <c r="I50" i="32"/>
  <c r="J50" i="32"/>
  <c r="K50" i="32"/>
  <c r="L50" i="32"/>
  <c r="G51" i="32"/>
  <c r="H51" i="32"/>
  <c r="I51" i="32"/>
  <c r="J51" i="32"/>
  <c r="K51" i="32"/>
  <c r="L51" i="32"/>
  <c r="G52" i="32"/>
  <c r="H52" i="32"/>
  <c r="I52" i="32"/>
  <c r="J52" i="32"/>
  <c r="K52" i="32"/>
  <c r="L52" i="32"/>
  <c r="G53" i="32"/>
  <c r="H53" i="32"/>
  <c r="I53" i="32"/>
  <c r="J53" i="32"/>
  <c r="K53" i="32"/>
  <c r="L53" i="32"/>
  <c r="G54" i="32"/>
  <c r="H54" i="32"/>
  <c r="I54" i="32"/>
  <c r="J54" i="32"/>
  <c r="K54" i="32"/>
  <c r="L54" i="32"/>
  <c r="G55" i="32"/>
  <c r="H55" i="32"/>
  <c r="I55" i="32"/>
  <c r="J55" i="32"/>
  <c r="K55" i="32"/>
  <c r="L55" i="32"/>
  <c r="G56" i="32"/>
  <c r="H56" i="32"/>
  <c r="I56" i="32"/>
  <c r="J56" i="32"/>
  <c r="K56" i="32"/>
  <c r="L56" i="32"/>
  <c r="G57" i="32"/>
  <c r="H57" i="32"/>
  <c r="I57" i="32"/>
  <c r="J57" i="32"/>
  <c r="K57" i="32"/>
  <c r="L57" i="32"/>
  <c r="G58" i="32"/>
  <c r="H58" i="32"/>
  <c r="I58" i="32"/>
  <c r="J58" i="32"/>
  <c r="K58" i="32"/>
  <c r="L58" i="32"/>
  <c r="G59" i="32"/>
  <c r="H59" i="32"/>
  <c r="I59" i="32"/>
  <c r="J59" i="32"/>
  <c r="K59" i="32"/>
  <c r="L59" i="32"/>
  <c r="G60" i="32"/>
  <c r="H60" i="32"/>
  <c r="I60" i="32"/>
  <c r="J60" i="32"/>
  <c r="K60" i="32"/>
  <c r="L60" i="32"/>
  <c r="G61" i="32"/>
  <c r="H61" i="32"/>
  <c r="I61" i="32"/>
  <c r="J61" i="32"/>
  <c r="K61" i="32"/>
  <c r="L61" i="32"/>
  <c r="G62" i="32"/>
  <c r="H62" i="32"/>
  <c r="I62" i="32"/>
  <c r="J62" i="32"/>
  <c r="K62" i="32"/>
  <c r="L62" i="32"/>
  <c r="G63" i="32"/>
  <c r="H63" i="32"/>
  <c r="I63" i="32"/>
  <c r="J63" i="32"/>
  <c r="K63" i="32"/>
  <c r="L63" i="32"/>
  <c r="G64" i="32"/>
  <c r="H64" i="32"/>
  <c r="I64" i="32"/>
  <c r="J64" i="32"/>
  <c r="K64" i="32"/>
  <c r="L64" i="32"/>
  <c r="G65" i="32"/>
  <c r="H65" i="32"/>
  <c r="I65" i="32"/>
  <c r="J65" i="32"/>
  <c r="K65" i="32"/>
  <c r="L65" i="32"/>
  <c r="G66" i="32"/>
  <c r="H66" i="32"/>
  <c r="I66" i="32"/>
  <c r="J66" i="32"/>
  <c r="K66" i="32"/>
  <c r="L66" i="32"/>
  <c r="G67" i="32"/>
  <c r="H67" i="32"/>
  <c r="I67" i="32"/>
  <c r="J67" i="32"/>
  <c r="K67" i="32"/>
  <c r="L67" i="32"/>
  <c r="G68" i="32"/>
  <c r="H68" i="32"/>
  <c r="I68" i="32"/>
  <c r="J68" i="32"/>
  <c r="K68" i="32"/>
  <c r="L68" i="32"/>
  <c r="G69" i="32"/>
  <c r="H69" i="32"/>
  <c r="I69" i="32"/>
  <c r="J69" i="32"/>
  <c r="K69" i="32"/>
  <c r="L69" i="32"/>
  <c r="G70" i="32"/>
  <c r="H70" i="32"/>
  <c r="I70" i="32"/>
  <c r="J70" i="32"/>
  <c r="K70" i="32"/>
  <c r="L70" i="32"/>
  <c r="G71" i="32"/>
  <c r="H71" i="32"/>
  <c r="I71" i="32"/>
  <c r="J71" i="32"/>
  <c r="K71" i="32"/>
  <c r="L71" i="32"/>
  <c r="G72" i="32"/>
  <c r="H72" i="32"/>
  <c r="I72" i="32"/>
  <c r="J72" i="32"/>
  <c r="K72" i="32"/>
  <c r="L72" i="32"/>
  <c r="G73" i="32"/>
  <c r="H73" i="32"/>
  <c r="I73" i="32"/>
  <c r="J73" i="32"/>
  <c r="K73" i="32"/>
  <c r="L73" i="32"/>
  <c r="G74" i="32"/>
  <c r="H74" i="32"/>
  <c r="I74" i="32"/>
  <c r="J74" i="32"/>
  <c r="K74" i="32"/>
  <c r="L74" i="32"/>
  <c r="G75" i="32"/>
  <c r="H75" i="32"/>
  <c r="I75" i="32"/>
  <c r="J75" i="32"/>
  <c r="K75" i="32"/>
  <c r="L75" i="32"/>
  <c r="G76" i="32"/>
  <c r="H76" i="32"/>
  <c r="I76" i="32"/>
  <c r="J76" i="32"/>
  <c r="K76" i="32"/>
  <c r="L76" i="32"/>
  <c r="G77" i="32"/>
  <c r="H77" i="32"/>
  <c r="I77" i="32"/>
  <c r="J77" i="32"/>
  <c r="K77" i="32"/>
  <c r="L77" i="32"/>
  <c r="G78" i="32"/>
  <c r="H78" i="32"/>
  <c r="I78" i="32"/>
  <c r="J78" i="32"/>
  <c r="K78" i="32"/>
  <c r="L78" i="32"/>
  <c r="G79" i="32"/>
  <c r="H79" i="32"/>
  <c r="I79" i="32"/>
  <c r="J79" i="32"/>
  <c r="K79" i="32"/>
  <c r="L79" i="32"/>
  <c r="G80" i="32"/>
  <c r="H80" i="32"/>
  <c r="I80" i="32"/>
  <c r="J80" i="32"/>
  <c r="K80" i="32"/>
  <c r="L80" i="32"/>
  <c r="G81" i="32"/>
  <c r="H81" i="32"/>
  <c r="I81" i="32"/>
  <c r="J81" i="32"/>
  <c r="K81" i="32"/>
  <c r="L81" i="32"/>
  <c r="G5" i="32"/>
  <c r="H5" i="32"/>
  <c r="I5" i="32"/>
  <c r="J5" i="32"/>
  <c r="K5" i="32"/>
  <c r="L5" i="32"/>
  <c r="G6" i="32"/>
  <c r="H6" i="32"/>
  <c r="N6" i="32" s="1"/>
  <c r="I6" i="32"/>
  <c r="J6" i="32"/>
  <c r="K6" i="32"/>
  <c r="L6" i="32"/>
  <c r="G7" i="32"/>
  <c r="H7" i="32"/>
  <c r="I7" i="32"/>
  <c r="J7" i="32"/>
  <c r="K7" i="32"/>
  <c r="L7" i="32"/>
  <c r="G8" i="32"/>
  <c r="H8" i="32"/>
  <c r="I8" i="32"/>
  <c r="J8" i="32"/>
  <c r="K8" i="32"/>
  <c r="L8" i="32"/>
  <c r="T60" i="44"/>
  <c r="L24" i="45"/>
  <c r="K24" i="45"/>
  <c r="J24" i="45"/>
  <c r="I24" i="45"/>
  <c r="G17" i="45" l="1"/>
  <c r="G24" i="45"/>
  <c r="G23" i="45"/>
  <c r="G26" i="45"/>
  <c r="G36" i="45"/>
  <c r="G9" i="45"/>
  <c r="G32" i="45"/>
  <c r="G33" i="45"/>
  <c r="G31" i="45"/>
  <c r="G28" i="45"/>
  <c r="G5" i="45"/>
  <c r="Z11" i="32"/>
  <c r="M78" i="32"/>
  <c r="M76" i="32"/>
  <c r="M74" i="32"/>
  <c r="M68" i="32"/>
  <c r="M66" i="32"/>
  <c r="M64" i="32"/>
  <c r="M62" i="32"/>
  <c r="Y62" i="32" s="1"/>
  <c r="M60" i="32"/>
  <c r="M58" i="32"/>
  <c r="M56" i="32"/>
  <c r="M54" i="32"/>
  <c r="M50" i="32"/>
  <c r="M48" i="32"/>
  <c r="M46" i="32"/>
  <c r="M44" i="32"/>
  <c r="M36" i="32"/>
  <c r="Z55" i="32"/>
  <c r="N81" i="32"/>
  <c r="N77" i="32"/>
  <c r="N73" i="32"/>
  <c r="N71" i="32"/>
  <c r="N69" i="32"/>
  <c r="N67" i="32"/>
  <c r="N63" i="32"/>
  <c r="N61" i="32"/>
  <c r="Z61" i="32" s="1"/>
  <c r="N59" i="32"/>
  <c r="Z59" i="32" s="1"/>
  <c r="N57" i="32"/>
  <c r="N55" i="32"/>
  <c r="M7" i="32"/>
  <c r="M18" i="32"/>
  <c r="M5" i="32"/>
  <c r="Y5" i="32" s="1"/>
  <c r="M70" i="32"/>
  <c r="M52" i="32"/>
  <c r="M16" i="32"/>
  <c r="Z69" i="32"/>
  <c r="M72" i="32"/>
  <c r="Y72" i="32" s="1"/>
  <c r="M42" i="32"/>
  <c r="M40" i="32"/>
  <c r="M38" i="32"/>
  <c r="M34" i="32"/>
  <c r="M32" i="32"/>
  <c r="M30" i="32"/>
  <c r="M28" i="32"/>
  <c r="M26" i="32"/>
  <c r="M24" i="32"/>
  <c r="M22" i="32"/>
  <c r="M20" i="32"/>
  <c r="M14" i="32"/>
  <c r="M12" i="32"/>
  <c r="N8" i="32"/>
  <c r="N79" i="32"/>
  <c r="N49" i="32"/>
  <c r="Z49" i="32" s="1"/>
  <c r="N47" i="32"/>
  <c r="Z47" i="32" s="1"/>
  <c r="N45" i="32"/>
  <c r="N43" i="32"/>
  <c r="N41" i="32"/>
  <c r="N39" i="32"/>
  <c r="Z39" i="32" s="1"/>
  <c r="N37" i="32"/>
  <c r="N35" i="32"/>
  <c r="Z35" i="32" s="1"/>
  <c r="N33" i="32"/>
  <c r="Z33" i="32" s="1"/>
  <c r="N31" i="32"/>
  <c r="Z31" i="32" s="1"/>
  <c r="N29" i="32"/>
  <c r="Z29" i="32" s="1"/>
  <c r="N27" i="32"/>
  <c r="Z27" i="32" s="1"/>
  <c r="N25" i="32"/>
  <c r="Z25" i="32" s="1"/>
  <c r="N23" i="32"/>
  <c r="Z23" i="32" s="1"/>
  <c r="N21" i="32"/>
  <c r="N19" i="32"/>
  <c r="Z19" i="32" s="1"/>
  <c r="N17" i="32"/>
  <c r="Z17" i="32" s="1"/>
  <c r="N15" i="32"/>
  <c r="Z15" i="32" s="1"/>
  <c r="N13" i="32"/>
  <c r="N9" i="32"/>
  <c r="Z81" i="32"/>
  <c r="Y22" i="32"/>
  <c r="Z8" i="32"/>
  <c r="Z9" i="32"/>
  <c r="N65" i="32"/>
  <c r="Z65" i="32" s="1"/>
  <c r="M79" i="32"/>
  <c r="Y79" i="32" s="1"/>
  <c r="M75" i="32"/>
  <c r="M71" i="32"/>
  <c r="M69" i="32"/>
  <c r="M65" i="32"/>
  <c r="M61" i="32"/>
  <c r="M57" i="32"/>
  <c r="M53" i="32"/>
  <c r="M49" i="32"/>
  <c r="M45" i="32"/>
  <c r="Y45" i="32" s="1"/>
  <c r="M39" i="32"/>
  <c r="M37" i="32"/>
  <c r="M35" i="32"/>
  <c r="Y35" i="32" s="1"/>
  <c r="M31" i="32"/>
  <c r="M27" i="32"/>
  <c r="Y27" i="32" s="1"/>
  <c r="M25" i="32"/>
  <c r="Y25" i="32" s="1"/>
  <c r="M23" i="32"/>
  <c r="M21" i="32"/>
  <c r="M19" i="32"/>
  <c r="Y19" i="32" s="1"/>
  <c r="M17" i="32"/>
  <c r="Y17" i="32" s="1"/>
  <c r="M15" i="32"/>
  <c r="M13" i="32"/>
  <c r="M9" i="32"/>
  <c r="Z6" i="32"/>
  <c r="Z77" i="32"/>
  <c r="Y74" i="32"/>
  <c r="Z71" i="32"/>
  <c r="Z67" i="32"/>
  <c r="Z63" i="32"/>
  <c r="Y61" i="32"/>
  <c r="Z57" i="32"/>
  <c r="Y52" i="32"/>
  <c r="Y46" i="32"/>
  <c r="Y44" i="32"/>
  <c r="Z41" i="32"/>
  <c r="Z37" i="32"/>
  <c r="Z21" i="32"/>
  <c r="Z13" i="32"/>
  <c r="Y28" i="32"/>
  <c r="N75" i="32"/>
  <c r="Z75" i="32" s="1"/>
  <c r="N53" i="32"/>
  <c r="Z53" i="32" s="1"/>
  <c r="N51" i="32"/>
  <c r="M8" i="32"/>
  <c r="Y8" i="32" s="1"/>
  <c r="M6" i="32"/>
  <c r="M81" i="32"/>
  <c r="M77" i="32"/>
  <c r="M73" i="32"/>
  <c r="M67" i="32"/>
  <c r="M63" i="32"/>
  <c r="M59" i="32"/>
  <c r="M55" i="32"/>
  <c r="Y55" i="32" s="1"/>
  <c r="M51" i="32"/>
  <c r="M47" i="32"/>
  <c r="Y47" i="32" s="1"/>
  <c r="M43" i="32"/>
  <c r="Y43" i="32" s="1"/>
  <c r="M41" i="32"/>
  <c r="M33" i="32"/>
  <c r="Y33" i="32" s="1"/>
  <c r="M29" i="32"/>
  <c r="Y29" i="32" s="1"/>
  <c r="N7" i="32"/>
  <c r="N5" i="32"/>
  <c r="Z5" i="32" s="1"/>
  <c r="N78" i="32"/>
  <c r="Z78" i="32" s="1"/>
  <c r="N76" i="32"/>
  <c r="Z76" i="32" s="1"/>
  <c r="N74" i="32"/>
  <c r="Z74" i="32" s="1"/>
  <c r="N72" i="32"/>
  <c r="Z72" i="32" s="1"/>
  <c r="N70" i="32"/>
  <c r="N68" i="32"/>
  <c r="Z68" i="32" s="1"/>
  <c r="N66" i="32"/>
  <c r="N64" i="32"/>
  <c r="Z64" i="32" s="1"/>
  <c r="N62" i="32"/>
  <c r="Z62" i="32" s="1"/>
  <c r="N60" i="32"/>
  <c r="N58" i="32"/>
  <c r="Z58" i="32" s="1"/>
  <c r="N56" i="32"/>
  <c r="Z56" i="32" s="1"/>
  <c r="N54" i="32"/>
  <c r="Z54" i="32" s="1"/>
  <c r="N52" i="32"/>
  <c r="Z52" i="32" s="1"/>
  <c r="N50" i="32"/>
  <c r="Z50" i="32" s="1"/>
  <c r="N48" i="32"/>
  <c r="Z48" i="32" s="1"/>
  <c r="N46" i="32"/>
  <c r="Z46" i="32" s="1"/>
  <c r="N44" i="32"/>
  <c r="Z44" i="32" s="1"/>
  <c r="N42" i="32"/>
  <c r="Z42" i="32" s="1"/>
  <c r="N40" i="32"/>
  <c r="N38" i="32"/>
  <c r="Z38" i="32" s="1"/>
  <c r="N36" i="32"/>
  <c r="Z36" i="32" s="1"/>
  <c r="N34" i="32"/>
  <c r="Z34" i="32" s="1"/>
  <c r="N32" i="32"/>
  <c r="Z32" i="32" s="1"/>
  <c r="N30" i="32"/>
  <c r="Z30" i="32" s="1"/>
  <c r="N28" i="32"/>
  <c r="Z28" i="32" s="1"/>
  <c r="N26" i="32"/>
  <c r="Z26" i="32" s="1"/>
  <c r="N24" i="32"/>
  <c r="Z24" i="32" s="1"/>
  <c r="N22" i="32"/>
  <c r="Z22" i="32" s="1"/>
  <c r="N20" i="32"/>
  <c r="Z20" i="32" s="1"/>
  <c r="N18" i="32"/>
  <c r="Z18" i="32" s="1"/>
  <c r="N16" i="32"/>
  <c r="Z16" i="32" s="1"/>
  <c r="N14" i="32"/>
  <c r="Z14" i="32" s="1"/>
  <c r="N12" i="32"/>
  <c r="Z12" i="32" s="1"/>
  <c r="Z79" i="32"/>
  <c r="Z73" i="32"/>
  <c r="Z70" i="32"/>
  <c r="Z66" i="32"/>
  <c r="Z60" i="32"/>
  <c r="Y54" i="32"/>
  <c r="Z51" i="32"/>
  <c r="Z45" i="32"/>
  <c r="Z43" i="32"/>
  <c r="Z40" i="32"/>
  <c r="Y37" i="32"/>
  <c r="Y18" i="32"/>
  <c r="Y16" i="32"/>
  <c r="Z7" i="32"/>
  <c r="S66" i="32"/>
  <c r="Y66" i="32" s="1"/>
  <c r="N41" i="45"/>
  <c r="N80" i="32"/>
  <c r="Z80" i="32" s="1"/>
  <c r="M80" i="32"/>
  <c r="S60" i="44"/>
  <c r="R60" i="44"/>
  <c r="Q60" i="44" l="1"/>
  <c r="P60" i="44"/>
  <c r="O60" i="44"/>
  <c r="L28" i="45"/>
  <c r="K28" i="45"/>
  <c r="J28" i="45"/>
  <c r="I28" i="45"/>
  <c r="AE22" i="44"/>
  <c r="N60" i="44"/>
  <c r="M60" i="44"/>
  <c r="L60" i="44"/>
  <c r="K60" i="44"/>
  <c r="J60" i="44"/>
  <c r="I60" i="44"/>
  <c r="N24" i="45" l="1"/>
  <c r="M24" i="45"/>
  <c r="M28" i="45"/>
  <c r="N28" i="45"/>
  <c r="S4" i="32"/>
  <c r="T4" i="32"/>
  <c r="L60" i="45"/>
  <c r="K60" i="45"/>
  <c r="J60" i="45"/>
  <c r="I60" i="45"/>
  <c r="L59" i="45"/>
  <c r="K59" i="45"/>
  <c r="K61" i="45" s="1"/>
  <c r="J59" i="45"/>
  <c r="I59" i="45"/>
  <c r="I61" i="45" s="1"/>
  <c r="L5" i="45"/>
  <c r="L6" i="45"/>
  <c r="L7" i="45"/>
  <c r="L8" i="45"/>
  <c r="L9" i="45"/>
  <c r="L10" i="45"/>
  <c r="L11" i="45"/>
  <c r="L12" i="45"/>
  <c r="L13" i="45"/>
  <c r="L14" i="45"/>
  <c r="L15" i="45"/>
  <c r="L16" i="45"/>
  <c r="L17" i="45"/>
  <c r="L18" i="45"/>
  <c r="L19" i="45"/>
  <c r="L20" i="45"/>
  <c r="L21" i="45"/>
  <c r="L22" i="45"/>
  <c r="L23" i="45"/>
  <c r="L25" i="45"/>
  <c r="L26" i="45"/>
  <c r="L27" i="45"/>
  <c r="L29" i="45"/>
  <c r="L30" i="45"/>
  <c r="L31" i="45"/>
  <c r="L32" i="45"/>
  <c r="L33" i="45"/>
  <c r="L34" i="45"/>
  <c r="L35" i="45"/>
  <c r="L36" i="45"/>
  <c r="L37" i="45"/>
  <c r="L38" i="45"/>
  <c r="L39" i="45"/>
  <c r="L40" i="45"/>
  <c r="L42" i="45"/>
  <c r="L43" i="45"/>
  <c r="L44" i="45"/>
  <c r="L45" i="45"/>
  <c r="L46" i="45"/>
  <c r="L47" i="45"/>
  <c r="L48" i="45"/>
  <c r="L49" i="45"/>
  <c r="L50" i="45"/>
  <c r="L51" i="45"/>
  <c r="L52" i="45"/>
  <c r="L53" i="45"/>
  <c r="L54" i="45"/>
  <c r="L4" i="45"/>
  <c r="K5" i="45"/>
  <c r="K6" i="45"/>
  <c r="K7" i="45"/>
  <c r="K8" i="45"/>
  <c r="K9" i="45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5" i="45"/>
  <c r="K26" i="45"/>
  <c r="K27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2" i="45"/>
  <c r="K43" i="45"/>
  <c r="K44" i="45"/>
  <c r="K45" i="45"/>
  <c r="K46" i="45"/>
  <c r="K47" i="45"/>
  <c r="K48" i="45"/>
  <c r="K49" i="45"/>
  <c r="K50" i="45"/>
  <c r="K51" i="45"/>
  <c r="K52" i="45"/>
  <c r="K53" i="45"/>
  <c r="K54" i="45"/>
  <c r="K4" i="45"/>
  <c r="J5" i="45"/>
  <c r="J6" i="45"/>
  <c r="J7" i="45"/>
  <c r="J8" i="45"/>
  <c r="J9" i="45"/>
  <c r="J10" i="45"/>
  <c r="J11" i="45"/>
  <c r="J12" i="45"/>
  <c r="J13" i="45"/>
  <c r="J14" i="45"/>
  <c r="J15" i="45"/>
  <c r="J16" i="45"/>
  <c r="J17" i="45"/>
  <c r="J18" i="45"/>
  <c r="J19" i="45"/>
  <c r="J20" i="45"/>
  <c r="J21" i="45"/>
  <c r="J22" i="45"/>
  <c r="J23" i="45"/>
  <c r="J25" i="45"/>
  <c r="J26" i="45"/>
  <c r="J27" i="45"/>
  <c r="J29" i="45"/>
  <c r="J30" i="45"/>
  <c r="J31" i="45"/>
  <c r="J32" i="45"/>
  <c r="J33" i="45"/>
  <c r="J34" i="45"/>
  <c r="J35" i="45"/>
  <c r="J36" i="45"/>
  <c r="J37" i="45"/>
  <c r="J38" i="45"/>
  <c r="J39" i="45"/>
  <c r="J40" i="45"/>
  <c r="J42" i="45"/>
  <c r="J43" i="45"/>
  <c r="J44" i="45"/>
  <c r="J45" i="45"/>
  <c r="J46" i="45"/>
  <c r="J47" i="45"/>
  <c r="J48" i="45"/>
  <c r="J49" i="45"/>
  <c r="J50" i="45"/>
  <c r="J51" i="45"/>
  <c r="J52" i="45"/>
  <c r="J53" i="45"/>
  <c r="J54" i="45"/>
  <c r="J4" i="45"/>
  <c r="I5" i="45"/>
  <c r="I6" i="45"/>
  <c r="I7" i="45"/>
  <c r="I8" i="45"/>
  <c r="I9" i="45"/>
  <c r="I10" i="45"/>
  <c r="I11" i="45"/>
  <c r="I12" i="45"/>
  <c r="I13" i="45"/>
  <c r="I14" i="45"/>
  <c r="I15" i="45"/>
  <c r="I16" i="45"/>
  <c r="I17" i="45"/>
  <c r="I18" i="45"/>
  <c r="I19" i="45"/>
  <c r="I20" i="45"/>
  <c r="I21" i="45"/>
  <c r="I22" i="45"/>
  <c r="I23" i="45"/>
  <c r="I25" i="45"/>
  <c r="I26" i="45"/>
  <c r="I27" i="45"/>
  <c r="I29" i="45"/>
  <c r="I30" i="45"/>
  <c r="I31" i="45"/>
  <c r="I32" i="45"/>
  <c r="I33" i="45"/>
  <c r="I34" i="45"/>
  <c r="I35" i="45"/>
  <c r="I36" i="45"/>
  <c r="I37" i="45"/>
  <c r="I38" i="45"/>
  <c r="I39" i="45"/>
  <c r="I40" i="45"/>
  <c r="I42" i="45"/>
  <c r="I43" i="45"/>
  <c r="I44" i="45"/>
  <c r="I45" i="45"/>
  <c r="I46" i="45"/>
  <c r="I47" i="45"/>
  <c r="I48" i="45"/>
  <c r="I49" i="45"/>
  <c r="I50" i="45"/>
  <c r="I51" i="45"/>
  <c r="I52" i="45"/>
  <c r="I53" i="45"/>
  <c r="I54" i="45"/>
  <c r="I4" i="45"/>
  <c r="Y60" i="44"/>
  <c r="H60" i="44"/>
  <c r="Z57" i="44"/>
  <c r="AA57" i="44" s="1"/>
  <c r="H60" i="45" s="1"/>
  <c r="N60" i="45" s="1"/>
  <c r="Z56" i="44"/>
  <c r="AA56" i="44" s="1"/>
  <c r="H59" i="45" s="1"/>
  <c r="Y54" i="44"/>
  <c r="H54" i="44"/>
  <c r="Z54" i="44" s="1"/>
  <c r="AD36" i="44"/>
  <c r="AD38" i="44" s="1"/>
  <c r="AL16" i="44"/>
  <c r="AJ16" i="44"/>
  <c r="AJ17" i="44" s="1"/>
  <c r="G11" i="45"/>
  <c r="AD9" i="44"/>
  <c r="AD14" i="44" s="1"/>
  <c r="AI14" i="44" s="1"/>
  <c r="Z4" i="44"/>
  <c r="AA4" i="44" s="1"/>
  <c r="H4" i="45" s="1"/>
  <c r="AA61" i="43"/>
  <c r="AA57" i="43"/>
  <c r="K55" i="45" l="1"/>
  <c r="I55" i="45"/>
  <c r="H18" i="45"/>
  <c r="N18" i="45" s="1"/>
  <c r="G18" i="45"/>
  <c r="M18" i="45" s="1"/>
  <c r="H19" i="45"/>
  <c r="N19" i="45" s="1"/>
  <c r="G19" i="45"/>
  <c r="M19" i="45" s="1"/>
  <c r="H20" i="45"/>
  <c r="N20" i="45" s="1"/>
  <c r="G20" i="45"/>
  <c r="M20" i="45" s="1"/>
  <c r="H27" i="45"/>
  <c r="N27" i="45" s="1"/>
  <c r="G27" i="45"/>
  <c r="M27" i="45" s="1"/>
  <c r="H10" i="45"/>
  <c r="N10" i="45" s="1"/>
  <c r="G10" i="45"/>
  <c r="M10" i="45" s="1"/>
  <c r="H16" i="45"/>
  <c r="N16" i="45" s="1"/>
  <c r="G16" i="45"/>
  <c r="M16" i="45" s="1"/>
  <c r="H15" i="45"/>
  <c r="N15" i="45" s="1"/>
  <c r="G15" i="45"/>
  <c r="M15" i="45" s="1"/>
  <c r="H13" i="45"/>
  <c r="N13" i="45" s="1"/>
  <c r="G13" i="45"/>
  <c r="M13" i="45" s="1"/>
  <c r="H37" i="45"/>
  <c r="N37" i="45" s="1"/>
  <c r="G37" i="45"/>
  <c r="M37" i="45" s="1"/>
  <c r="H42" i="45"/>
  <c r="N42" i="45" s="1"/>
  <c r="G42" i="45"/>
  <c r="M42" i="45" s="1"/>
  <c r="H47" i="45"/>
  <c r="N47" i="45" s="1"/>
  <c r="G47" i="45"/>
  <c r="M47" i="45" s="1"/>
  <c r="H52" i="45"/>
  <c r="N52" i="45" s="1"/>
  <c r="G52" i="45"/>
  <c r="M52" i="45" s="1"/>
  <c r="H43" i="45"/>
  <c r="N43" i="45" s="1"/>
  <c r="G43" i="45"/>
  <c r="M43" i="45" s="1"/>
  <c r="H45" i="45"/>
  <c r="N45" i="45" s="1"/>
  <c r="G45" i="45"/>
  <c r="M45" i="45" s="1"/>
  <c r="H49" i="45"/>
  <c r="N49" i="45" s="1"/>
  <c r="G49" i="45"/>
  <c r="M49" i="45" s="1"/>
  <c r="H53" i="45"/>
  <c r="N53" i="45" s="1"/>
  <c r="G53" i="45"/>
  <c r="M53" i="45" s="1"/>
  <c r="H40" i="45"/>
  <c r="N40" i="45" s="1"/>
  <c r="G40" i="45"/>
  <c r="M40" i="45" s="1"/>
  <c r="H51" i="45"/>
  <c r="N51" i="45" s="1"/>
  <c r="G51" i="45"/>
  <c r="M51" i="45" s="1"/>
  <c r="H38" i="45"/>
  <c r="N38" i="45" s="1"/>
  <c r="G38" i="45"/>
  <c r="M38" i="45" s="1"/>
  <c r="H39" i="45"/>
  <c r="N39" i="45" s="1"/>
  <c r="G39" i="45"/>
  <c r="M39" i="45" s="1"/>
  <c r="H46" i="45"/>
  <c r="N46" i="45" s="1"/>
  <c r="G46" i="45"/>
  <c r="M46" i="45" s="1"/>
  <c r="H50" i="45"/>
  <c r="N50" i="45" s="1"/>
  <c r="G50" i="45"/>
  <c r="M50" i="45" s="1"/>
  <c r="H54" i="45"/>
  <c r="N54" i="45" s="1"/>
  <c r="G54" i="45"/>
  <c r="M54" i="45" s="1"/>
  <c r="S48" i="32"/>
  <c r="Y48" i="32" s="1"/>
  <c r="S39" i="32"/>
  <c r="Y39" i="32" s="1"/>
  <c r="N12" i="45"/>
  <c r="N21" i="45"/>
  <c r="N59" i="45"/>
  <c r="N26" i="45"/>
  <c r="N34" i="45"/>
  <c r="N31" i="45"/>
  <c r="M9" i="45"/>
  <c r="N5" i="45"/>
  <c r="N32" i="45"/>
  <c r="M34" i="45"/>
  <c r="N23" i="45"/>
  <c r="N36" i="45"/>
  <c r="N4" i="45"/>
  <c r="N8" i="45"/>
  <c r="N22" i="45"/>
  <c r="N7" i="45"/>
  <c r="N33" i="45"/>
  <c r="N9" i="45"/>
  <c r="M48" i="45"/>
  <c r="N48" i="45"/>
  <c r="M11" i="45"/>
  <c r="M44" i="45"/>
  <c r="N6" i="45"/>
  <c r="N14" i="45"/>
  <c r="N17" i="45"/>
  <c r="N25" i="45"/>
  <c r="N30" i="45"/>
  <c r="N44" i="45"/>
  <c r="M32" i="45"/>
  <c r="M35" i="45"/>
  <c r="M29" i="45"/>
  <c r="M23" i="45"/>
  <c r="M14" i="45"/>
  <c r="M7" i="45"/>
  <c r="G59" i="45"/>
  <c r="M59" i="45" s="1"/>
  <c r="M22" i="45"/>
  <c r="M6" i="45"/>
  <c r="S11" i="32" s="1"/>
  <c r="Y11" i="32" s="1"/>
  <c r="G4" i="45"/>
  <c r="M33" i="45"/>
  <c r="M31" i="45"/>
  <c r="G60" i="45"/>
  <c r="M60" i="45" s="1"/>
  <c r="M36" i="45"/>
  <c r="M30" i="45"/>
  <c r="M25" i="45"/>
  <c r="M21" i="45"/>
  <c r="M12" i="45"/>
  <c r="M8" i="45"/>
  <c r="M26" i="45"/>
  <c r="M17" i="45"/>
  <c r="M5" i="45"/>
  <c r="S10" i="32" s="1"/>
  <c r="Y10" i="32" s="1"/>
  <c r="N35" i="45"/>
  <c r="N29" i="45"/>
  <c r="AA54" i="44"/>
  <c r="Z60" i="44"/>
  <c r="Z61" i="43"/>
  <c r="Z57" i="43"/>
  <c r="H11" i="45" l="1"/>
  <c r="N11" i="45" s="1"/>
  <c r="M4" i="45"/>
  <c r="M55" i="45" s="1"/>
  <c r="G55" i="45"/>
  <c r="S51" i="32"/>
  <c r="Y51" i="32" s="1"/>
  <c r="S78" i="32"/>
  <c r="Y78" i="32" s="1"/>
  <c r="S36" i="32"/>
  <c r="Y36" i="32" s="1"/>
  <c r="S26" i="32"/>
  <c r="Y26" i="32" s="1"/>
  <c r="S58" i="32"/>
  <c r="Y58" i="32" s="1"/>
  <c r="S53" i="32"/>
  <c r="Y53" i="32" s="1"/>
  <c r="S20" i="32"/>
  <c r="Y20" i="32" s="1"/>
  <c r="S57" i="32"/>
  <c r="Y57" i="32" s="1"/>
  <c r="S13" i="32"/>
  <c r="Y13" i="32" s="1"/>
  <c r="S40" i="32"/>
  <c r="Y40" i="32" s="1"/>
  <c r="S7" i="32"/>
  <c r="Y7" i="32" s="1"/>
  <c r="S30" i="32"/>
  <c r="Y30" i="32" s="1"/>
  <c r="S21" i="32"/>
  <c r="Y21" i="32" s="1"/>
  <c r="S50" i="32"/>
  <c r="Y50" i="32" s="1"/>
  <c r="S73" i="32"/>
  <c r="Y73" i="32" s="1"/>
  <c r="S23" i="32"/>
  <c r="Y23" i="32" s="1"/>
  <c r="S56" i="32"/>
  <c r="Y56" i="32" s="1"/>
  <c r="S75" i="32"/>
  <c r="Y75" i="32" s="1"/>
  <c r="S67" i="32"/>
  <c r="Y67" i="32" s="1"/>
  <c r="S14" i="32"/>
  <c r="Y14" i="32" s="1"/>
  <c r="S80" i="32"/>
  <c r="Y80" i="32" s="1"/>
  <c r="S68" i="32"/>
  <c r="Y68" i="32" s="1"/>
  <c r="S31" i="32"/>
  <c r="Y31" i="32" s="1"/>
  <c r="S24" i="32"/>
  <c r="Y24" i="32" s="1"/>
  <c r="S59" i="32"/>
  <c r="Y59" i="32" s="1"/>
  <c r="S77" i="32"/>
  <c r="Y77" i="32" s="1"/>
  <c r="S32" i="32"/>
  <c r="Y32" i="32" s="1"/>
  <c r="S60" i="32"/>
  <c r="Y60" i="32" s="1"/>
  <c r="S9" i="32"/>
  <c r="Y9" i="32" s="1"/>
  <c r="S69" i="32"/>
  <c r="Y69" i="32" s="1"/>
  <c r="S38" i="32"/>
  <c r="Y38" i="32" s="1"/>
  <c r="S71" i="32"/>
  <c r="Y71" i="32" s="1"/>
  <c r="S41" i="32"/>
  <c r="Y41" i="32" s="1"/>
  <c r="S34" i="32"/>
  <c r="Y34" i="32" s="1"/>
  <c r="S63" i="32"/>
  <c r="Y63" i="32" s="1"/>
  <c r="S81" i="32"/>
  <c r="Y81" i="32" s="1"/>
  <c r="S42" i="32"/>
  <c r="Y42" i="32" s="1"/>
  <c r="S64" i="32"/>
  <c r="Y64" i="32" s="1"/>
  <c r="S15" i="32"/>
  <c r="Y15" i="32" s="1"/>
  <c r="S12" i="32"/>
  <c r="Y12" i="32" s="1"/>
  <c r="S49" i="32"/>
  <c r="Y49" i="32" s="1"/>
  <c r="S76" i="32"/>
  <c r="Y76" i="32" s="1"/>
  <c r="S65" i="32"/>
  <c r="Y65" i="32" s="1"/>
  <c r="S70" i="32"/>
  <c r="Y70" i="32" s="1"/>
  <c r="M61" i="45"/>
  <c r="G61" i="45"/>
  <c r="AC55" i="43"/>
  <c r="AD55" i="43" s="1"/>
  <c r="Y61" i="43"/>
  <c r="Y57" i="43"/>
  <c r="X61" i="43"/>
  <c r="X57" i="43"/>
  <c r="S6" i="32" l="1"/>
  <c r="Y6" i="32" s="1"/>
  <c r="W61" i="43"/>
  <c r="W57" i="43"/>
  <c r="V61" i="43"/>
  <c r="V57" i="43"/>
  <c r="U61" i="43"/>
  <c r="U57" i="43"/>
  <c r="T61" i="43"/>
  <c r="T57" i="43"/>
  <c r="S61" i="43"/>
  <c r="S57" i="43"/>
  <c r="R61" i="43"/>
  <c r="R57" i="43"/>
  <c r="Q61" i="43"/>
  <c r="Q57" i="43"/>
  <c r="S82" i="32" l="1"/>
  <c r="P61" i="43"/>
  <c r="P57" i="43"/>
  <c r="O61" i="43" l="1"/>
  <c r="O57" i="43"/>
  <c r="N61" i="43" l="1"/>
  <c r="N57" i="43"/>
  <c r="M61" i="43"/>
  <c r="M57" i="43"/>
  <c r="L61" i="43"/>
  <c r="L57" i="43"/>
  <c r="K61" i="43" l="1"/>
  <c r="K57" i="43"/>
  <c r="I70" i="41" l="1"/>
  <c r="J70" i="41"/>
  <c r="J69" i="41"/>
  <c r="I69" i="41"/>
  <c r="I71" i="41" s="1"/>
  <c r="K57" i="41"/>
  <c r="L57" i="41"/>
  <c r="K62" i="41"/>
  <c r="L62" i="41"/>
  <c r="J61" i="43"/>
  <c r="J57" i="43"/>
  <c r="I61" i="43" l="1"/>
  <c r="I57" i="43"/>
  <c r="J57" i="41"/>
  <c r="I57" i="41"/>
  <c r="H57" i="41"/>
  <c r="G57" i="41"/>
  <c r="L15" i="41"/>
  <c r="L24" i="41"/>
  <c r="L30" i="41"/>
  <c r="L31" i="41"/>
  <c r="L32" i="41"/>
  <c r="L33" i="41"/>
  <c r="L34" i="41"/>
  <c r="L46" i="41"/>
  <c r="L53" i="41"/>
  <c r="K15" i="41"/>
  <c r="K24" i="41"/>
  <c r="K30" i="41"/>
  <c r="K31" i="41"/>
  <c r="K32" i="41"/>
  <c r="K33" i="41"/>
  <c r="K34" i="41"/>
  <c r="K46" i="41"/>
  <c r="K53" i="41"/>
  <c r="AC40" i="43"/>
  <c r="AD40" i="43" s="1"/>
  <c r="L45" i="41" s="1"/>
  <c r="K45" i="41" l="1"/>
  <c r="M57" i="41"/>
  <c r="N57" i="41"/>
  <c r="AA73" i="42"/>
  <c r="AA68" i="42" l="1"/>
  <c r="AB4" i="37"/>
  <c r="AC4" i="37"/>
  <c r="AB5" i="37"/>
  <c r="AC5" i="37" s="1"/>
  <c r="AB6" i="37"/>
  <c r="AC6" i="37"/>
  <c r="AB7" i="37"/>
  <c r="AC7" i="37" s="1"/>
  <c r="AB8" i="37"/>
  <c r="AC8" i="37"/>
  <c r="AF8" i="37"/>
  <c r="AF13" i="37" s="1"/>
  <c r="AB9" i="37"/>
  <c r="AC9" i="37" s="1"/>
  <c r="AB10" i="37"/>
  <c r="AC10" i="37"/>
  <c r="AB11" i="37"/>
  <c r="AC11" i="37" s="1"/>
  <c r="AB12" i="37"/>
  <c r="AC12" i="37"/>
  <c r="AB13" i="37"/>
  <c r="AC13" i="37" s="1"/>
  <c r="AB14" i="37"/>
  <c r="AC14" i="37" s="1"/>
  <c r="AB15" i="37"/>
  <c r="AC15" i="37"/>
  <c r="AB16" i="37"/>
  <c r="AC16" i="37" s="1"/>
  <c r="AB17" i="37"/>
  <c r="AC17" i="37"/>
  <c r="AB18" i="37"/>
  <c r="AC18" i="37" s="1"/>
  <c r="AB19" i="37"/>
  <c r="AC19" i="37"/>
  <c r="AB20" i="37"/>
  <c r="AC20" i="37" s="1"/>
  <c r="AB21" i="37"/>
  <c r="AC21" i="37"/>
  <c r="AB22" i="37"/>
  <c r="AC22" i="37" s="1"/>
  <c r="AB23" i="37"/>
  <c r="AC23" i="37"/>
  <c r="AB24" i="37"/>
  <c r="AC24" i="37" s="1"/>
  <c r="AB25" i="37"/>
  <c r="AC25" i="37"/>
  <c r="AB26" i="37"/>
  <c r="AC26" i="37" s="1"/>
  <c r="AB27" i="37"/>
  <c r="AC27" i="37"/>
  <c r="AB28" i="37"/>
  <c r="AC28" i="37" s="1"/>
  <c r="AB29" i="37"/>
  <c r="AC29" i="37"/>
  <c r="AB30" i="37"/>
  <c r="AC30" i="37" s="1"/>
  <c r="AF30" i="37"/>
  <c r="AI30" i="37"/>
  <c r="AB31" i="37"/>
  <c r="AC31" i="37" s="1"/>
  <c r="AB32" i="37"/>
  <c r="AC32" i="37"/>
  <c r="AB33" i="37"/>
  <c r="AC33" i="37" s="1"/>
  <c r="AB34" i="37"/>
  <c r="AC34" i="37"/>
  <c r="AB35" i="37"/>
  <c r="AC35" i="37" s="1"/>
  <c r="AB36" i="37"/>
  <c r="AC36" i="37"/>
  <c r="AB37" i="37"/>
  <c r="AC37" i="37" s="1"/>
  <c r="AF37" i="37"/>
  <c r="AB38" i="37"/>
  <c r="AC38" i="37"/>
  <c r="AB39" i="37"/>
  <c r="AC39" i="37"/>
  <c r="AB40" i="37"/>
  <c r="AC40" i="37"/>
  <c r="AB41" i="37"/>
  <c r="AC41" i="37"/>
  <c r="AF41" i="37"/>
  <c r="AB42" i="37"/>
  <c r="AC42" i="37" s="1"/>
  <c r="AB43" i="37"/>
  <c r="AC43" i="37"/>
  <c r="AB44" i="37"/>
  <c r="AC44" i="37" s="1"/>
  <c r="AB45" i="37"/>
  <c r="AC45" i="37"/>
  <c r="AB46" i="37"/>
  <c r="AC46" i="37" s="1"/>
  <c r="AB47" i="37"/>
  <c r="AC47" i="37"/>
  <c r="AB48" i="37"/>
  <c r="AC48" i="37" s="1"/>
  <c r="AB49" i="37"/>
  <c r="AC49" i="37"/>
  <c r="AB50" i="37"/>
  <c r="AC50" i="37" s="1"/>
  <c r="AB51" i="37"/>
  <c r="AC51" i="37"/>
  <c r="AB52" i="37"/>
  <c r="AC52" i="37" s="1"/>
  <c r="AB53" i="37"/>
  <c r="AC53" i="37"/>
  <c r="AB54" i="37"/>
  <c r="AC54" i="37" s="1"/>
  <c r="AB55" i="37"/>
  <c r="AC55" i="37"/>
  <c r="AB56" i="37"/>
  <c r="AC56" i="37" s="1"/>
  <c r="AB57" i="37"/>
  <c r="AC57" i="37"/>
  <c r="AB58" i="37"/>
  <c r="AC58" i="37" s="1"/>
  <c r="AB59" i="37"/>
  <c r="AC59" i="37"/>
  <c r="AB60" i="37"/>
  <c r="AC60" i="37" s="1"/>
  <c r="AB61" i="37"/>
  <c r="AC61" i="37"/>
  <c r="AF61" i="37"/>
  <c r="AF64" i="37" s="1"/>
  <c r="AB62" i="37"/>
  <c r="AC62" i="37"/>
  <c r="AB63" i="37"/>
  <c r="AC63" i="37"/>
  <c r="AB64" i="37"/>
  <c r="AC64" i="37"/>
  <c r="H66" i="37"/>
  <c r="I66" i="37"/>
  <c r="J66" i="37"/>
  <c r="K66" i="37"/>
  <c r="L66" i="37"/>
  <c r="M66" i="37"/>
  <c r="N66" i="37"/>
  <c r="O66" i="37"/>
  <c r="P66" i="37"/>
  <c r="Q66" i="37"/>
  <c r="R66" i="37"/>
  <c r="S66" i="37"/>
  <c r="T66" i="37"/>
  <c r="AB66" i="37" s="1"/>
  <c r="AC66" i="37" s="1"/>
  <c r="U66" i="37"/>
  <c r="V66" i="37"/>
  <c r="W66" i="37"/>
  <c r="X66" i="37"/>
  <c r="Y66" i="37"/>
  <c r="Z66" i="37"/>
  <c r="AA66" i="37"/>
  <c r="AB68" i="37"/>
  <c r="AC68" i="37"/>
  <c r="AB69" i="37"/>
  <c r="AC69" i="37" s="1"/>
  <c r="H71" i="37"/>
  <c r="I71" i="37"/>
  <c r="AB71" i="37" s="1"/>
  <c r="J71" i="37"/>
  <c r="K71" i="37"/>
  <c r="L71" i="37"/>
  <c r="M71" i="37"/>
  <c r="N71" i="37"/>
  <c r="O71" i="37"/>
  <c r="P71" i="37"/>
  <c r="Q71" i="37"/>
  <c r="R71" i="37"/>
  <c r="S71" i="37"/>
  <c r="T71" i="37"/>
  <c r="U71" i="37"/>
  <c r="V71" i="37"/>
  <c r="W71" i="37"/>
  <c r="X71" i="37"/>
  <c r="Y71" i="37"/>
  <c r="Z71" i="37"/>
  <c r="AA71" i="37"/>
  <c r="AB61" i="43"/>
  <c r="H61" i="43"/>
  <c r="AC60" i="43"/>
  <c r="AC59" i="43"/>
  <c r="AB57" i="43"/>
  <c r="H57" i="43"/>
  <c r="AC56" i="43"/>
  <c r="AC54" i="43"/>
  <c r="AC53" i="43"/>
  <c r="AC52" i="43"/>
  <c r="AC51" i="43"/>
  <c r="AC50" i="43"/>
  <c r="AC49" i="43"/>
  <c r="AD49" i="43" s="1"/>
  <c r="AC48" i="43"/>
  <c r="AC47" i="43"/>
  <c r="AC46" i="43"/>
  <c r="AC45" i="43"/>
  <c r="AC44" i="43"/>
  <c r="AC43" i="43"/>
  <c r="AC42" i="43"/>
  <c r="AC41" i="43"/>
  <c r="AC39" i="43"/>
  <c r="AC38" i="43"/>
  <c r="AC37" i="43"/>
  <c r="AC36" i="43"/>
  <c r="AG35" i="43"/>
  <c r="AG37" i="43" s="1"/>
  <c r="AC35" i="43"/>
  <c r="AC34" i="43"/>
  <c r="AC33" i="43"/>
  <c r="AC32" i="43"/>
  <c r="AC31" i="43"/>
  <c r="AC30" i="43"/>
  <c r="AC29" i="43"/>
  <c r="AC28" i="43"/>
  <c r="AC27" i="43"/>
  <c r="AC26" i="43"/>
  <c r="AC25" i="43"/>
  <c r="AC24" i="43"/>
  <c r="AC23" i="43"/>
  <c r="AD23" i="43" s="1"/>
  <c r="AC22" i="43"/>
  <c r="AC21" i="43"/>
  <c r="AC20" i="43"/>
  <c r="AC19" i="43"/>
  <c r="AC18" i="43"/>
  <c r="AO17" i="43"/>
  <c r="AM17" i="43"/>
  <c r="AM18" i="43" s="1"/>
  <c r="AC17" i="43"/>
  <c r="AC16" i="43"/>
  <c r="AC15" i="43"/>
  <c r="AC14" i="43"/>
  <c r="AC13" i="43"/>
  <c r="AC12" i="43"/>
  <c r="AC11" i="43"/>
  <c r="AG10" i="43"/>
  <c r="AG15" i="43" s="1"/>
  <c r="AL15" i="43" s="1"/>
  <c r="AC10" i="43"/>
  <c r="AC9" i="43"/>
  <c r="AC8" i="43"/>
  <c r="AC7" i="43"/>
  <c r="AC6" i="43"/>
  <c r="AC5" i="43"/>
  <c r="AC4" i="43"/>
  <c r="Z73" i="42"/>
  <c r="Z68" i="42"/>
  <c r="J43" i="41"/>
  <c r="I43" i="41"/>
  <c r="H43" i="41"/>
  <c r="G43" i="41"/>
  <c r="AC44" i="42"/>
  <c r="AD44" i="42" s="1"/>
  <c r="H10" i="41"/>
  <c r="G10" i="41"/>
  <c r="Y73" i="42"/>
  <c r="Y68" i="42"/>
  <c r="AD7" i="43" l="1"/>
  <c r="L7" i="41" s="1"/>
  <c r="K7" i="41"/>
  <c r="AD56" i="43"/>
  <c r="L64" i="41" s="1"/>
  <c r="K64" i="41"/>
  <c r="AD60" i="43"/>
  <c r="L70" i="41" s="1"/>
  <c r="K70" i="41"/>
  <c r="AD59" i="43"/>
  <c r="L69" i="41" s="1"/>
  <c r="K69" i="41"/>
  <c r="AD54" i="43"/>
  <c r="L63" i="41" s="1"/>
  <c r="K63" i="41"/>
  <c r="AD50" i="43"/>
  <c r="L58" i="41" s="1"/>
  <c r="K58" i="41"/>
  <c r="AD53" i="43"/>
  <c r="L61" i="41" s="1"/>
  <c r="K61" i="41"/>
  <c r="AD52" i="43"/>
  <c r="L60" i="41" s="1"/>
  <c r="K60" i="41"/>
  <c r="AD51" i="43"/>
  <c r="L59" i="41" s="1"/>
  <c r="K59" i="41"/>
  <c r="AD8" i="43"/>
  <c r="L8" i="41" s="1"/>
  <c r="K8" i="41"/>
  <c r="AD13" i="43"/>
  <c r="L13" i="41" s="1"/>
  <c r="K13" i="41"/>
  <c r="AD16" i="43"/>
  <c r="L16" i="41" s="1"/>
  <c r="K16" i="41"/>
  <c r="AD25" i="43"/>
  <c r="L26" i="41" s="1"/>
  <c r="K26" i="41"/>
  <c r="AD36" i="43"/>
  <c r="L42" i="41" s="1"/>
  <c r="K42" i="41"/>
  <c r="AD43" i="43"/>
  <c r="L50" i="41" s="1"/>
  <c r="K50" i="41"/>
  <c r="AD48" i="43"/>
  <c r="L56" i="41" s="1"/>
  <c r="K56" i="41"/>
  <c r="AD45" i="43"/>
  <c r="L54" i="41" s="1"/>
  <c r="K54" i="41"/>
  <c r="AD46" i="43"/>
  <c r="L55" i="41" s="1"/>
  <c r="K55" i="41"/>
  <c r="AD21" i="43"/>
  <c r="L21" i="41" s="1"/>
  <c r="K21" i="41"/>
  <c r="AD44" i="43"/>
  <c r="L51" i="41" s="1"/>
  <c r="K51" i="41"/>
  <c r="AD38" i="43"/>
  <c r="L44" i="41" s="1"/>
  <c r="K44" i="41"/>
  <c r="AD35" i="43"/>
  <c r="L41" i="41" s="1"/>
  <c r="K41" i="41"/>
  <c r="AD26" i="43"/>
  <c r="L27" i="41" s="1"/>
  <c r="K27" i="41"/>
  <c r="AD24" i="43"/>
  <c r="L25" i="41" s="1"/>
  <c r="K25" i="41"/>
  <c r="AD19" i="43"/>
  <c r="L23" i="41" s="1"/>
  <c r="K23" i="41"/>
  <c r="AD5" i="43"/>
  <c r="L5" i="41" s="1"/>
  <c r="K5" i="41"/>
  <c r="AD22" i="43"/>
  <c r="L22" i="41" s="1"/>
  <c r="K22" i="41"/>
  <c r="AD30" i="43"/>
  <c r="L36" i="41" s="1"/>
  <c r="K36" i="41"/>
  <c r="AD47" i="43"/>
  <c r="L52" i="41" s="1"/>
  <c r="K52" i="41"/>
  <c r="AD42" i="43"/>
  <c r="L49" i="41" s="1"/>
  <c r="K49" i="41"/>
  <c r="AD32" i="43"/>
  <c r="L38" i="41" s="1"/>
  <c r="K38" i="41"/>
  <c r="AD41" i="43"/>
  <c r="L48" i="41" s="1"/>
  <c r="K48" i="41"/>
  <c r="AD28" i="43"/>
  <c r="L29" i="41" s="1"/>
  <c r="K29" i="41"/>
  <c r="AD12" i="43"/>
  <c r="L12" i="41" s="1"/>
  <c r="K12" i="41"/>
  <c r="AD11" i="43"/>
  <c r="L11" i="41" s="1"/>
  <c r="K11" i="41"/>
  <c r="AD6" i="43"/>
  <c r="L6" i="41" s="1"/>
  <c r="K6" i="41"/>
  <c r="AD39" i="43"/>
  <c r="L47" i="41" s="1"/>
  <c r="K47" i="41"/>
  <c r="AD37" i="43"/>
  <c r="L43" i="41" s="1"/>
  <c r="N43" i="41" s="1"/>
  <c r="K43" i="41"/>
  <c r="M43" i="41" s="1"/>
  <c r="AD34" i="43"/>
  <c r="L40" i="41" s="1"/>
  <c r="K40" i="41"/>
  <c r="AD33" i="43"/>
  <c r="L39" i="41" s="1"/>
  <c r="K39" i="41"/>
  <c r="AD31" i="43"/>
  <c r="L37" i="41" s="1"/>
  <c r="K37" i="41"/>
  <c r="AD29" i="43"/>
  <c r="L35" i="41" s="1"/>
  <c r="K35" i="41"/>
  <c r="AD27" i="43"/>
  <c r="L28" i="41" s="1"/>
  <c r="K28" i="41"/>
  <c r="AD20" i="43"/>
  <c r="L20" i="41" s="1"/>
  <c r="K20" i="41"/>
  <c r="AD18" i="43"/>
  <c r="L19" i="41" s="1"/>
  <c r="K19" i="41"/>
  <c r="AD17" i="43"/>
  <c r="L18" i="41" s="1"/>
  <c r="K18" i="41"/>
  <c r="AD15" i="43"/>
  <c r="L17" i="41" s="1"/>
  <c r="K17" i="41"/>
  <c r="AD14" i="43"/>
  <c r="L14" i="41" s="1"/>
  <c r="K14" i="41"/>
  <c r="AD10" i="43"/>
  <c r="L10" i="41" s="1"/>
  <c r="K10" i="41"/>
  <c r="AD9" i="43"/>
  <c r="L9" i="41" s="1"/>
  <c r="K9" i="41"/>
  <c r="AD4" i="43"/>
  <c r="L4" i="41" s="1"/>
  <c r="K4" i="41"/>
  <c r="AC61" i="43"/>
  <c r="AC57" i="43"/>
  <c r="AD57" i="43" s="1"/>
  <c r="AC25" i="42"/>
  <c r="AD25" i="42" s="1"/>
  <c r="AC59" i="42"/>
  <c r="AD59" i="42" s="1"/>
  <c r="J7" i="41"/>
  <c r="I7" i="41"/>
  <c r="H7" i="41"/>
  <c r="G7" i="41"/>
  <c r="H6" i="41"/>
  <c r="G6" i="41"/>
  <c r="K71" i="41" l="1"/>
  <c r="N7" i="41"/>
  <c r="M7" i="41"/>
  <c r="X73" i="42"/>
  <c r="X68" i="42"/>
  <c r="AC7" i="42"/>
  <c r="AD7" i="42" s="1"/>
  <c r="W73" i="42"/>
  <c r="W68" i="42"/>
  <c r="V73" i="42"/>
  <c r="V68" i="42"/>
  <c r="AO18" i="42"/>
  <c r="AM18" i="42"/>
  <c r="AM19" i="42" s="1"/>
  <c r="AC6" i="42"/>
  <c r="U73" i="42"/>
  <c r="U68" i="42"/>
  <c r="AD6" i="42" l="1"/>
  <c r="J6" i="41" s="1"/>
  <c r="N6" i="41" s="1"/>
  <c r="I6" i="41"/>
  <c r="M6" i="41" s="1"/>
  <c r="T73" i="42"/>
  <c r="T68" i="42"/>
  <c r="S73" i="42" l="1"/>
  <c r="S68" i="42"/>
  <c r="R73" i="42" l="1"/>
  <c r="R68" i="42"/>
  <c r="Q73" i="42" l="1"/>
  <c r="Q68" i="42"/>
  <c r="P73" i="42" l="1"/>
  <c r="P68" i="42"/>
  <c r="O73" i="42" l="1"/>
  <c r="O68" i="42"/>
  <c r="N73" i="42" l="1"/>
  <c r="N68" i="42"/>
  <c r="M73" i="42" l="1"/>
  <c r="M68" i="42"/>
  <c r="L73" i="42" l="1"/>
  <c r="L68" i="42"/>
  <c r="K73" i="42" l="1"/>
  <c r="K68" i="42"/>
  <c r="J73" i="42" l="1"/>
  <c r="J68" i="42"/>
  <c r="AC51" i="42" l="1"/>
  <c r="AD51" i="42" s="1"/>
  <c r="I73" i="42"/>
  <c r="I68" i="42"/>
  <c r="AB73" i="42"/>
  <c r="H73" i="42"/>
  <c r="AB68" i="42"/>
  <c r="H68" i="42"/>
  <c r="H56" i="41" l="1"/>
  <c r="G56" i="41"/>
  <c r="AC71" i="42"/>
  <c r="AD71" i="42" s="1"/>
  <c r="AC70" i="42"/>
  <c r="AD70" i="42" s="1"/>
  <c r="AC66" i="42"/>
  <c r="AC65" i="42"/>
  <c r="AC64" i="42"/>
  <c r="AC63" i="42"/>
  <c r="AC62" i="42"/>
  <c r="AC61" i="42"/>
  <c r="AC60" i="42"/>
  <c r="AC58" i="42"/>
  <c r="AC57" i="42"/>
  <c r="AC56" i="42"/>
  <c r="AC55" i="42"/>
  <c r="AC54" i="42"/>
  <c r="AC53" i="42"/>
  <c r="AC52" i="42"/>
  <c r="AC50" i="42"/>
  <c r="AC49" i="42"/>
  <c r="AC48" i="42"/>
  <c r="AC47" i="42"/>
  <c r="AC46" i="42"/>
  <c r="AC45" i="42"/>
  <c r="AC43" i="42"/>
  <c r="AG42" i="42"/>
  <c r="AG47" i="42" s="1"/>
  <c r="AC42" i="42"/>
  <c r="AC41" i="42"/>
  <c r="AC40" i="42"/>
  <c r="AC39" i="42"/>
  <c r="AC38" i="42"/>
  <c r="AC37" i="42"/>
  <c r="AC36" i="42"/>
  <c r="AJ35" i="42"/>
  <c r="AG35" i="42"/>
  <c r="AC35" i="42"/>
  <c r="AC34" i="42"/>
  <c r="AC33" i="42"/>
  <c r="AC32" i="42"/>
  <c r="AC31" i="42"/>
  <c r="AC30" i="42"/>
  <c r="AC29" i="42"/>
  <c r="AC28" i="42"/>
  <c r="AC27" i="42"/>
  <c r="AC26" i="42"/>
  <c r="AC24" i="42"/>
  <c r="AC23" i="42"/>
  <c r="AC22" i="42"/>
  <c r="AC21" i="42"/>
  <c r="AC20" i="42"/>
  <c r="AC19" i="42"/>
  <c r="AC18" i="42"/>
  <c r="AC17" i="42"/>
  <c r="AC16" i="42"/>
  <c r="AC15" i="42"/>
  <c r="AC14" i="42"/>
  <c r="AC13" i="42"/>
  <c r="AC12" i="42"/>
  <c r="AC11" i="42"/>
  <c r="AG10" i="42"/>
  <c r="AG15" i="42" s="1"/>
  <c r="AL15" i="42" s="1"/>
  <c r="AC10" i="42"/>
  <c r="AC9" i="42"/>
  <c r="AC8" i="42"/>
  <c r="AC5" i="42"/>
  <c r="AC4" i="42"/>
  <c r="AD62" i="39"/>
  <c r="AE53" i="39"/>
  <c r="AF53" i="39" s="1"/>
  <c r="AD24" i="42" l="1"/>
  <c r="J22" i="41" s="1"/>
  <c r="I22" i="41"/>
  <c r="AD23" i="42"/>
  <c r="J21" i="41" s="1"/>
  <c r="I21" i="41"/>
  <c r="AD10" i="42"/>
  <c r="J10" i="41" s="1"/>
  <c r="N10" i="41" s="1"/>
  <c r="I10" i="41"/>
  <c r="M10" i="41" s="1"/>
  <c r="AD52" i="42"/>
  <c r="J50" i="41" s="1"/>
  <c r="I50" i="41"/>
  <c r="AD43" i="42"/>
  <c r="J42" i="41" s="1"/>
  <c r="I42" i="41"/>
  <c r="AD27" i="42"/>
  <c r="J26" i="41" s="1"/>
  <c r="I26" i="41"/>
  <c r="AD17" i="42"/>
  <c r="J16" i="41" s="1"/>
  <c r="I16" i="41"/>
  <c r="AD13" i="42"/>
  <c r="J13" i="41" s="1"/>
  <c r="I13" i="41"/>
  <c r="AD8" i="42"/>
  <c r="J8" i="41" s="1"/>
  <c r="I8" i="41"/>
  <c r="AD55" i="42"/>
  <c r="J54" i="41" s="1"/>
  <c r="I54" i="41"/>
  <c r="AD54" i="42"/>
  <c r="J53" i="41" s="1"/>
  <c r="I53" i="41"/>
  <c r="AD56" i="42"/>
  <c r="J55" i="41" s="1"/>
  <c r="I55" i="41"/>
  <c r="AD41" i="42"/>
  <c r="J40" i="41" s="1"/>
  <c r="I40" i="41"/>
  <c r="AD4" i="42"/>
  <c r="J4" i="41" s="1"/>
  <c r="I4" i="41"/>
  <c r="AD21" i="42"/>
  <c r="J23" i="41" s="1"/>
  <c r="I23" i="41"/>
  <c r="AD28" i="42"/>
  <c r="J27" i="41" s="1"/>
  <c r="I27" i="41"/>
  <c r="AD30" i="42"/>
  <c r="J29" i="41" s="1"/>
  <c r="I29" i="41"/>
  <c r="AD35" i="42"/>
  <c r="J34" i="41" s="1"/>
  <c r="I34" i="41"/>
  <c r="AD34" i="42"/>
  <c r="J33" i="41" s="1"/>
  <c r="I33" i="41"/>
  <c r="AD33" i="42"/>
  <c r="J31" i="41" s="1"/>
  <c r="I31" i="41"/>
  <c r="AD32" i="42"/>
  <c r="J32" i="41" s="1"/>
  <c r="I32" i="41"/>
  <c r="AD31" i="42"/>
  <c r="J30" i="41" s="1"/>
  <c r="I30" i="41"/>
  <c r="AD36" i="42"/>
  <c r="J35" i="41" s="1"/>
  <c r="I35" i="41"/>
  <c r="AD40" i="42"/>
  <c r="J39" i="41" s="1"/>
  <c r="I39" i="41"/>
  <c r="AD42" i="42"/>
  <c r="J41" i="41" s="1"/>
  <c r="I41" i="41"/>
  <c r="AD45" i="42"/>
  <c r="J44" i="41" s="1"/>
  <c r="I44" i="41"/>
  <c r="AD46" i="42"/>
  <c r="J47" i="41" s="1"/>
  <c r="I47" i="41"/>
  <c r="AD47" i="42"/>
  <c r="J45" i="41" s="1"/>
  <c r="I45" i="41"/>
  <c r="AD48" i="42"/>
  <c r="J46" i="41" s="1"/>
  <c r="I46" i="41"/>
  <c r="AD53" i="42"/>
  <c r="J51" i="41" s="1"/>
  <c r="I51" i="41"/>
  <c r="AD65" i="42"/>
  <c r="J63" i="41" s="1"/>
  <c r="I63" i="41"/>
  <c r="AD64" i="42"/>
  <c r="J62" i="41" s="1"/>
  <c r="I62" i="41"/>
  <c r="AD63" i="42"/>
  <c r="J61" i="41" s="1"/>
  <c r="I61" i="41"/>
  <c r="AD62" i="42"/>
  <c r="J60" i="41" s="1"/>
  <c r="I60" i="41"/>
  <c r="AD61" i="42"/>
  <c r="J59" i="41" s="1"/>
  <c r="I59" i="41"/>
  <c r="AD15" i="42"/>
  <c r="J17" i="41" s="1"/>
  <c r="I17" i="41"/>
  <c r="AD14" i="42"/>
  <c r="J14" i="41" s="1"/>
  <c r="I14" i="41"/>
  <c r="AD26" i="42"/>
  <c r="J25" i="41" s="1"/>
  <c r="I25" i="41"/>
  <c r="AD66" i="42"/>
  <c r="J64" i="41" s="1"/>
  <c r="I64" i="41"/>
  <c r="AD57" i="42"/>
  <c r="J52" i="41" s="1"/>
  <c r="I52" i="41"/>
  <c r="AD49" i="42"/>
  <c r="J48" i="41" s="1"/>
  <c r="I48" i="41"/>
  <c r="AD9" i="42"/>
  <c r="J9" i="41" s="1"/>
  <c r="I9" i="41"/>
  <c r="AD11" i="42"/>
  <c r="J11" i="41" s="1"/>
  <c r="I11" i="41"/>
  <c r="AD16" i="42"/>
  <c r="J15" i="41" s="1"/>
  <c r="I15" i="41"/>
  <c r="AD20" i="42"/>
  <c r="J24" i="41" s="1"/>
  <c r="I24" i="41"/>
  <c r="AD18" i="42"/>
  <c r="J18" i="41" s="1"/>
  <c r="I18" i="41"/>
  <c r="AD19" i="42"/>
  <c r="J19" i="41" s="1"/>
  <c r="I19" i="41"/>
  <c r="AD39" i="42"/>
  <c r="J38" i="41" s="1"/>
  <c r="I38" i="41"/>
  <c r="AD37" i="42"/>
  <c r="J36" i="41" s="1"/>
  <c r="I36" i="41"/>
  <c r="AD58" i="42"/>
  <c r="J56" i="41" s="1"/>
  <c r="N56" i="41" s="1"/>
  <c r="I56" i="41"/>
  <c r="M56" i="41" s="1"/>
  <c r="AD12" i="42"/>
  <c r="J12" i="41" s="1"/>
  <c r="I12" i="41"/>
  <c r="AD22" i="42"/>
  <c r="J20" i="41" s="1"/>
  <c r="I20" i="41"/>
  <c r="AD50" i="42"/>
  <c r="J49" i="41" s="1"/>
  <c r="I49" i="41"/>
  <c r="AD38" i="42"/>
  <c r="J37" i="41" s="1"/>
  <c r="I37" i="41"/>
  <c r="AD60" i="42"/>
  <c r="J58" i="41" s="1"/>
  <c r="I58" i="41"/>
  <c r="AD29" i="42"/>
  <c r="J28" i="41" s="1"/>
  <c r="I28" i="41"/>
  <c r="AD5" i="42"/>
  <c r="J5" i="41" s="1"/>
  <c r="I5" i="41"/>
  <c r="AC68" i="42"/>
  <c r="AD68" i="42" s="1"/>
  <c r="AC73" i="42"/>
  <c r="AC67" i="39"/>
  <c r="AC62" i="39"/>
  <c r="AB67" i="39" l="1"/>
  <c r="AB62" i="39"/>
  <c r="AA67" i="39" l="1"/>
  <c r="T88" i="32"/>
  <c r="S88" i="32"/>
  <c r="L88" i="32"/>
  <c r="K88" i="32"/>
  <c r="J88" i="32"/>
  <c r="I88" i="32"/>
  <c r="H88" i="32"/>
  <c r="G88" i="32"/>
  <c r="AE48" i="39"/>
  <c r="AF48" i="39" s="1"/>
  <c r="H51" i="41" s="1"/>
  <c r="AE59" i="39"/>
  <c r="AF59" i="39" s="1"/>
  <c r="H63" i="41" s="1"/>
  <c r="AE25" i="39"/>
  <c r="G27" i="41" s="1"/>
  <c r="AA62" i="39"/>
  <c r="N88" i="32" l="1"/>
  <c r="M88" i="32"/>
  <c r="M27" i="41"/>
  <c r="N63" i="41"/>
  <c r="G63" i="41"/>
  <c r="M63" i="41" s="1"/>
  <c r="G51" i="41"/>
  <c r="M51" i="41" s="1"/>
  <c r="AF25" i="39"/>
  <c r="H27" i="41" s="1"/>
  <c r="N27" i="41" s="1"/>
  <c r="N51" i="41"/>
  <c r="AN13" i="39"/>
  <c r="Z62" i="39"/>
  <c r="Z67" i="39"/>
  <c r="Y67" i="39" l="1"/>
  <c r="Y62" i="39"/>
  <c r="X67" i="39" l="1"/>
  <c r="X62" i="39"/>
  <c r="W67" i="39" l="1"/>
  <c r="W62" i="39"/>
  <c r="AE8" i="39" l="1"/>
  <c r="AF8" i="39" s="1"/>
  <c r="V67" i="39"/>
  <c r="V62" i="39"/>
  <c r="U62" i="39" l="1"/>
  <c r="U67" i="39"/>
  <c r="T67" i="39" l="1"/>
  <c r="T62" i="39"/>
  <c r="S67" i="39"/>
  <c r="S62" i="39"/>
  <c r="AE45" i="39"/>
  <c r="R67" i="39"/>
  <c r="R62" i="39"/>
  <c r="Q67" i="39" l="1"/>
  <c r="Q62" i="39"/>
  <c r="P62" i="39"/>
  <c r="P67" i="39"/>
  <c r="H22" i="41" l="1"/>
  <c r="G22" i="41"/>
  <c r="H21" i="41"/>
  <c r="G21" i="41"/>
  <c r="G48" i="41"/>
  <c r="AF45" i="39"/>
  <c r="H48" i="41" s="1"/>
  <c r="AE13" i="39"/>
  <c r="AF13" i="39" s="1"/>
  <c r="H17" i="41" s="1"/>
  <c r="O67" i="39"/>
  <c r="O62" i="39"/>
  <c r="M22" i="41" l="1"/>
  <c r="N21" i="41"/>
  <c r="N22" i="41"/>
  <c r="N48" i="41"/>
  <c r="M21" i="41"/>
  <c r="G17" i="41"/>
  <c r="M17" i="41" s="1"/>
  <c r="N17" i="41"/>
  <c r="M48" i="41"/>
  <c r="N67" i="39"/>
  <c r="N62" i="39"/>
  <c r="M62" i="39"/>
  <c r="L62" i="39"/>
  <c r="AE60" i="39"/>
  <c r="AF60" i="39" s="1"/>
  <c r="H64" i="41" s="1"/>
  <c r="K62" i="39"/>
  <c r="J62" i="39"/>
  <c r="I62" i="39"/>
  <c r="H62" i="39"/>
  <c r="M67" i="39"/>
  <c r="G64" i="41" l="1"/>
  <c r="M64" i="41" s="1"/>
  <c r="N64" i="41"/>
  <c r="L67" i="39"/>
  <c r="K67" i="39" l="1"/>
  <c r="AD67" i="39" l="1"/>
  <c r="AE67" i="39" s="1"/>
  <c r="AE64" i="39"/>
  <c r="AE65" i="39"/>
  <c r="G70" i="41" s="1"/>
  <c r="M70" i="41" s="1"/>
  <c r="P88" i="32" s="1"/>
  <c r="Y88" i="32" s="1"/>
  <c r="AE5" i="39"/>
  <c r="AE6" i="39"/>
  <c r="AE7" i="39"/>
  <c r="AE9" i="39"/>
  <c r="AE10" i="39"/>
  <c r="AE11" i="39"/>
  <c r="AE12" i="39"/>
  <c r="AE14" i="39"/>
  <c r="AE15" i="39"/>
  <c r="AE16" i="39"/>
  <c r="AE17" i="39"/>
  <c r="AE18" i="39"/>
  <c r="AE20" i="39"/>
  <c r="AE21" i="39"/>
  <c r="AE22" i="39"/>
  <c r="AE19" i="39"/>
  <c r="AE23" i="39"/>
  <c r="AE24" i="39"/>
  <c r="AE26" i="39"/>
  <c r="AE27" i="39"/>
  <c r="AE28" i="39"/>
  <c r="AE29" i="39"/>
  <c r="AE30" i="39"/>
  <c r="AE31" i="39"/>
  <c r="AE32" i="39"/>
  <c r="AE33" i="39"/>
  <c r="AE34" i="39"/>
  <c r="AE35" i="39"/>
  <c r="AE36" i="39"/>
  <c r="AE37" i="39"/>
  <c r="AE38" i="39"/>
  <c r="G40" i="41" s="1"/>
  <c r="M40" i="41" s="1"/>
  <c r="AE39" i="39"/>
  <c r="AE40" i="39"/>
  <c r="AE41" i="39"/>
  <c r="AE42" i="39"/>
  <c r="AE43" i="39"/>
  <c r="AE44" i="39"/>
  <c r="AE46" i="39"/>
  <c r="AE47" i="39"/>
  <c r="AE49" i="39"/>
  <c r="G53" i="41" s="1"/>
  <c r="M53" i="41" s="1"/>
  <c r="AE50" i="39"/>
  <c r="AE51" i="39"/>
  <c r="AE52" i="39"/>
  <c r="AE54" i="39"/>
  <c r="AE55" i="39"/>
  <c r="AE56" i="39"/>
  <c r="AE57" i="39"/>
  <c r="AE58" i="39"/>
  <c r="AE4" i="39"/>
  <c r="J67" i="39"/>
  <c r="AF21" i="39" l="1"/>
  <c r="T87" i="32"/>
  <c r="S87" i="32"/>
  <c r="T86" i="32"/>
  <c r="S86" i="32"/>
  <c r="T85" i="32"/>
  <c r="S85" i="32"/>
  <c r="AF22" i="39"/>
  <c r="AF49" i="39"/>
  <c r="H53" i="41" s="1"/>
  <c r="N53" i="41" s="1"/>
  <c r="S89" i="32" l="1"/>
  <c r="Q4" i="32"/>
  <c r="P4" i="32" l="1"/>
  <c r="G4" i="32"/>
  <c r="G35" i="41"/>
  <c r="I67" i="39"/>
  <c r="H67" i="39"/>
  <c r="AF65" i="39"/>
  <c r="H70" i="41" s="1"/>
  <c r="N70" i="41" s="1"/>
  <c r="Q88" i="32" s="1"/>
  <c r="Z88" i="32" s="1"/>
  <c r="AF64" i="39"/>
  <c r="H69" i="41" s="1"/>
  <c r="Q85" i="32"/>
  <c r="AF58" i="39"/>
  <c r="H62" i="41" s="1"/>
  <c r="AF57" i="39"/>
  <c r="H61" i="41" s="1"/>
  <c r="AF56" i="39"/>
  <c r="H60" i="41" s="1"/>
  <c r="AF55" i="39"/>
  <c r="H59" i="41" s="1"/>
  <c r="AF54" i="39"/>
  <c r="H58" i="41" s="1"/>
  <c r="AF52" i="39"/>
  <c r="H52" i="41" s="1"/>
  <c r="AF51" i="39"/>
  <c r="H55" i="41" s="1"/>
  <c r="AF50" i="39"/>
  <c r="H54" i="41" s="1"/>
  <c r="AF47" i="39"/>
  <c r="H50" i="41" s="1"/>
  <c r="AF46" i="39"/>
  <c r="H49" i="41" s="1"/>
  <c r="AF44" i="39"/>
  <c r="H46" i="41" s="1"/>
  <c r="AF43" i="39"/>
  <c r="H45" i="41" s="1"/>
  <c r="AF42" i="39"/>
  <c r="H47" i="41" s="1"/>
  <c r="AF41" i="39"/>
  <c r="H44" i="41" s="1"/>
  <c r="AF40" i="39"/>
  <c r="H42" i="41" s="1"/>
  <c r="AF39" i="39"/>
  <c r="H41" i="41" s="1"/>
  <c r="AF38" i="39"/>
  <c r="H40" i="41" s="1"/>
  <c r="N40" i="41" s="1"/>
  <c r="AI39" i="39"/>
  <c r="AI43" i="39" s="1"/>
  <c r="AF37" i="39"/>
  <c r="AF36" i="39"/>
  <c r="H38" i="41" s="1"/>
  <c r="AF35" i="39"/>
  <c r="H37" i="41" s="1"/>
  <c r="AF34" i="39"/>
  <c r="H36" i="41" s="1"/>
  <c r="AF33" i="39"/>
  <c r="H35" i="41" s="1"/>
  <c r="AF32" i="39"/>
  <c r="H34" i="41" s="1"/>
  <c r="AF31" i="39"/>
  <c r="H33" i="41" s="1"/>
  <c r="AL32" i="39"/>
  <c r="AI32" i="39"/>
  <c r="AF30" i="39"/>
  <c r="H31" i="41" s="1"/>
  <c r="AF29" i="39"/>
  <c r="H32" i="41" s="1"/>
  <c r="AF28" i="39"/>
  <c r="H30" i="41" s="1"/>
  <c r="AF27" i="39"/>
  <c r="H29" i="41" s="1"/>
  <c r="AF26" i="39"/>
  <c r="H28" i="41" s="1"/>
  <c r="AF24" i="39"/>
  <c r="H26" i="41" s="1"/>
  <c r="AF23" i="39"/>
  <c r="H25" i="41" s="1"/>
  <c r="AF19" i="39"/>
  <c r="H23" i="41" s="1"/>
  <c r="AF20" i="39"/>
  <c r="H20" i="41" s="1"/>
  <c r="AF18" i="39"/>
  <c r="H24" i="41" s="1"/>
  <c r="AF17" i="39"/>
  <c r="H19" i="41" s="1"/>
  <c r="AF16" i="39"/>
  <c r="H18" i="41" s="1"/>
  <c r="AF15" i="39"/>
  <c r="H16" i="41" s="1"/>
  <c r="AF14" i="39"/>
  <c r="H15" i="41" s="1"/>
  <c r="AF12" i="39"/>
  <c r="H14" i="41" s="1"/>
  <c r="AF11" i="39"/>
  <c r="H13" i="41" s="1"/>
  <c r="AF10" i="39"/>
  <c r="H12" i="41" s="1"/>
  <c r="AF9" i="39"/>
  <c r="H11" i="41" s="1"/>
  <c r="AI8" i="39"/>
  <c r="AI13" i="39" s="1"/>
  <c r="AF7" i="39"/>
  <c r="H9" i="41" s="1"/>
  <c r="AF6" i="39"/>
  <c r="H8" i="41" s="1"/>
  <c r="AF5" i="39"/>
  <c r="H5" i="41" s="1"/>
  <c r="AD61" i="38"/>
  <c r="AE61" i="38" s="1"/>
  <c r="H39" i="41" l="1"/>
  <c r="N39" i="41" s="1"/>
  <c r="AE62" i="39"/>
  <c r="G41" i="41"/>
  <c r="M41" i="41" s="1"/>
  <c r="G18" i="41"/>
  <c r="M18" i="41" s="1"/>
  <c r="G59" i="41"/>
  <c r="M59" i="41" s="1"/>
  <c r="G52" i="41"/>
  <c r="M52" i="41" s="1"/>
  <c r="G60" i="41"/>
  <c r="M60" i="41" s="1"/>
  <c r="G55" i="41"/>
  <c r="M55" i="41" s="1"/>
  <c r="G42" i="41"/>
  <c r="M42" i="41" s="1"/>
  <c r="G37" i="41"/>
  <c r="M37" i="41" s="1"/>
  <c r="G23" i="41"/>
  <c r="M23" i="41" s="1"/>
  <c r="G5" i="41"/>
  <c r="M5" i="41" s="1"/>
  <c r="G69" i="41"/>
  <c r="G62" i="41"/>
  <c r="M62" i="41" s="1"/>
  <c r="G58" i="41"/>
  <c r="M58" i="41" s="1"/>
  <c r="G50" i="41"/>
  <c r="M50" i="41" s="1"/>
  <c r="G39" i="41"/>
  <c r="M39" i="41" s="1"/>
  <c r="G26" i="41"/>
  <c r="M26" i="41" s="1"/>
  <c r="G16" i="41"/>
  <c r="M16" i="41" s="1"/>
  <c r="G61" i="41"/>
  <c r="M61" i="41" s="1"/>
  <c r="G46" i="41"/>
  <c r="M46" i="41" s="1"/>
  <c r="G38" i="41"/>
  <c r="M38" i="41" s="1"/>
  <c r="G13" i="41"/>
  <c r="M13" i="41" s="1"/>
  <c r="G54" i="41"/>
  <c r="M54" i="41" s="1"/>
  <c r="G49" i="41"/>
  <c r="M49" i="41" s="1"/>
  <c r="G45" i="41"/>
  <c r="M45" i="41" s="1"/>
  <c r="G47" i="41"/>
  <c r="M47" i="41" s="1"/>
  <c r="G34" i="41"/>
  <c r="M34" i="41" s="1"/>
  <c r="G33" i="41"/>
  <c r="M33" i="41" s="1"/>
  <c r="G31" i="41"/>
  <c r="M31" i="41" s="1"/>
  <c r="G32" i="41"/>
  <c r="M32" i="41" s="1"/>
  <c r="G30" i="41"/>
  <c r="M30" i="41" s="1"/>
  <c r="G29" i="41"/>
  <c r="M29" i="41" s="1"/>
  <c r="G25" i="41"/>
  <c r="M25" i="41" s="1"/>
  <c r="G15" i="41"/>
  <c r="M15" i="41" s="1"/>
  <c r="G12" i="41"/>
  <c r="M12" i="41" s="1"/>
  <c r="G11" i="41"/>
  <c r="M11" i="41" s="1"/>
  <c r="G9" i="41"/>
  <c r="M9" i="41" s="1"/>
  <c r="G8" i="41"/>
  <c r="M8" i="41" s="1"/>
  <c r="G19" i="41"/>
  <c r="M19" i="41" s="1"/>
  <c r="G44" i="41"/>
  <c r="M44" i="41" s="1"/>
  <c r="G24" i="41"/>
  <c r="M24" i="41" s="1"/>
  <c r="G20" i="41"/>
  <c r="M20" i="41" s="1"/>
  <c r="G14" i="41"/>
  <c r="M14" i="41" s="1"/>
  <c r="G36" i="41"/>
  <c r="M36" i="41" s="1"/>
  <c r="G28" i="41"/>
  <c r="M28" i="41" s="1"/>
  <c r="AF4" i="39"/>
  <c r="H4" i="41" s="1"/>
  <c r="N4" i="41" s="1"/>
  <c r="G4" i="41"/>
  <c r="M4" i="41" s="1"/>
  <c r="N62" i="41"/>
  <c r="N69" i="41"/>
  <c r="Q87" i="32" s="1"/>
  <c r="N9" i="41"/>
  <c r="N11" i="41"/>
  <c r="N14" i="41"/>
  <c r="N42" i="41"/>
  <c r="N46" i="41"/>
  <c r="N47" i="41"/>
  <c r="N49" i="41"/>
  <c r="N52" i="41"/>
  <c r="N54" i="41"/>
  <c r="N12" i="41"/>
  <c r="N50" i="41"/>
  <c r="I65" i="41"/>
  <c r="N20" i="41"/>
  <c r="N24" i="41"/>
  <c r="N29" i="41"/>
  <c r="N32" i="41"/>
  <c r="N34" i="41"/>
  <c r="N35" i="41"/>
  <c r="N36" i="41"/>
  <c r="N44" i="41"/>
  <c r="N45" i="41"/>
  <c r="N25" i="41"/>
  <c r="N38" i="41"/>
  <c r="N55" i="41"/>
  <c r="N58" i="41"/>
  <c r="N59" i="41"/>
  <c r="N18" i="41"/>
  <c r="N19" i="41"/>
  <c r="N30" i="41"/>
  <c r="N31" i="41"/>
  <c r="M35" i="41"/>
  <c r="N60" i="41"/>
  <c r="N5" i="41"/>
  <c r="N16" i="41"/>
  <c r="N23" i="41"/>
  <c r="N26" i="41"/>
  <c r="N28" i="41"/>
  <c r="N33" i="41"/>
  <c r="N37" i="41"/>
  <c r="N41" i="41"/>
  <c r="N8" i="41"/>
  <c r="N13" i="41"/>
  <c r="N15" i="41"/>
  <c r="P86" i="32"/>
  <c r="K65" i="41"/>
  <c r="Q86" i="32"/>
  <c r="N61" i="41"/>
  <c r="AF62" i="39"/>
  <c r="AA63" i="38"/>
  <c r="AA57" i="38"/>
  <c r="M69" i="41" l="1"/>
  <c r="G71" i="41"/>
  <c r="P87" i="32"/>
  <c r="M71" i="41"/>
  <c r="G65" i="41"/>
  <c r="M65" i="41"/>
  <c r="Z63" i="38"/>
  <c r="Z57" i="38"/>
  <c r="P85" i="32" l="1"/>
  <c r="P89" i="32" s="1"/>
  <c r="Y63" i="38"/>
  <c r="Y57" i="38"/>
  <c r="X63" i="38" l="1"/>
  <c r="X57" i="38"/>
  <c r="W63" i="38" l="1"/>
  <c r="W57" i="38"/>
  <c r="AB63" i="38" l="1"/>
  <c r="V63" i="38"/>
  <c r="U63" i="38"/>
  <c r="T63" i="38"/>
  <c r="V57" i="38"/>
  <c r="U57" i="38" l="1"/>
  <c r="AB57" i="38"/>
  <c r="AD20" i="38" l="1"/>
  <c r="T57" i="38"/>
  <c r="AE20" i="38" l="1"/>
  <c r="S63" i="38"/>
  <c r="S57" i="38"/>
  <c r="R63" i="38"/>
  <c r="R57" i="38"/>
  <c r="Q63" i="38"/>
  <c r="Q57" i="38"/>
  <c r="P63" i="38" l="1"/>
  <c r="P57" i="38"/>
  <c r="O63" i="38" l="1"/>
  <c r="AD8" i="38"/>
  <c r="AE8" i="38" s="1"/>
  <c r="O57" i="38"/>
  <c r="N63" i="38" l="1"/>
  <c r="N57" i="38"/>
  <c r="M63" i="38" l="1"/>
  <c r="M57" i="38"/>
  <c r="L63" i="38" l="1"/>
  <c r="L57" i="38"/>
  <c r="K63" i="38" l="1"/>
  <c r="K57" i="38"/>
  <c r="J63" i="38" l="1"/>
  <c r="J57" i="38"/>
  <c r="I63" i="38" l="1"/>
  <c r="I57" i="38"/>
  <c r="H63" i="38" l="1"/>
  <c r="L86" i="32" l="1"/>
  <c r="K86" i="32"/>
  <c r="AD60" i="38"/>
  <c r="AE60" i="38" s="1"/>
  <c r="L87" i="32" s="1"/>
  <c r="AD59" i="38"/>
  <c r="AE59" i="38" s="1"/>
  <c r="L85" i="32" s="1"/>
  <c r="H57" i="38"/>
  <c r="AD55" i="38"/>
  <c r="AE55" i="38" s="1"/>
  <c r="AD54" i="38"/>
  <c r="AE54" i="38" s="1"/>
  <c r="AH61" i="38"/>
  <c r="AH64" i="38" s="1"/>
  <c r="AD53" i="38"/>
  <c r="AE53" i="38" s="1"/>
  <c r="AD52" i="38"/>
  <c r="AE52" i="38" s="1"/>
  <c r="AD51" i="38"/>
  <c r="AE51" i="38" s="1"/>
  <c r="AD50" i="38"/>
  <c r="AE50" i="38" s="1"/>
  <c r="AD49" i="38"/>
  <c r="AE49" i="38" s="1"/>
  <c r="AD48" i="38"/>
  <c r="AE48" i="38" s="1"/>
  <c r="AD47" i="38"/>
  <c r="AE47" i="38" s="1"/>
  <c r="AD46" i="38"/>
  <c r="AE46" i="38" s="1"/>
  <c r="AD45" i="38"/>
  <c r="AE45" i="38" s="1"/>
  <c r="AD44" i="38"/>
  <c r="AE44" i="38" s="1"/>
  <c r="AD43" i="38"/>
  <c r="AE43" i="38" s="1"/>
  <c r="AD42" i="38"/>
  <c r="AE42" i="38" s="1"/>
  <c r="AD41" i="38"/>
  <c r="AE41" i="38" s="1"/>
  <c r="AD40" i="38"/>
  <c r="AE40" i="38" s="1"/>
  <c r="AD39" i="38"/>
  <c r="AE39" i="38" s="1"/>
  <c r="AD38" i="38"/>
  <c r="AE38" i="38" s="1"/>
  <c r="AD37" i="38"/>
  <c r="AE37" i="38" s="1"/>
  <c r="AD36" i="38"/>
  <c r="AE36" i="38" s="1"/>
  <c r="AD35" i="38"/>
  <c r="AE35" i="38" s="1"/>
  <c r="AD34" i="38"/>
  <c r="AE34" i="38" s="1"/>
  <c r="AD33" i="38"/>
  <c r="AE33" i="38" s="1"/>
  <c r="AD32" i="38"/>
  <c r="AE32" i="38" s="1"/>
  <c r="AH37" i="38"/>
  <c r="AH41" i="38" s="1"/>
  <c r="AD31" i="38"/>
  <c r="AE31" i="38" s="1"/>
  <c r="AD30" i="38"/>
  <c r="AE30" i="38" s="1"/>
  <c r="AD29" i="38"/>
  <c r="AE29" i="38" s="1"/>
  <c r="AD28" i="38"/>
  <c r="AE28" i="38" s="1"/>
  <c r="AD27" i="38"/>
  <c r="AE27" i="38" s="1"/>
  <c r="AD26" i="38"/>
  <c r="AE26" i="38" s="1"/>
  <c r="AD25" i="38"/>
  <c r="AE25" i="38" s="1"/>
  <c r="AK30" i="38"/>
  <c r="AH30" i="38"/>
  <c r="AD24" i="38"/>
  <c r="AE24" i="38" s="1"/>
  <c r="AD23" i="38"/>
  <c r="AE23" i="38" s="1"/>
  <c r="AD22" i="38"/>
  <c r="AE22" i="38" s="1"/>
  <c r="AD21" i="38"/>
  <c r="AE21" i="38" s="1"/>
  <c r="AD19" i="38"/>
  <c r="AE19" i="38" s="1"/>
  <c r="AD18" i="38"/>
  <c r="AE18" i="38" s="1"/>
  <c r="AD17" i="38"/>
  <c r="AE17" i="38" s="1"/>
  <c r="AD16" i="38"/>
  <c r="AE16" i="38" s="1"/>
  <c r="AD15" i="38"/>
  <c r="AE15" i="38" s="1"/>
  <c r="AD14" i="38"/>
  <c r="AE14" i="38" s="1"/>
  <c r="AD13" i="38"/>
  <c r="AE13" i="38" s="1"/>
  <c r="AD12" i="38"/>
  <c r="AE12" i="38" s="1"/>
  <c r="AD11" i="38"/>
  <c r="AD10" i="38"/>
  <c r="AE10" i="38" s="1"/>
  <c r="AD9" i="38"/>
  <c r="AE9" i="38" s="1"/>
  <c r="AD7" i="38"/>
  <c r="AE7" i="38" s="1"/>
  <c r="AH8" i="38"/>
  <c r="AH13" i="38" s="1"/>
  <c r="AD6" i="38"/>
  <c r="AE6" i="38" s="1"/>
  <c r="AD5" i="38"/>
  <c r="AE5" i="38" s="1"/>
  <c r="AD4" i="38"/>
  <c r="AE4" i="38" s="1"/>
  <c r="L4" i="32" s="1"/>
  <c r="K85" i="32" l="1"/>
  <c r="AE11" i="38"/>
  <c r="K87" i="32"/>
  <c r="K4" i="32"/>
  <c r="AD63" i="38"/>
  <c r="AD57" i="38"/>
  <c r="AE57" i="38" s="1"/>
  <c r="I87" i="32" l="1"/>
  <c r="H87" i="32"/>
  <c r="G87" i="32"/>
  <c r="J87" i="32"/>
  <c r="M87" i="32" l="1"/>
  <c r="Y87" i="32" s="1"/>
  <c r="N87" i="32"/>
  <c r="Z87" i="32" s="1"/>
  <c r="J86" i="32" l="1"/>
  <c r="J4" i="32"/>
  <c r="J85" i="32" l="1"/>
  <c r="I86" i="32"/>
  <c r="I4" i="32"/>
  <c r="I85" i="32" l="1"/>
  <c r="Z68" i="36"/>
  <c r="Z63" i="36"/>
  <c r="Y68" i="36" l="1"/>
  <c r="Y63" i="36"/>
  <c r="X68" i="36" l="1"/>
  <c r="X63" i="36"/>
  <c r="W68" i="36" l="1"/>
  <c r="W63" i="36"/>
  <c r="AB5" i="36"/>
  <c r="AB6" i="36"/>
  <c r="AB7" i="36"/>
  <c r="AB8" i="36"/>
  <c r="AB9" i="36"/>
  <c r="AB10" i="36"/>
  <c r="AB11" i="36"/>
  <c r="AB12" i="36"/>
  <c r="AB13" i="36"/>
  <c r="AB14" i="36"/>
  <c r="AB15" i="36"/>
  <c r="AB16" i="36"/>
  <c r="AB17" i="36"/>
  <c r="AB18" i="36"/>
  <c r="AB19" i="36"/>
  <c r="AB20" i="36"/>
  <c r="AB21" i="36"/>
  <c r="AB22" i="36"/>
  <c r="AB23" i="36"/>
  <c r="AB24" i="36"/>
  <c r="AB25" i="36"/>
  <c r="AB26" i="36"/>
  <c r="AB27" i="36"/>
  <c r="AB28" i="36"/>
  <c r="AB29" i="36"/>
  <c r="AB30" i="36"/>
  <c r="AB31" i="36"/>
  <c r="AB32" i="36"/>
  <c r="AB33" i="36"/>
  <c r="AB34" i="36"/>
  <c r="AB35" i="36"/>
  <c r="AB36" i="36"/>
  <c r="AB37" i="36"/>
  <c r="AB38" i="36"/>
  <c r="AB39" i="36"/>
  <c r="AB40" i="36"/>
  <c r="AB41" i="36"/>
  <c r="AB42" i="36"/>
  <c r="AB43" i="36"/>
  <c r="AB44" i="36"/>
  <c r="AB45" i="36"/>
  <c r="AB46" i="36"/>
  <c r="AB47" i="36"/>
  <c r="AB48" i="36"/>
  <c r="AB49" i="36"/>
  <c r="AB50" i="36"/>
  <c r="AB51" i="36"/>
  <c r="AB52" i="36"/>
  <c r="AB53" i="36"/>
  <c r="AB54" i="36"/>
  <c r="AB55" i="36"/>
  <c r="AB56" i="36"/>
  <c r="AB57" i="36"/>
  <c r="AB58" i="36"/>
  <c r="AB59" i="36"/>
  <c r="AB60" i="36"/>
  <c r="AB61" i="36"/>
  <c r="V68" i="36" l="1"/>
  <c r="V63" i="36"/>
  <c r="AC26" i="36" l="1"/>
  <c r="U68" i="36"/>
  <c r="U63" i="36"/>
  <c r="T68" i="36" l="1"/>
  <c r="T63" i="36"/>
  <c r="S68" i="36"/>
  <c r="S63" i="36"/>
  <c r="R68" i="36" l="1"/>
  <c r="R63" i="36"/>
  <c r="Q68" i="36" l="1"/>
  <c r="Q63" i="36"/>
  <c r="P68" i="36" l="1"/>
  <c r="P63" i="36"/>
  <c r="O68" i="36" l="1"/>
  <c r="O63" i="36"/>
  <c r="AC37" i="36" l="1"/>
  <c r="AC55" i="36"/>
  <c r="AC54" i="36"/>
  <c r="N68" i="36"/>
  <c r="N63" i="36"/>
  <c r="M68" i="36" l="1"/>
  <c r="M63" i="36"/>
  <c r="L68" i="36" l="1"/>
  <c r="L63" i="36"/>
  <c r="AC21" i="36" l="1"/>
  <c r="AC57" i="36"/>
  <c r="K68" i="36"/>
  <c r="K63" i="36"/>
  <c r="AC58" i="36" l="1"/>
  <c r="AF36" i="36"/>
  <c r="AF40" i="36" s="1"/>
  <c r="AC50" i="36"/>
  <c r="J68" i="36"/>
  <c r="J63" i="36"/>
  <c r="AC53" i="36" l="1"/>
  <c r="AC34" i="36"/>
  <c r="AC10" i="36"/>
  <c r="I68" i="36"/>
  <c r="I63" i="36"/>
  <c r="AC35" i="36" l="1"/>
  <c r="AC7" i="36"/>
  <c r="AC11" i="36"/>
  <c r="AF60" i="36"/>
  <c r="AF8" i="36"/>
  <c r="AC17" i="36" l="1"/>
  <c r="AC27" i="36" l="1"/>
  <c r="H68" i="36"/>
  <c r="H63" i="36"/>
  <c r="AC36" i="36" l="1"/>
  <c r="AA68" i="36"/>
  <c r="AB66" i="36"/>
  <c r="AB65" i="36"/>
  <c r="AA63" i="36"/>
  <c r="AF63" i="36"/>
  <c r="AI29" i="36"/>
  <c r="AF29" i="36"/>
  <c r="AF12" i="36"/>
  <c r="AK12" i="36" s="1"/>
  <c r="AB4" i="36"/>
  <c r="AC66" i="36" l="1"/>
  <c r="H86" i="32" s="1"/>
  <c r="G86" i="32"/>
  <c r="AC65" i="36"/>
  <c r="H85" i="32" s="1"/>
  <c r="G85" i="32"/>
  <c r="AC38" i="36"/>
  <c r="AC31" i="36"/>
  <c r="AC23" i="36"/>
  <c r="AC6" i="36"/>
  <c r="AC24" i="36"/>
  <c r="AC60" i="36"/>
  <c r="AC12" i="36"/>
  <c r="AC15" i="36"/>
  <c r="AC20" i="36"/>
  <c r="AC30" i="36"/>
  <c r="AC47" i="36"/>
  <c r="AC52" i="36"/>
  <c r="AC29" i="36"/>
  <c r="AC59" i="36"/>
  <c r="AC49" i="36"/>
  <c r="AC48" i="36"/>
  <c r="AC44" i="36"/>
  <c r="AC45" i="36"/>
  <c r="AC46" i="36"/>
  <c r="AC39" i="36"/>
  <c r="AC32" i="36"/>
  <c r="AC13" i="36"/>
  <c r="AC8" i="36"/>
  <c r="AC25" i="36"/>
  <c r="AC14" i="36"/>
  <c r="AC28" i="36"/>
  <c r="AC51" i="36"/>
  <c r="AC43" i="36"/>
  <c r="AC42" i="36"/>
  <c r="AC56" i="36"/>
  <c r="AC16" i="36"/>
  <c r="AC40" i="36"/>
  <c r="AC41" i="36"/>
  <c r="AC9" i="36"/>
  <c r="AC5" i="36"/>
  <c r="AC4" i="36"/>
  <c r="AC22" i="36"/>
  <c r="AC19" i="36"/>
  <c r="AC18" i="36"/>
  <c r="AC61" i="36"/>
  <c r="AC33" i="36"/>
  <c r="AB68" i="36"/>
  <c r="AB63" i="36"/>
  <c r="H4" i="32" l="1"/>
  <c r="N4" i="32" s="1"/>
  <c r="N86" i="32" l="1"/>
  <c r="M86" i="32"/>
  <c r="N85" i="32"/>
  <c r="M85" i="32"/>
  <c r="M4" i="32"/>
  <c r="Z85" i="32" l="1"/>
  <c r="Z86" i="32"/>
  <c r="Z89" i="32" l="1"/>
  <c r="I89" i="32" l="1"/>
  <c r="K89" i="32"/>
  <c r="G89" i="32" l="1"/>
  <c r="Y85" i="32" l="1"/>
  <c r="Z4" i="32"/>
  <c r="Y86" i="32"/>
  <c r="Y89" i="32" l="1"/>
  <c r="Y4" i="32" l="1"/>
  <c r="Y82" i="32" s="1"/>
</calcChain>
</file>

<file path=xl/sharedStrings.xml><?xml version="1.0" encoding="utf-8"?>
<sst xmlns="http://schemas.openxmlformats.org/spreadsheetml/2006/main" count="3257" uniqueCount="346">
  <si>
    <t>Sudeep</t>
  </si>
  <si>
    <t>PA528</t>
  </si>
  <si>
    <t>STRATEGY</t>
  </si>
  <si>
    <t>ThanosNF</t>
  </si>
  <si>
    <t>ACE1</t>
  </si>
  <si>
    <t>Wanda</t>
  </si>
  <si>
    <t>XTS01</t>
  </si>
  <si>
    <t>XTS12</t>
  </si>
  <si>
    <t>S1515</t>
  </si>
  <si>
    <t>FUND</t>
  </si>
  <si>
    <t>XTS02</t>
  </si>
  <si>
    <t>XTS09</t>
  </si>
  <si>
    <t>XTS04</t>
  </si>
  <si>
    <t>XTS05</t>
  </si>
  <si>
    <t>Shahid</t>
  </si>
  <si>
    <t>XTS19</t>
  </si>
  <si>
    <t>XTS18</t>
  </si>
  <si>
    <t>XTS20</t>
  </si>
  <si>
    <t>Mahavir Jindal</t>
  </si>
  <si>
    <t>Prince</t>
  </si>
  <si>
    <t>Maximum</t>
  </si>
  <si>
    <t>XTS30</t>
  </si>
  <si>
    <t>Kamlesh</t>
  </si>
  <si>
    <t>P2792</t>
  </si>
  <si>
    <t>P2817</t>
  </si>
  <si>
    <t>P2881</t>
  </si>
  <si>
    <t>P2971</t>
  </si>
  <si>
    <t>P2879</t>
  </si>
  <si>
    <t>P3024</t>
  </si>
  <si>
    <t>P2105</t>
  </si>
  <si>
    <t>P2951</t>
  </si>
  <si>
    <t>P3070</t>
  </si>
  <si>
    <t>P3109</t>
  </si>
  <si>
    <t>P3048</t>
  </si>
  <si>
    <t>P3020</t>
  </si>
  <si>
    <t>P3117</t>
  </si>
  <si>
    <t>P3013</t>
  </si>
  <si>
    <t>P3112</t>
  </si>
  <si>
    <t>XTS010</t>
  </si>
  <si>
    <t>STRADDLE</t>
  </si>
  <si>
    <t>Straddle</t>
  </si>
  <si>
    <t>P3113</t>
  </si>
  <si>
    <t>P2827</t>
  </si>
  <si>
    <t>P3079</t>
  </si>
  <si>
    <t>P2777</t>
  </si>
  <si>
    <t>P3135</t>
  </si>
  <si>
    <t>P3039</t>
  </si>
  <si>
    <t>ATS1014</t>
  </si>
  <si>
    <t>P3082</t>
  </si>
  <si>
    <t>P3110</t>
  </si>
  <si>
    <t>ATS1012</t>
  </si>
  <si>
    <t>P2954</t>
  </si>
  <si>
    <t>P3168</t>
  </si>
  <si>
    <t>VSA</t>
  </si>
  <si>
    <t>CODE</t>
  </si>
  <si>
    <t>Ansh Aggarwal</t>
  </si>
  <si>
    <t>Bharat Munjal</t>
  </si>
  <si>
    <t>ATS</t>
  </si>
  <si>
    <t>S1504</t>
  </si>
  <si>
    <t>S1502</t>
  </si>
  <si>
    <t>S1514</t>
  </si>
  <si>
    <t>ATS_1017</t>
  </si>
  <si>
    <t>P3196</t>
  </si>
  <si>
    <t>Jyoti Prakesh</t>
  </si>
  <si>
    <t>Gagandeep</t>
  </si>
  <si>
    <t>P3202</t>
  </si>
  <si>
    <t>TRANDING</t>
  </si>
  <si>
    <t>P2971_2</t>
  </si>
  <si>
    <t>Jinesh Jain</t>
  </si>
  <si>
    <t>NAME</t>
  </si>
  <si>
    <t>ID</t>
  </si>
  <si>
    <t>Deepesh_1</t>
  </si>
  <si>
    <t>Abhishek_1</t>
  </si>
  <si>
    <t>DK Sir_M</t>
  </si>
  <si>
    <t>DK Sir_T</t>
  </si>
  <si>
    <t>Neeraj Garg_1</t>
  </si>
  <si>
    <t>Neeraj Garg_2</t>
  </si>
  <si>
    <t>Deepesh_2</t>
  </si>
  <si>
    <t>ROI</t>
  </si>
  <si>
    <t>ATS_1007</t>
  </si>
  <si>
    <t>ATS_E1007</t>
  </si>
  <si>
    <t>P3224</t>
  </si>
  <si>
    <t>UT5204</t>
  </si>
  <si>
    <t>P2827_2</t>
  </si>
  <si>
    <t>Yogesh</t>
  </si>
  <si>
    <t>UT</t>
  </si>
  <si>
    <t xml:space="preserve">Vaishali </t>
  </si>
  <si>
    <t>self</t>
  </si>
  <si>
    <t>COSMOS</t>
  </si>
  <si>
    <t>Q 2</t>
  </si>
  <si>
    <t>Q 1</t>
  </si>
  <si>
    <t>Spider 2.0</t>
  </si>
  <si>
    <t>SPIDER 2.0</t>
  </si>
  <si>
    <t>ARCHANA MA'AM</t>
  </si>
  <si>
    <t>P2954_2</t>
  </si>
  <si>
    <t>Ramakar Jha</t>
  </si>
  <si>
    <t>XTS34</t>
  </si>
  <si>
    <t>P3146</t>
  </si>
  <si>
    <t>Piyush Singhal</t>
  </si>
  <si>
    <t>Varun tondan</t>
  </si>
  <si>
    <t>XTS36</t>
  </si>
  <si>
    <t>Q 3</t>
  </si>
  <si>
    <t>FUND(CR)</t>
  </si>
  <si>
    <t>P3297</t>
  </si>
  <si>
    <t>P2999</t>
  </si>
  <si>
    <t xml:space="preserve">Prateek </t>
  </si>
  <si>
    <t>ETF</t>
  </si>
  <si>
    <t>CASH</t>
  </si>
  <si>
    <t>P2826</t>
  </si>
  <si>
    <t>XTS32</t>
  </si>
  <si>
    <t>P3181</t>
  </si>
  <si>
    <t>Harshit</t>
  </si>
  <si>
    <t>Falcon</t>
  </si>
  <si>
    <t>Arachana Ma'am</t>
  </si>
  <si>
    <t>Bharat Munjal(B</t>
  </si>
  <si>
    <t>Prabjot singh</t>
  </si>
  <si>
    <t>NSE FO</t>
  </si>
  <si>
    <t>P3313</t>
  </si>
  <si>
    <t>ATS1027</t>
  </si>
  <si>
    <t>Q 4</t>
  </si>
  <si>
    <t>P3334</t>
  </si>
  <si>
    <t>ATS_1005</t>
  </si>
  <si>
    <t>Amit&amp;Kartik</t>
  </si>
  <si>
    <t>P3323</t>
  </si>
  <si>
    <t>ATS_1032</t>
  </si>
  <si>
    <t>ROI Q1</t>
  </si>
  <si>
    <t>ROI Q2</t>
  </si>
  <si>
    <t>ROI Q3</t>
  </si>
  <si>
    <t>XTS38</t>
  </si>
  <si>
    <t>Raghav Tuli</t>
  </si>
  <si>
    <t>Maneesh Yadav</t>
  </si>
  <si>
    <t>P3341</t>
  </si>
  <si>
    <t>P3342</t>
  </si>
  <si>
    <t>Aman Dohre</t>
  </si>
  <si>
    <t>P3166</t>
  </si>
  <si>
    <t>XTS03</t>
  </si>
  <si>
    <t>XTS35</t>
  </si>
  <si>
    <t>P3323_1</t>
  </si>
  <si>
    <t>20_60</t>
  </si>
  <si>
    <t>Abhishek</t>
  </si>
  <si>
    <t>ATS_1034</t>
  </si>
  <si>
    <t>ATS1018</t>
  </si>
  <si>
    <t>cash</t>
  </si>
  <si>
    <t>P2940</t>
  </si>
  <si>
    <t>P3347</t>
  </si>
  <si>
    <t>FO</t>
  </si>
  <si>
    <t>Kartaram SWV0096</t>
  </si>
  <si>
    <t>SWV0096</t>
  </si>
  <si>
    <t>P3240</t>
  </si>
  <si>
    <t>APR</t>
  </si>
  <si>
    <t>APR ROI</t>
  </si>
  <si>
    <t>S1501</t>
  </si>
  <si>
    <t>SELF</t>
  </si>
  <si>
    <t>Prateek</t>
  </si>
  <si>
    <t>Neeraj Garg</t>
  </si>
  <si>
    <t>Kartaram</t>
  </si>
  <si>
    <t>ATS1011</t>
  </si>
  <si>
    <t>ATS1004</t>
  </si>
  <si>
    <t>ATS1009</t>
  </si>
  <si>
    <t>MAY</t>
  </si>
  <si>
    <t>MAY ROI</t>
  </si>
  <si>
    <t>JUN</t>
  </si>
  <si>
    <t>JUN ROI</t>
  </si>
  <si>
    <t>2026-27</t>
  </si>
  <si>
    <t>Himansu Pal</t>
  </si>
  <si>
    <t>P3311</t>
  </si>
  <si>
    <t>ATS1026</t>
  </si>
  <si>
    <t>Himanshu pal</t>
  </si>
  <si>
    <t>P3208</t>
  </si>
  <si>
    <t>Sajal Sharma</t>
  </si>
  <si>
    <t>FUTURE EXP</t>
  </si>
  <si>
    <t>Yogesh kumar</t>
  </si>
  <si>
    <t>S1503</t>
  </si>
  <si>
    <t>S1507</t>
  </si>
  <si>
    <t>S1506</t>
  </si>
  <si>
    <t>Aman</t>
  </si>
  <si>
    <t>Aman 20-60</t>
  </si>
  <si>
    <t>P2967</t>
  </si>
  <si>
    <t>Kartaram HPO2780</t>
  </si>
  <si>
    <t>ATS_1036</t>
  </si>
  <si>
    <t>ATS_1038</t>
  </si>
  <si>
    <t>ATS_1035</t>
  </si>
  <si>
    <t>Ansh SWV0097</t>
  </si>
  <si>
    <t>Ansh HPO2780</t>
  </si>
  <si>
    <t>Kartaram SWV0097</t>
  </si>
  <si>
    <t>ATS_1015</t>
  </si>
  <si>
    <t>Piyush SWV0097</t>
  </si>
  <si>
    <t>ATS_1040</t>
  </si>
  <si>
    <t>ATS_1024</t>
  </si>
  <si>
    <t>PHPO06</t>
  </si>
  <si>
    <t>PSW023</t>
  </si>
  <si>
    <t>PSW019</t>
  </si>
  <si>
    <t>ATS_1033</t>
  </si>
  <si>
    <t>PSW024</t>
  </si>
  <si>
    <t>PHPO07</t>
  </si>
  <si>
    <t>Vidhya sagar</t>
  </si>
  <si>
    <t>XTS07</t>
  </si>
  <si>
    <t>P3360</t>
  </si>
  <si>
    <t>OPT</t>
  </si>
  <si>
    <t>ATS_1012</t>
  </si>
  <si>
    <t>Money Circle</t>
  </si>
  <si>
    <t>P3335</t>
  </si>
  <si>
    <t>P3119</t>
  </si>
  <si>
    <t>Kartaram XMR0548</t>
  </si>
  <si>
    <t>ATS_1041</t>
  </si>
  <si>
    <t>XMR0548</t>
  </si>
  <si>
    <t>CQS5</t>
  </si>
  <si>
    <t>ATS_1020</t>
  </si>
  <si>
    <t>fo</t>
  </si>
  <si>
    <t>Vikas Gupta</t>
  </si>
  <si>
    <t>XTS13</t>
  </si>
  <si>
    <t>XTS15</t>
  </si>
  <si>
    <t>P3090</t>
  </si>
  <si>
    <t>P3385</t>
  </si>
  <si>
    <t>P3386</t>
  </si>
  <si>
    <t>Abdul</t>
  </si>
  <si>
    <t>P3389</t>
  </si>
  <si>
    <t>P3390</t>
  </si>
  <si>
    <t>XTS17</t>
  </si>
  <si>
    <t>ATS_1502</t>
  </si>
  <si>
    <t>ATS_1509</t>
  </si>
  <si>
    <t>ATS_1518</t>
  </si>
  <si>
    <t>ATS_1504</t>
  </si>
  <si>
    <t>ATS_1510</t>
  </si>
  <si>
    <t>ATS_1505</t>
  </si>
  <si>
    <t>ATS_1507</t>
  </si>
  <si>
    <t>ATS_1516</t>
  </si>
  <si>
    <t>ATS_1514</t>
  </si>
  <si>
    <t>ATS_1503</t>
  </si>
  <si>
    <t>P3186</t>
  </si>
  <si>
    <t>Bharat</t>
  </si>
  <si>
    <t>ATS_1511</t>
  </si>
  <si>
    <t>ATS_1506</t>
  </si>
  <si>
    <t>TUE</t>
  </si>
  <si>
    <t>MON</t>
  </si>
  <si>
    <t>FRI</t>
  </si>
  <si>
    <t>THU</t>
  </si>
  <si>
    <t>WED</t>
  </si>
  <si>
    <t>Thu</t>
  </si>
  <si>
    <t>ATS_1515</t>
  </si>
  <si>
    <t>Nishaanth</t>
  </si>
  <si>
    <t>P3361</t>
  </si>
  <si>
    <t>S1507/ATS1520</t>
  </si>
  <si>
    <t>JUNE</t>
  </si>
  <si>
    <t>JUNE ROI</t>
  </si>
  <si>
    <t>ATS-1022</t>
  </si>
  <si>
    <t>Kartaram HOP2780</t>
  </si>
  <si>
    <t>Kartaram Pro</t>
  </si>
  <si>
    <t>ATS_1022</t>
  </si>
  <si>
    <t>Money circle</t>
  </si>
  <si>
    <t>NEST</t>
  </si>
  <si>
    <t>ATS1506</t>
  </si>
  <si>
    <t>Odin</t>
  </si>
  <si>
    <t>BSEFO</t>
  </si>
  <si>
    <t>NSE/BSE</t>
  </si>
  <si>
    <t>ODIN</t>
  </si>
  <si>
    <t>NSEFO</t>
  </si>
  <si>
    <t>SEGMENT</t>
  </si>
  <si>
    <t>MACD/Direction</t>
  </si>
  <si>
    <t>Strangle/Spread</t>
  </si>
  <si>
    <t>ATR-Strangle</t>
  </si>
  <si>
    <t>Directional</t>
  </si>
  <si>
    <t>Theta Dominance</t>
  </si>
  <si>
    <t>Smart Strangle</t>
  </si>
  <si>
    <t>Opton</t>
  </si>
  <si>
    <t xml:space="preserve">Direction range </t>
  </si>
  <si>
    <t>Directional strangle</t>
  </si>
  <si>
    <t>Flaxi trade</t>
  </si>
  <si>
    <t>Straddle Short</t>
  </si>
  <si>
    <t>opton</t>
  </si>
  <si>
    <t>Vidya sagar</t>
  </si>
  <si>
    <t>straddle</t>
  </si>
  <si>
    <t>Sahil Rathore</t>
  </si>
  <si>
    <t>P3354</t>
  </si>
  <si>
    <t>XTS31</t>
  </si>
  <si>
    <t>P3398</t>
  </si>
  <si>
    <t>JULY</t>
  </si>
  <si>
    <t>JULY ROI</t>
  </si>
  <si>
    <t>AUG</t>
  </si>
  <si>
    <t>AUG ROI</t>
  </si>
  <si>
    <t>SEP ROI</t>
  </si>
  <si>
    <t>SEP</t>
  </si>
  <si>
    <t>Hardik</t>
  </si>
  <si>
    <t>XTS37</t>
  </si>
  <si>
    <t>CASH/FO</t>
  </si>
  <si>
    <t>XTS40</t>
  </si>
  <si>
    <t>Umesh Sukija</t>
  </si>
  <si>
    <t>NSEFO/BSEFO</t>
  </si>
  <si>
    <t>P3415</t>
  </si>
  <si>
    <t>XTS39</t>
  </si>
  <si>
    <t>STOCK OP</t>
  </si>
  <si>
    <t>Rashil Khetan</t>
  </si>
  <si>
    <t>P3152</t>
  </si>
  <si>
    <t>XTS29</t>
  </si>
  <si>
    <t>ATS1507</t>
  </si>
  <si>
    <t>Sanchit</t>
  </si>
  <si>
    <t>ATS_1528</t>
  </si>
  <si>
    <t>Kapil Kumar</t>
  </si>
  <si>
    <t>ATS_1529</t>
  </si>
  <si>
    <t>ATS_1527</t>
  </si>
  <si>
    <t>P3432</t>
  </si>
  <si>
    <t>P3433</t>
  </si>
  <si>
    <t>P3434</t>
  </si>
  <si>
    <t>Himansu pal</t>
  </si>
  <si>
    <t>Sourav</t>
  </si>
  <si>
    <t>S1520/ATS1520</t>
  </si>
  <si>
    <t>P3417</t>
  </si>
  <si>
    <t>ATS1526</t>
  </si>
  <si>
    <t>XTS38/ATS</t>
  </si>
  <si>
    <t>Aman Aggarwal</t>
  </si>
  <si>
    <t>ATS1516</t>
  </si>
  <si>
    <t>new strategy_48</t>
  </si>
  <si>
    <t>ATS1532</t>
  </si>
  <si>
    <t>P3390_1</t>
  </si>
  <si>
    <t>P3000</t>
  </si>
  <si>
    <t>ATS_1519</t>
  </si>
  <si>
    <t>P3091</t>
  </si>
  <si>
    <t>P3408</t>
  </si>
  <si>
    <t>Aman sharma</t>
  </si>
  <si>
    <t>P3400</t>
  </si>
  <si>
    <t>NA</t>
  </si>
  <si>
    <t>Aman Sharma</t>
  </si>
  <si>
    <t>Fri</t>
  </si>
  <si>
    <t>P2990</t>
  </si>
  <si>
    <t>XTS22</t>
  </si>
  <si>
    <t>OCT</t>
  </si>
  <si>
    <t>OCT ROI</t>
  </si>
  <si>
    <t>NOV</t>
  </si>
  <si>
    <t>NOV ROI</t>
  </si>
  <si>
    <t>DEC</t>
  </si>
  <si>
    <t>DEC ROI</t>
  </si>
  <si>
    <t>P3445</t>
  </si>
  <si>
    <t>P3446</t>
  </si>
  <si>
    <t>Gargi Bharti</t>
  </si>
  <si>
    <t>Stock fo</t>
  </si>
  <si>
    <t>P3244</t>
  </si>
  <si>
    <t>P3058</t>
  </si>
  <si>
    <t>ATS_1513</t>
  </si>
  <si>
    <t>Prateek Amardev</t>
  </si>
  <si>
    <t>Arti Bisht</t>
  </si>
  <si>
    <t>P3159</t>
  </si>
  <si>
    <t>DK SIR_A</t>
  </si>
  <si>
    <t>XTS41</t>
  </si>
  <si>
    <t>P3379</t>
  </si>
  <si>
    <t>P3459</t>
  </si>
  <si>
    <t>XTS01,ATS1530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</si>
</sst>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0.0"/>
    <numFmt numFmtId="167" formatCode="0.000"/>
    <numFmt numFmtId="168" formatCode="0.00_);[Red]\(0.00\)"/>
    <numFmt numFmtId="169" formatCode="0_);[Red]\(0\)"/>
    <numFmt numFmtId="170" formatCode="0.0_);[Red]\(0.0\)"/>
    <numFmt numFmtId="171" formatCode="0.000_);[Red]\(0.000\)"/>
    <numFmt numFmtId="172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59999389629810485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6" tint="0.39997558519241921"/>
        <bgColor theme="4" tint="0.79998168889431442"/>
      </patternFill>
    </fill>
  </fills>
  <borders count="4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59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Fill="1" applyBorder="1"/>
    <xf numFmtId="0" fontId="1" fillId="0" borderId="0" xfId="0" applyFont="1" applyFill="1" applyBorder="1"/>
    <xf numFmtId="16" fontId="1" fillId="0" borderId="0" xfId="0" applyNumberFormat="1" applyFont="1" applyFill="1" applyBorder="1"/>
    <xf numFmtId="0" fontId="0" fillId="0" borderId="0" xfId="0" applyFont="1" applyFill="1" applyBorder="1"/>
    <xf numFmtId="164" fontId="4" fillId="7" borderId="4" xfId="0" applyNumberFormat="1" applyFont="1" applyFill="1" applyBorder="1" applyAlignment="1">
      <alignment horizontal="center"/>
    </xf>
    <xf numFmtId="169" fontId="3" fillId="0" borderId="4" xfId="1" applyNumberFormat="1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 vertical="center"/>
    </xf>
    <xf numFmtId="164" fontId="2" fillId="8" borderId="10" xfId="0" applyNumberFormat="1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0" fillId="0" borderId="12" xfId="0" applyFill="1" applyBorder="1"/>
    <xf numFmtId="0" fontId="0" fillId="0" borderId="8" xfId="0" applyFont="1" applyFill="1" applyBorder="1" applyAlignment="1">
      <alignment horizontal="center"/>
    </xf>
    <xf numFmtId="168" fontId="3" fillId="0" borderId="8" xfId="1" applyNumberFormat="1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168" fontId="1" fillId="0" borderId="14" xfId="0" applyNumberFormat="1" applyFont="1" applyFill="1" applyBorder="1" applyAlignment="1">
      <alignment horizontal="center"/>
    </xf>
    <xf numFmtId="169" fontId="1" fillId="0" borderId="14" xfId="1" applyNumberFormat="1" applyFont="1" applyFill="1" applyBorder="1" applyAlignment="1">
      <alignment horizontal="center"/>
    </xf>
    <xf numFmtId="169" fontId="1" fillId="0" borderId="3" xfId="1" applyNumberFormat="1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8" xfId="0" applyFont="1" applyFill="1" applyBorder="1" applyAlignment="1"/>
    <xf numFmtId="0" fontId="4" fillId="0" borderId="8" xfId="0" applyFont="1" applyFill="1" applyBorder="1" applyAlignment="1">
      <alignment horizontal="center" wrapText="1"/>
    </xf>
    <xf numFmtId="165" fontId="1" fillId="0" borderId="8" xfId="1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center" wrapText="1"/>
    </xf>
    <xf numFmtId="0" fontId="1" fillId="0" borderId="14" xfId="0" applyFont="1" applyFill="1" applyBorder="1" applyAlignment="1">
      <alignment wrapText="1"/>
    </xf>
    <xf numFmtId="0" fontId="1" fillId="0" borderId="14" xfId="0" applyFont="1" applyFill="1" applyBorder="1" applyAlignment="1">
      <alignment horizontal="center" wrapText="1"/>
    </xf>
    <xf numFmtId="169" fontId="1" fillId="0" borderId="14" xfId="0" applyNumberFormat="1" applyFont="1" applyFill="1" applyBorder="1" applyAlignment="1">
      <alignment horizontal="center"/>
    </xf>
    <xf numFmtId="0" fontId="0" fillId="0" borderId="4" xfId="0" applyFont="1" applyFill="1" applyBorder="1"/>
    <xf numFmtId="165" fontId="5" fillId="0" borderId="4" xfId="1" applyNumberFormat="1" applyFont="1" applyFill="1" applyBorder="1" applyAlignment="1">
      <alignment horizontal="center" vertical="center" wrapText="1"/>
    </xf>
    <xf numFmtId="165" fontId="5" fillId="0" borderId="4" xfId="1" applyNumberFormat="1" applyFont="1" applyFill="1" applyBorder="1" applyAlignment="1">
      <alignment horizontal="center" wrapText="1"/>
    </xf>
    <xf numFmtId="165" fontId="3" fillId="0" borderId="4" xfId="1" applyNumberFormat="1" applyFont="1" applyFill="1" applyBorder="1" applyAlignment="1">
      <alignment horizontal="center" wrapText="1"/>
    </xf>
    <xf numFmtId="165" fontId="5" fillId="0" borderId="4" xfId="1" applyNumberFormat="1" applyFont="1" applyFill="1" applyBorder="1" applyAlignment="1">
      <alignment vertical="center" wrapText="1"/>
    </xf>
    <xf numFmtId="165" fontId="3" fillId="0" borderId="4" xfId="1" applyNumberFormat="1" applyFont="1" applyFill="1" applyBorder="1" applyAlignment="1">
      <alignment horizontal="center"/>
    </xf>
    <xf numFmtId="0" fontId="1" fillId="0" borderId="4" xfId="0" applyFont="1" applyFill="1" applyBorder="1" applyAlignment="1">
      <alignment horizontal="left"/>
    </xf>
    <xf numFmtId="0" fontId="4" fillId="0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left" wrapText="1"/>
    </xf>
    <xf numFmtId="167" fontId="5" fillId="0" borderId="4" xfId="0" applyNumberFormat="1" applyFont="1" applyFill="1" applyBorder="1" applyAlignment="1">
      <alignment horizontal="left" wrapText="1"/>
    </xf>
    <xf numFmtId="0" fontId="0" fillId="0" borderId="4" xfId="0" applyFont="1" applyFill="1" applyBorder="1" applyAlignment="1">
      <alignment horizontal="left" wrapText="1"/>
    </xf>
    <xf numFmtId="0" fontId="5" fillId="0" borderId="6" xfId="0" applyFont="1" applyFill="1" applyBorder="1" applyAlignment="1">
      <alignment horizontal="left" wrapText="1"/>
    </xf>
    <xf numFmtId="0" fontId="0" fillId="0" borderId="4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4" fillId="0" borderId="6" xfId="0" applyFont="1" applyFill="1" applyBorder="1" applyAlignment="1">
      <alignment horizontal="left" wrapText="1"/>
    </xf>
    <xf numFmtId="0" fontId="4" fillId="0" borderId="4" xfId="0" applyFont="1" applyFill="1" applyBorder="1" applyAlignment="1">
      <alignment horizontal="left"/>
    </xf>
    <xf numFmtId="169" fontId="1" fillId="0" borderId="16" xfId="0" applyNumberFormat="1" applyFont="1" applyFill="1" applyBorder="1"/>
    <xf numFmtId="164" fontId="2" fillId="8" borderId="19" xfId="0" applyNumberFormat="1" applyFont="1" applyFill="1" applyBorder="1" applyAlignment="1">
      <alignment horizontal="center" vertical="center"/>
    </xf>
    <xf numFmtId="164" fontId="4" fillId="7" borderId="5" xfId="0" applyNumberFormat="1" applyFont="1" applyFill="1" applyBorder="1" applyAlignment="1">
      <alignment horizontal="center"/>
    </xf>
    <xf numFmtId="169" fontId="1" fillId="0" borderId="5" xfId="0" applyNumberFormat="1" applyFont="1" applyFill="1" applyBorder="1" applyAlignment="1">
      <alignment horizontal="center"/>
    </xf>
    <xf numFmtId="0" fontId="2" fillId="0" borderId="4" xfId="0" applyFont="1" applyFill="1" applyBorder="1"/>
    <xf numFmtId="170" fontId="0" fillId="0" borderId="16" xfId="0" applyNumberFormat="1" applyFont="1" applyFill="1" applyBorder="1"/>
    <xf numFmtId="169" fontId="1" fillId="0" borderId="0" xfId="0" applyNumberFormat="1" applyFont="1" applyFill="1" applyBorder="1"/>
    <xf numFmtId="169" fontId="0" fillId="0" borderId="22" xfId="0" applyNumberFormat="1" applyFont="1" applyFill="1" applyBorder="1"/>
    <xf numFmtId="170" fontId="0" fillId="0" borderId="22" xfId="0" applyNumberFormat="1" applyFont="1" applyFill="1" applyBorder="1"/>
    <xf numFmtId="169" fontId="0" fillId="0" borderId="0" xfId="0" applyNumberFormat="1" applyFont="1" applyFill="1" applyBorder="1"/>
    <xf numFmtId="0" fontId="2" fillId="0" borderId="4" xfId="0" applyFont="1" applyFill="1" applyBorder="1" applyAlignment="1">
      <alignment horizontal="center"/>
    </xf>
    <xf numFmtId="169" fontId="0" fillId="0" borderId="7" xfId="0" applyNumberFormat="1" applyFont="1" applyFill="1" applyBorder="1"/>
    <xf numFmtId="169" fontId="0" fillId="0" borderId="23" xfId="0" applyNumberFormat="1" applyFont="1" applyFill="1" applyBorder="1"/>
    <xf numFmtId="170" fontId="0" fillId="0" borderId="23" xfId="0" applyNumberFormat="1" applyFont="1" applyFill="1" applyBorder="1"/>
    <xf numFmtId="0" fontId="1" fillId="0" borderId="8" xfId="0" applyFont="1" applyFill="1" applyBorder="1" applyAlignment="1">
      <alignment horizontal="left" wrapText="1"/>
    </xf>
    <xf numFmtId="0" fontId="5" fillId="0" borderId="8" xfId="0" applyFont="1" applyFill="1" applyBorder="1" applyAlignment="1">
      <alignment horizontal="left" wrapText="1"/>
    </xf>
    <xf numFmtId="165" fontId="3" fillId="0" borderId="8" xfId="1" applyNumberFormat="1" applyFont="1" applyFill="1" applyBorder="1" applyAlignment="1">
      <alignment horizontal="center"/>
    </xf>
    <xf numFmtId="0" fontId="1" fillId="0" borderId="8" xfId="0" applyFont="1" applyFill="1" applyBorder="1" applyAlignment="1">
      <alignment horizontal="left"/>
    </xf>
    <xf numFmtId="169" fontId="3" fillId="0" borderId="8" xfId="1" applyNumberFormat="1" applyFont="1" applyFill="1" applyBorder="1" applyAlignment="1">
      <alignment horizontal="center"/>
    </xf>
    <xf numFmtId="169" fontId="1" fillId="0" borderId="12" xfId="0" applyNumberFormat="1" applyFont="1" applyFill="1" applyBorder="1"/>
    <xf numFmtId="168" fontId="1" fillId="0" borderId="4" xfId="0" applyNumberFormat="1" applyFont="1" applyFill="1" applyBorder="1" applyAlignment="1">
      <alignment horizontal="center"/>
    </xf>
    <xf numFmtId="169" fontId="1" fillId="0" borderId="13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9" borderId="21" xfId="0" applyFill="1" applyBorder="1" applyAlignment="1"/>
    <xf numFmtId="0" fontId="0" fillId="0" borderId="24" xfId="0" applyBorder="1"/>
    <xf numFmtId="0" fontId="0" fillId="0" borderId="3" xfId="0" applyBorder="1"/>
    <xf numFmtId="169" fontId="1" fillId="0" borderId="22" xfId="0" applyNumberFormat="1" applyFont="1" applyFill="1" applyBorder="1"/>
    <xf numFmtId="170" fontId="1" fillId="0" borderId="25" xfId="0" applyNumberFormat="1" applyFont="1" applyFill="1" applyBorder="1"/>
    <xf numFmtId="169" fontId="1" fillId="0" borderId="17" xfId="0" applyNumberFormat="1" applyFont="1" applyFill="1" applyBorder="1"/>
    <xf numFmtId="168" fontId="1" fillId="0" borderId="14" xfId="0" applyNumberFormat="1" applyFont="1" applyFill="1" applyBorder="1" applyAlignment="1">
      <alignment horizontal="right"/>
    </xf>
    <xf numFmtId="0" fontId="1" fillId="0" borderId="15" xfId="0" applyFont="1" applyFill="1" applyBorder="1" applyAlignment="1">
      <alignment horizontal="left"/>
    </xf>
    <xf numFmtId="0" fontId="1" fillId="0" borderId="10" xfId="0" applyFont="1" applyFill="1" applyBorder="1" applyAlignment="1">
      <alignment horizontal="left"/>
    </xf>
    <xf numFmtId="0" fontId="0" fillId="0" borderId="10" xfId="0" applyFont="1" applyFill="1" applyBorder="1" applyAlignment="1">
      <alignment horizontal="left"/>
    </xf>
    <xf numFmtId="169" fontId="3" fillId="0" borderId="10" xfId="1" applyNumberFormat="1" applyFont="1" applyFill="1" applyBorder="1" applyAlignment="1">
      <alignment horizontal="center"/>
    </xf>
    <xf numFmtId="0" fontId="1" fillId="0" borderId="16" xfId="0" applyFont="1" applyFill="1" applyBorder="1" applyAlignment="1">
      <alignment horizontal="left"/>
    </xf>
    <xf numFmtId="0" fontId="0" fillId="0" borderId="26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center"/>
    </xf>
    <xf numFmtId="169" fontId="1" fillId="0" borderId="9" xfId="0" applyNumberFormat="1" applyFont="1" applyFill="1" applyBorder="1" applyAlignment="1">
      <alignment horizontal="center"/>
    </xf>
    <xf numFmtId="169" fontId="1" fillId="0" borderId="19" xfId="0" applyNumberFormat="1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164" fontId="2" fillId="10" borderId="19" xfId="0" applyNumberFormat="1" applyFont="1" applyFill="1" applyBorder="1" applyAlignment="1">
      <alignment horizontal="center" vertical="center"/>
    </xf>
    <xf numFmtId="0" fontId="0" fillId="2" borderId="16" xfId="0" applyFill="1" applyBorder="1"/>
    <xf numFmtId="164" fontId="4" fillId="10" borderId="5" xfId="0" applyNumberFormat="1" applyFont="1" applyFill="1" applyBorder="1" applyAlignment="1">
      <alignment horizontal="center"/>
    </xf>
    <xf numFmtId="169" fontId="0" fillId="2" borderId="16" xfId="0" applyNumberFormat="1" applyFont="1" applyFill="1" applyBorder="1"/>
    <xf numFmtId="169" fontId="1" fillId="2" borderId="16" xfId="0" applyNumberFormat="1" applyFont="1" applyFill="1" applyBorder="1"/>
    <xf numFmtId="169" fontId="1" fillId="2" borderId="5" xfId="0" applyNumberFormat="1" applyFont="1" applyFill="1" applyBorder="1" applyAlignment="1">
      <alignment horizontal="center"/>
    </xf>
    <xf numFmtId="169" fontId="1" fillId="2" borderId="0" xfId="0" applyNumberFormat="1" applyFont="1" applyFill="1" applyBorder="1"/>
    <xf numFmtId="169" fontId="1" fillId="2" borderId="0" xfId="0" applyNumberFormat="1" applyFont="1" applyFill="1" applyBorder="1" applyAlignment="1">
      <alignment horizontal="center"/>
    </xf>
    <xf numFmtId="169" fontId="1" fillId="2" borderId="17" xfId="1" applyNumberFormat="1" applyFont="1" applyFill="1" applyBorder="1" applyAlignment="1">
      <alignment horizontal="center"/>
    </xf>
    <xf numFmtId="169" fontId="1" fillId="2" borderId="20" xfId="1" applyNumberFormat="1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 vertical="center"/>
    </xf>
    <xf numFmtId="164" fontId="2" fillId="11" borderId="11" xfId="0" applyNumberFormat="1" applyFont="1" applyFill="1" applyBorder="1" applyAlignment="1">
      <alignment horizontal="center" vertical="center"/>
    </xf>
    <xf numFmtId="0" fontId="0" fillId="4" borderId="16" xfId="0" applyFill="1" applyBorder="1"/>
    <xf numFmtId="164" fontId="4" fillId="11" borderId="12" xfId="0" applyNumberFormat="1" applyFont="1" applyFill="1" applyBorder="1" applyAlignment="1">
      <alignment horizontal="center"/>
    </xf>
    <xf numFmtId="169" fontId="1" fillId="4" borderId="16" xfId="0" applyNumberFormat="1" applyFont="1" applyFill="1" applyBorder="1"/>
    <xf numFmtId="169" fontId="1" fillId="4" borderId="12" xfId="0" applyNumberFormat="1" applyFont="1" applyFill="1" applyBorder="1" applyAlignment="1">
      <alignment horizontal="center"/>
    </xf>
    <xf numFmtId="169" fontId="1" fillId="4" borderId="0" xfId="0" applyNumberFormat="1" applyFont="1" applyFill="1" applyBorder="1"/>
    <xf numFmtId="169" fontId="1" fillId="4" borderId="0" xfId="0" applyNumberFormat="1" applyFont="1" applyFill="1" applyBorder="1" applyAlignment="1">
      <alignment horizontal="center"/>
    </xf>
    <xf numFmtId="169" fontId="1" fillId="4" borderId="17" xfId="1" applyNumberFormat="1" applyFont="1" applyFill="1" applyBorder="1" applyAlignment="1">
      <alignment horizontal="center"/>
    </xf>
    <xf numFmtId="169" fontId="1" fillId="4" borderId="18" xfId="1" applyNumberFormat="1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 vertical="center"/>
    </xf>
    <xf numFmtId="164" fontId="2" fillId="12" borderId="19" xfId="0" applyNumberFormat="1" applyFont="1" applyFill="1" applyBorder="1" applyAlignment="1">
      <alignment horizontal="center" vertical="center"/>
    </xf>
    <xf numFmtId="0" fontId="0" fillId="5" borderId="16" xfId="0" applyFill="1" applyBorder="1"/>
    <xf numFmtId="164" fontId="4" fillId="12" borderId="5" xfId="0" applyNumberFormat="1" applyFont="1" applyFill="1" applyBorder="1" applyAlignment="1">
      <alignment horizontal="center"/>
    </xf>
    <xf numFmtId="169" fontId="1" fillId="5" borderId="16" xfId="0" applyNumberFormat="1" applyFont="1" applyFill="1" applyBorder="1"/>
    <xf numFmtId="169" fontId="1" fillId="5" borderId="0" xfId="0" applyNumberFormat="1" applyFont="1" applyFill="1" applyBorder="1"/>
    <xf numFmtId="169" fontId="1" fillId="5" borderId="0" xfId="0" applyNumberFormat="1" applyFont="1" applyFill="1" applyBorder="1" applyAlignment="1">
      <alignment horizontal="center"/>
    </xf>
    <xf numFmtId="169" fontId="1" fillId="5" borderId="17" xfId="1" applyNumberFormat="1" applyFont="1" applyFill="1" applyBorder="1" applyAlignment="1">
      <alignment horizontal="center"/>
    </xf>
    <xf numFmtId="169" fontId="1" fillId="5" borderId="20" xfId="1" applyNumberFormat="1" applyFont="1" applyFill="1" applyBorder="1" applyAlignment="1">
      <alignment horizontal="center"/>
    </xf>
    <xf numFmtId="166" fontId="1" fillId="0" borderId="8" xfId="1" applyNumberFormat="1" applyFont="1" applyFill="1" applyBorder="1" applyAlignment="1">
      <alignment horizontal="right"/>
    </xf>
    <xf numFmtId="166" fontId="1" fillId="0" borderId="14" xfId="0" applyNumberFormat="1" applyFont="1" applyFill="1" applyBorder="1" applyAlignment="1">
      <alignment horizontal="right"/>
    </xf>
    <xf numFmtId="166" fontId="4" fillId="0" borderId="4" xfId="1" applyNumberFormat="1" applyFont="1" applyFill="1" applyBorder="1" applyAlignment="1">
      <alignment horizontal="right" wrapText="1"/>
    </xf>
    <xf numFmtId="166" fontId="1" fillId="0" borderId="4" xfId="1" applyNumberFormat="1" applyFont="1" applyFill="1" applyBorder="1" applyAlignment="1">
      <alignment horizontal="right" wrapText="1"/>
    </xf>
    <xf numFmtId="166" fontId="1" fillId="0" borderId="4" xfId="1" applyNumberFormat="1" applyFont="1" applyFill="1" applyBorder="1" applyAlignment="1">
      <alignment horizontal="right"/>
    </xf>
    <xf numFmtId="166" fontId="1" fillId="0" borderId="0" xfId="0" applyNumberFormat="1" applyFont="1" applyFill="1" applyBorder="1" applyAlignment="1">
      <alignment horizontal="right"/>
    </xf>
    <xf numFmtId="166" fontId="1" fillId="0" borderId="10" xfId="1" applyNumberFormat="1" applyFont="1" applyFill="1" applyBorder="1" applyAlignment="1">
      <alignment horizontal="right"/>
    </xf>
    <xf numFmtId="169" fontId="4" fillId="0" borderId="5" xfId="0" applyNumberFormat="1" applyFont="1" applyFill="1" applyBorder="1" applyAlignment="1">
      <alignment horizontal="center"/>
    </xf>
    <xf numFmtId="169" fontId="1" fillId="5" borderId="27" xfId="0" applyNumberFormat="1" applyFont="1" applyFill="1" applyBorder="1" applyAlignment="1">
      <alignment horizontal="center"/>
    </xf>
    <xf numFmtId="169" fontId="1" fillId="5" borderId="1" xfId="1" applyNumberFormat="1" applyFont="1" applyFill="1" applyBorder="1" applyAlignment="1">
      <alignment horizontal="center"/>
    </xf>
    <xf numFmtId="0" fontId="0" fillId="2" borderId="0" xfId="0" applyFont="1" applyFill="1" applyBorder="1"/>
    <xf numFmtId="167" fontId="4" fillId="0" borderId="4" xfId="0" applyNumberFormat="1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center"/>
    </xf>
    <xf numFmtId="0" fontId="1" fillId="9" borderId="21" xfId="0" applyFont="1" applyFill="1" applyBorder="1" applyAlignment="1"/>
    <xf numFmtId="0" fontId="1" fillId="0" borderId="24" xfId="0" applyFont="1" applyBorder="1"/>
    <xf numFmtId="0" fontId="1" fillId="0" borderId="3" xfId="0" applyFont="1" applyBorder="1"/>
    <xf numFmtId="169" fontId="1" fillId="0" borderId="0" xfId="0" applyNumberFormat="1" applyFont="1" applyFill="1"/>
    <xf numFmtId="0" fontId="0" fillId="0" borderId="0" xfId="0"/>
    <xf numFmtId="0" fontId="1" fillId="0" borderId="0" xfId="0" applyFont="1"/>
    <xf numFmtId="0" fontId="1" fillId="0" borderId="0" xfId="0" applyFont="1" applyFill="1" applyBorder="1"/>
    <xf numFmtId="169" fontId="1" fillId="0" borderId="14" xfId="1" applyNumberFormat="1" applyFont="1" applyFill="1" applyBorder="1" applyAlignment="1">
      <alignment horizontal="center"/>
    </xf>
    <xf numFmtId="169" fontId="1" fillId="0" borderId="14" xfId="0" applyNumberFormat="1" applyFont="1" applyFill="1" applyBorder="1" applyAlignment="1">
      <alignment horizontal="center"/>
    </xf>
    <xf numFmtId="165" fontId="5" fillId="0" borderId="4" xfId="1" applyNumberFormat="1" applyFont="1" applyFill="1" applyBorder="1" applyAlignment="1">
      <alignment horizontal="center" vertical="center" wrapText="1"/>
    </xf>
    <xf numFmtId="165" fontId="5" fillId="0" borderId="4" xfId="1" applyNumberFormat="1" applyFont="1" applyFill="1" applyBorder="1" applyAlignment="1">
      <alignment horizontal="center" wrapText="1"/>
    </xf>
    <xf numFmtId="165" fontId="3" fillId="0" borderId="4" xfId="1" applyNumberFormat="1" applyFont="1" applyFill="1" applyBorder="1" applyAlignment="1">
      <alignment horizontal="center" wrapText="1"/>
    </xf>
    <xf numFmtId="165" fontId="5" fillId="0" borderId="4" xfId="1" applyNumberFormat="1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left"/>
    </xf>
    <xf numFmtId="0" fontId="4" fillId="0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169" fontId="1" fillId="0" borderId="16" xfId="0" applyNumberFormat="1" applyFont="1" applyFill="1" applyBorder="1"/>
    <xf numFmtId="164" fontId="2" fillId="8" borderId="19" xfId="0" applyNumberFormat="1" applyFont="1" applyFill="1" applyBorder="1" applyAlignment="1">
      <alignment horizontal="center" vertical="center"/>
    </xf>
    <xf numFmtId="164" fontId="4" fillId="7" borderId="5" xfId="0" applyNumberFormat="1" applyFont="1" applyFill="1" applyBorder="1" applyAlignment="1">
      <alignment horizontal="center"/>
    </xf>
    <xf numFmtId="169" fontId="1" fillId="0" borderId="5" xfId="0" applyNumberFormat="1" applyFont="1" applyFill="1" applyBorder="1" applyAlignment="1">
      <alignment horizontal="center"/>
    </xf>
    <xf numFmtId="169" fontId="1" fillId="0" borderId="12" xfId="0" applyNumberFormat="1" applyFont="1" applyFill="1" applyBorder="1"/>
    <xf numFmtId="168" fontId="1" fillId="0" borderId="4" xfId="0" applyNumberFormat="1" applyFont="1" applyFill="1" applyBorder="1" applyAlignment="1">
      <alignment horizontal="center"/>
    </xf>
    <xf numFmtId="170" fontId="1" fillId="0" borderId="25" xfId="0" applyNumberFormat="1" applyFont="1" applyFill="1" applyBorder="1"/>
    <xf numFmtId="169" fontId="1" fillId="0" borderId="9" xfId="0" applyNumberFormat="1" applyFont="1" applyFill="1" applyBorder="1" applyAlignment="1">
      <alignment horizontal="center"/>
    </xf>
    <xf numFmtId="169" fontId="1" fillId="0" borderId="19" xfId="0" applyNumberFormat="1" applyFont="1" applyFill="1" applyBorder="1" applyAlignment="1">
      <alignment horizontal="center"/>
    </xf>
    <xf numFmtId="169" fontId="0" fillId="2" borderId="16" xfId="0" applyNumberFormat="1" applyFont="1" applyFill="1" applyBorder="1"/>
    <xf numFmtId="169" fontId="1" fillId="2" borderId="16" xfId="0" applyNumberFormat="1" applyFont="1" applyFill="1" applyBorder="1"/>
    <xf numFmtId="168" fontId="0" fillId="2" borderId="16" xfId="0" applyNumberFormat="1" applyFont="1" applyFill="1" applyBorder="1"/>
    <xf numFmtId="166" fontId="4" fillId="0" borderId="4" xfId="1" applyNumberFormat="1" applyFont="1" applyFill="1" applyBorder="1" applyAlignment="1">
      <alignment horizontal="right" wrapText="1"/>
    </xf>
    <xf numFmtId="166" fontId="1" fillId="0" borderId="4" xfId="1" applyNumberFormat="1" applyFont="1" applyFill="1" applyBorder="1" applyAlignment="1">
      <alignment horizontal="right" wrapText="1"/>
    </xf>
    <xf numFmtId="169" fontId="4" fillId="0" borderId="5" xfId="0" applyNumberFormat="1" applyFont="1" applyFill="1" applyBorder="1" applyAlignment="1">
      <alignment horizontal="center"/>
    </xf>
    <xf numFmtId="170" fontId="0" fillId="2" borderId="16" xfId="0" applyNumberFormat="1" applyFont="1" applyFill="1" applyBorder="1"/>
    <xf numFmtId="167" fontId="4" fillId="0" borderId="4" xfId="0" applyNumberFormat="1" applyFont="1" applyFill="1" applyBorder="1" applyAlignment="1">
      <alignment horizontal="left" wrapText="1"/>
    </xf>
    <xf numFmtId="170" fontId="1" fillId="2" borderId="16" xfId="0" applyNumberFormat="1" applyFont="1" applyFill="1" applyBorder="1"/>
    <xf numFmtId="169" fontId="1" fillId="0" borderId="28" xfId="0" applyNumberFormat="1" applyFont="1" applyFill="1" applyBorder="1" applyAlignment="1">
      <alignment horizontal="center"/>
    </xf>
    <xf numFmtId="0" fontId="4" fillId="0" borderId="8" xfId="0" applyFont="1" applyFill="1" applyBorder="1" applyAlignment="1">
      <alignment horizontal="left" wrapText="1"/>
    </xf>
    <xf numFmtId="166" fontId="4" fillId="0" borderId="8" xfId="1" applyNumberFormat="1" applyFont="1" applyFill="1" applyBorder="1" applyAlignment="1">
      <alignment horizontal="right" wrapText="1"/>
    </xf>
    <xf numFmtId="165" fontId="5" fillId="0" borderId="8" xfId="1" applyNumberFormat="1" applyFont="1" applyFill="1" applyBorder="1" applyAlignment="1">
      <alignment horizontal="center" vertical="center" wrapText="1"/>
    </xf>
    <xf numFmtId="168" fontId="1" fillId="0" borderId="25" xfId="0" applyNumberFormat="1" applyFont="1" applyFill="1" applyBorder="1"/>
    <xf numFmtId="171" fontId="0" fillId="2" borderId="16" xfId="0" applyNumberFormat="1" applyFont="1" applyFill="1" applyBorder="1"/>
    <xf numFmtId="168" fontId="1" fillId="2" borderId="16" xfId="0" applyNumberFormat="1" applyFont="1" applyFill="1" applyBorder="1"/>
    <xf numFmtId="169" fontId="1" fillId="0" borderId="29" xfId="0" applyNumberFormat="1" applyFont="1" applyFill="1" applyBorder="1" applyAlignment="1">
      <alignment horizontal="center"/>
    </xf>
    <xf numFmtId="169" fontId="1" fillId="0" borderId="29" xfId="1" applyNumberFormat="1" applyFont="1" applyFill="1" applyBorder="1" applyAlignment="1">
      <alignment horizontal="center"/>
    </xf>
    <xf numFmtId="169" fontId="1" fillId="0" borderId="30" xfId="0" applyNumberFormat="1" applyFont="1" applyFill="1" applyBorder="1"/>
    <xf numFmtId="169" fontId="1" fillId="0" borderId="31" xfId="0" applyNumberFormat="1" applyFont="1" applyFill="1" applyBorder="1" applyAlignment="1">
      <alignment horizontal="center"/>
    </xf>
    <xf numFmtId="169" fontId="1" fillId="0" borderId="32" xfId="1" applyNumberFormat="1" applyFont="1" applyFill="1" applyBorder="1" applyAlignment="1">
      <alignment horizontal="center"/>
    </xf>
    <xf numFmtId="169" fontId="1" fillId="0" borderId="4" xfId="0" applyNumberFormat="1" applyFont="1" applyFill="1" applyBorder="1" applyAlignment="1">
      <alignment horizontal="center"/>
    </xf>
    <xf numFmtId="169" fontId="1" fillId="0" borderId="8" xfId="0" applyNumberFormat="1" applyFont="1" applyFill="1" applyBorder="1" applyAlignment="1">
      <alignment horizontal="center"/>
    </xf>
    <xf numFmtId="0" fontId="1" fillId="0" borderId="6" xfId="0" applyFont="1" applyFill="1" applyBorder="1"/>
    <xf numFmtId="169" fontId="1" fillId="0" borderId="10" xfId="0" applyNumberFormat="1" applyFont="1" applyFill="1" applyBorder="1" applyAlignment="1">
      <alignment horizontal="center"/>
    </xf>
    <xf numFmtId="169" fontId="1" fillId="0" borderId="10" xfId="1" applyNumberFormat="1" applyFont="1" applyFill="1" applyBorder="1" applyAlignment="1">
      <alignment horizontal="center"/>
    </xf>
    <xf numFmtId="164" fontId="4" fillId="7" borderId="33" xfId="0" applyNumberFormat="1" applyFont="1" applyFill="1" applyBorder="1" applyAlignment="1">
      <alignment horizontal="center"/>
    </xf>
    <xf numFmtId="164" fontId="4" fillId="7" borderId="34" xfId="0" applyNumberFormat="1" applyFont="1" applyFill="1" applyBorder="1" applyAlignment="1">
      <alignment horizontal="center"/>
    </xf>
    <xf numFmtId="0" fontId="1" fillId="6" borderId="24" xfId="0" applyFont="1" applyFill="1" applyBorder="1" applyAlignment="1">
      <alignment horizontal="center" vertical="center"/>
    </xf>
    <xf numFmtId="164" fontId="1" fillId="8" borderId="29" xfId="0" applyNumberFormat="1" applyFont="1" applyFill="1" applyBorder="1" applyAlignment="1">
      <alignment horizontal="center" vertical="center"/>
    </xf>
    <xf numFmtId="164" fontId="1" fillId="8" borderId="14" xfId="0" applyNumberFormat="1" applyFont="1" applyFill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164" fontId="1" fillId="8" borderId="3" xfId="0" applyNumberFormat="1" applyFont="1" applyFill="1" applyBorder="1" applyAlignment="1">
      <alignment horizontal="center" vertical="center"/>
    </xf>
    <xf numFmtId="0" fontId="1" fillId="0" borderId="4" xfId="0" applyFont="1" applyFill="1" applyBorder="1"/>
    <xf numFmtId="0" fontId="1" fillId="0" borderId="4" xfId="0" applyFont="1" applyFill="1" applyBorder="1" applyAlignment="1">
      <alignment horizontal="center"/>
    </xf>
    <xf numFmtId="0" fontId="1" fillId="0" borderId="34" xfId="0" applyFont="1" applyFill="1" applyBorder="1"/>
    <xf numFmtId="0" fontId="1" fillId="0" borderId="35" xfId="0" applyFont="1" applyFill="1" applyBorder="1"/>
    <xf numFmtId="165" fontId="4" fillId="0" borderId="4" xfId="1" applyNumberFormat="1" applyFont="1" applyFill="1" applyBorder="1" applyAlignment="1">
      <alignment horizontal="center" vertical="center" wrapText="1"/>
    </xf>
    <xf numFmtId="165" fontId="4" fillId="0" borderId="4" xfId="1" applyNumberFormat="1" applyFont="1" applyFill="1" applyBorder="1" applyAlignment="1">
      <alignment horizontal="center" wrapText="1"/>
    </xf>
    <xf numFmtId="165" fontId="1" fillId="0" borderId="4" xfId="1" applyNumberFormat="1" applyFont="1" applyFill="1" applyBorder="1" applyAlignment="1">
      <alignment horizontal="center" wrapText="1"/>
    </xf>
    <xf numFmtId="0" fontId="1" fillId="2" borderId="0" xfId="0" applyFont="1" applyFill="1" applyBorder="1"/>
    <xf numFmtId="165" fontId="4" fillId="0" borderId="4" xfId="1" applyNumberFormat="1" applyFont="1" applyFill="1" applyBorder="1" applyAlignment="1">
      <alignment vertical="center" wrapText="1"/>
    </xf>
    <xf numFmtId="165" fontId="4" fillId="0" borderId="8" xfId="1" applyNumberFormat="1" applyFont="1" applyFill="1" applyBorder="1" applyAlignment="1">
      <alignment horizontal="center" vertical="center" wrapText="1"/>
    </xf>
    <xf numFmtId="169" fontId="1" fillId="0" borderId="8" xfId="1" applyNumberFormat="1" applyFont="1" applyFill="1" applyBorder="1" applyAlignment="1">
      <alignment horizontal="center"/>
    </xf>
    <xf numFmtId="165" fontId="1" fillId="0" borderId="4" xfId="1" applyNumberFormat="1" applyFont="1" applyFill="1" applyBorder="1" applyAlignment="1">
      <alignment horizontal="center"/>
    </xf>
    <xf numFmtId="0" fontId="1" fillId="0" borderId="26" xfId="0" applyFont="1" applyFill="1" applyBorder="1" applyAlignment="1">
      <alignment horizontal="center"/>
    </xf>
    <xf numFmtId="168" fontId="1" fillId="0" borderId="8" xfId="1" applyNumberFormat="1" applyFont="1" applyFill="1" applyBorder="1" applyAlignment="1">
      <alignment horizontal="center"/>
    </xf>
    <xf numFmtId="0" fontId="1" fillId="0" borderId="24" xfId="0" applyFont="1" applyFill="1" applyBorder="1" applyAlignment="1">
      <alignment horizontal="center"/>
    </xf>
    <xf numFmtId="172" fontId="1" fillId="0" borderId="8" xfId="1" applyNumberFormat="1" applyFont="1" applyFill="1" applyBorder="1" applyAlignment="1">
      <alignment horizontal="right"/>
    </xf>
    <xf numFmtId="0" fontId="1" fillId="0" borderId="36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/>
    </xf>
    <xf numFmtId="166" fontId="1" fillId="0" borderId="6" xfId="1" applyNumberFormat="1" applyFont="1" applyFill="1" applyBorder="1" applyAlignment="1">
      <alignment horizontal="right"/>
    </xf>
    <xf numFmtId="169" fontId="1" fillId="0" borderId="6" xfId="1" applyNumberFormat="1" applyFont="1" applyFill="1" applyBorder="1" applyAlignment="1">
      <alignment horizontal="center"/>
    </xf>
    <xf numFmtId="169" fontId="1" fillId="0" borderId="6" xfId="0" applyNumberFormat="1" applyFont="1" applyFill="1" applyBorder="1" applyAlignment="1">
      <alignment horizontal="center"/>
    </xf>
    <xf numFmtId="166" fontId="1" fillId="0" borderId="12" xfId="1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left"/>
    </xf>
    <xf numFmtId="164" fontId="1" fillId="8" borderId="4" xfId="0" applyNumberFormat="1" applyFont="1" applyFill="1" applyBorder="1" applyAlignment="1">
      <alignment horizontal="center" vertical="center"/>
    </xf>
    <xf numFmtId="169" fontId="4" fillId="0" borderId="4" xfId="0" applyNumberFormat="1" applyFont="1" applyFill="1" applyBorder="1" applyAlignment="1">
      <alignment horizontal="center"/>
    </xf>
    <xf numFmtId="169" fontId="1" fillId="0" borderId="4" xfId="1" applyNumberFormat="1" applyFont="1" applyFill="1" applyBorder="1" applyAlignment="1">
      <alignment horizontal="center"/>
    </xf>
    <xf numFmtId="0" fontId="0" fillId="9" borderId="37" xfId="0" applyFill="1" applyBorder="1" applyAlignment="1"/>
    <xf numFmtId="0" fontId="0" fillId="0" borderId="38" xfId="0" applyBorder="1"/>
    <xf numFmtId="168" fontId="1" fillId="0" borderId="39" xfId="0" applyNumberFormat="1" applyFont="1" applyFill="1" applyBorder="1"/>
    <xf numFmtId="0" fontId="1" fillId="9" borderId="37" xfId="0" applyFont="1" applyFill="1" applyBorder="1" applyAlignment="1"/>
    <xf numFmtId="170" fontId="0" fillId="2" borderId="22" xfId="0" applyNumberFormat="1" applyFont="1" applyFill="1" applyBorder="1"/>
    <xf numFmtId="169" fontId="0" fillId="2" borderId="26" xfId="0" applyNumberFormat="1" applyFont="1" applyFill="1" applyBorder="1"/>
    <xf numFmtId="168" fontId="0" fillId="2" borderId="22" xfId="0" applyNumberFormat="1" applyFont="1" applyFill="1" applyBorder="1"/>
    <xf numFmtId="0" fontId="1" fillId="0" borderId="28" xfId="0" applyFont="1" applyFill="1" applyBorder="1"/>
    <xf numFmtId="0" fontId="1" fillId="6" borderId="40" xfId="0" applyFont="1" applyFill="1" applyBorder="1" applyAlignment="1">
      <alignment horizontal="center" vertical="center"/>
    </xf>
    <xf numFmtId="164" fontId="1" fillId="8" borderId="40" xfId="0" applyNumberFormat="1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164" fontId="2" fillId="10" borderId="41" xfId="0" applyNumberFormat="1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164" fontId="2" fillId="11" borderId="41" xfId="0" applyNumberFormat="1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164" fontId="2" fillId="12" borderId="41" xfId="0" applyNumberFormat="1" applyFont="1" applyFill="1" applyBorder="1" applyAlignment="1">
      <alignment horizontal="center" vertical="center"/>
    </xf>
    <xf numFmtId="0" fontId="0" fillId="3" borderId="42" xfId="0" applyFill="1" applyBorder="1" applyAlignment="1">
      <alignment horizontal="center"/>
    </xf>
    <xf numFmtId="0" fontId="0" fillId="9" borderId="43" xfId="0" applyFill="1" applyBorder="1" applyAlignment="1"/>
    <xf numFmtId="169" fontId="1" fillId="2" borderId="7" xfId="0" applyNumberFormat="1" applyFont="1" applyFill="1" applyBorder="1"/>
    <xf numFmtId="0" fontId="1" fillId="0" borderId="4" xfId="0" applyFont="1" applyFill="1" applyBorder="1" applyAlignment="1"/>
    <xf numFmtId="0" fontId="4" fillId="0" borderId="4" xfId="0" applyFont="1" applyFill="1" applyBorder="1" applyAlignment="1">
      <alignment horizontal="center" wrapText="1"/>
    </xf>
    <xf numFmtId="0" fontId="0" fillId="0" borderId="4" xfId="0" applyBorder="1"/>
    <xf numFmtId="169" fontId="1" fillId="5" borderId="4" xfId="0" applyNumberFormat="1" applyFont="1" applyFill="1" applyBorder="1" applyAlignment="1">
      <alignment horizontal="center"/>
    </xf>
    <xf numFmtId="169" fontId="1" fillId="5" borderId="4" xfId="1" applyNumberFormat="1" applyFont="1" applyFill="1" applyBorder="1" applyAlignment="1">
      <alignment horizontal="center"/>
    </xf>
    <xf numFmtId="0" fontId="1" fillId="0" borderId="0" xfId="0" applyFont="1" applyFill="1"/>
    <xf numFmtId="166" fontId="1" fillId="0" borderId="0" xfId="1" applyNumberFormat="1" applyFont="1" applyFill="1" applyBorder="1" applyAlignment="1">
      <alignment horizontal="right"/>
    </xf>
    <xf numFmtId="169" fontId="0" fillId="2" borderId="7" xfId="0" applyNumberFormat="1" applyFont="1" applyFill="1" applyBorder="1"/>
    <xf numFmtId="169" fontId="1" fillId="2" borderId="44" xfId="1" applyNumberFormat="1" applyFont="1" applyFill="1" applyBorder="1" applyAlignment="1">
      <alignment horizontal="center"/>
    </xf>
    <xf numFmtId="170" fontId="3" fillId="0" borderId="11" xfId="1" applyNumberFormat="1" applyFont="1" applyFill="1" applyBorder="1" applyAlignment="1">
      <alignment horizontal="right"/>
    </xf>
    <xf numFmtId="170" fontId="3" fillId="0" borderId="12" xfId="1" applyNumberFormat="1" applyFont="1" applyFill="1" applyBorder="1" applyAlignment="1">
      <alignment horizontal="right"/>
    </xf>
    <xf numFmtId="0" fontId="0" fillId="0" borderId="17" xfId="0" applyBorder="1"/>
    <xf numFmtId="0" fontId="0" fillId="0" borderId="45" xfId="0" applyBorder="1"/>
    <xf numFmtId="0" fontId="0" fillId="0" borderId="18" xfId="0" applyBorder="1"/>
    <xf numFmtId="169" fontId="1" fillId="0" borderId="34" xfId="0" applyNumberFormat="1" applyFont="1" applyFill="1" applyBorder="1" applyAlignment="1">
      <alignment horizontal="center"/>
    </xf>
    <xf numFmtId="169" fontId="1" fillId="0" borderId="35" xfId="0" applyNumberFormat="1" applyFont="1" applyFill="1" applyBorder="1"/>
    <xf numFmtId="168" fontId="1" fillId="0" borderId="34" xfId="0" applyNumberFormat="1" applyFont="1" applyFill="1" applyBorder="1" applyAlignment="1">
      <alignment horizontal="center"/>
    </xf>
    <xf numFmtId="0" fontId="1" fillId="0" borderId="0" xfId="0" applyFont="1" applyBorder="1"/>
    <xf numFmtId="0" fontId="1" fillId="0" borderId="1" xfId="0" applyFont="1" applyFill="1" applyBorder="1"/>
    <xf numFmtId="166" fontId="1" fillId="0" borderId="1" xfId="0" applyNumberFormat="1" applyFont="1" applyFill="1" applyBorder="1" applyAlignment="1">
      <alignment horizontal="right"/>
    </xf>
    <xf numFmtId="168" fontId="1" fillId="0" borderId="1" xfId="0" applyNumberFormat="1" applyFont="1" applyFill="1" applyBorder="1" applyAlignment="1">
      <alignment horizontal="center"/>
    </xf>
    <xf numFmtId="169" fontId="1" fillId="0" borderId="45" xfId="0" applyNumberFormat="1" applyFont="1" applyFill="1" applyBorder="1" applyAlignment="1">
      <alignment horizontal="center"/>
    </xf>
    <xf numFmtId="169" fontId="1" fillId="0" borderId="46" xfId="0" applyNumberFormat="1" applyFont="1" applyFill="1" applyBorder="1"/>
    <xf numFmtId="168" fontId="1" fillId="0" borderId="45" xfId="0" applyNumberFormat="1" applyFont="1" applyFill="1" applyBorder="1" applyAlignment="1">
      <alignment horizontal="center"/>
    </xf>
    <xf numFmtId="164" fontId="1" fillId="8" borderId="38" xfId="0" applyNumberFormat="1" applyFont="1" applyFill="1" applyBorder="1" applyAlignment="1">
      <alignment horizontal="center" vertical="center"/>
    </xf>
    <xf numFmtId="169" fontId="1" fillId="0" borderId="4" xfId="0" applyNumberFormat="1" applyFont="1" applyFill="1" applyBorder="1"/>
    <xf numFmtId="168" fontId="1" fillId="0" borderId="0" xfId="0" applyNumberFormat="1" applyFont="1" applyFill="1" applyBorder="1" applyAlignment="1">
      <alignment horizontal="center"/>
    </xf>
    <xf numFmtId="169" fontId="1" fillId="0" borderId="26" xfId="0" applyNumberFormat="1" applyFont="1" applyFill="1" applyBorder="1"/>
  </cellXfs>
  <cellStyles count="2">
    <cellStyle name="Comma" xfId="1" builtinId="3"/>
    <cellStyle name="Normal" xfId="0" builtinId="0"/>
  </cellStyles>
  <dxfs count="539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colors>
    <mruColors>
      <color rgb="FFFF7C80"/>
      <color rgb="FF6B8895"/>
      <color rgb="FFE2F67C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V-2026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C-2026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-2026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-2026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9"/>
  <sheetViews>
    <sheetView tabSelected="1" topLeftCell="A25" workbookViewId="0">
      <selection activeCell="X60" sqref="X60"/>
    </sheetView>
  </sheetViews>
  <sheetFormatPr defaultRowHeight="15" outlineLevelCol="1" x14ac:dyDescent="0.25"/>
  <cols>
    <col min="1" max="1" width="10.140625" style="132" customWidth="1" outlineLevel="1"/>
    <col min="2" max="2" width="18.7109375" style="132" customWidth="1" outlineLevel="1"/>
    <col min="3" max="3" width="14.28515625" style="132" customWidth="1"/>
    <col min="4" max="4" width="18" style="132" customWidth="1"/>
    <col min="5" max="5" width="9.42578125" style="132" customWidth="1"/>
    <col min="6" max="6" width="6.5703125" style="132" customWidth="1"/>
    <col min="7" max="7" width="1.7109375" style="132" customWidth="1"/>
    <col min="8" max="17" width="13.42578125" style="132" hidden="1" customWidth="1" outlineLevel="1"/>
    <col min="18" max="18" width="13.42578125" style="132" customWidth="1" collapsed="1"/>
    <col min="19" max="24" width="13.42578125" style="132" customWidth="1"/>
    <col min="25" max="25" width="11.28515625" style="132" customWidth="1"/>
    <col min="26" max="26" width="10.42578125" style="132" hidden="1" customWidth="1" outlineLevel="1"/>
    <col min="27" max="27" width="10.7109375" style="132" hidden="1" customWidth="1" outlineLevel="1"/>
    <col min="28" max="28" width="9.140625" style="132" collapsed="1"/>
    <col min="29" max="33" width="9.140625" style="132"/>
    <col min="34" max="34" width="14.140625" style="132" customWidth="1"/>
    <col min="35" max="35" width="12" style="132" customWidth="1"/>
    <col min="36" max="36" width="15.85546875" style="132" customWidth="1"/>
    <col min="37" max="16384" width="9.140625" style="132"/>
  </cols>
  <sheetData>
    <row r="1" spans="1:38" ht="15.75" thickBot="1" x14ac:dyDescent="0.3"/>
    <row r="2" spans="1:38" ht="15.75" thickBot="1" x14ac:dyDescent="0.3">
      <c r="G2" s="220"/>
      <c r="H2" s="255">
        <v>46296</v>
      </c>
      <c r="I2" s="255">
        <v>46300</v>
      </c>
      <c r="J2" s="255">
        <v>46301</v>
      </c>
      <c r="K2" s="255">
        <v>46302</v>
      </c>
      <c r="L2" s="255">
        <v>46303</v>
      </c>
      <c r="M2" s="255">
        <v>46304</v>
      </c>
      <c r="N2" s="255">
        <v>46307</v>
      </c>
      <c r="O2" s="255">
        <v>46308</v>
      </c>
      <c r="P2" s="255">
        <v>46309</v>
      </c>
      <c r="Q2" s="255">
        <v>46310</v>
      </c>
      <c r="R2" s="255">
        <v>46311</v>
      </c>
      <c r="S2" s="255">
        <v>46314</v>
      </c>
      <c r="T2" s="255">
        <v>46316</v>
      </c>
      <c r="U2" s="255">
        <v>46317</v>
      </c>
      <c r="V2" s="255">
        <v>46318</v>
      </c>
      <c r="W2" s="255">
        <v>46321</v>
      </c>
      <c r="X2" s="255">
        <v>46322</v>
      </c>
      <c r="Y2" s="182"/>
      <c r="Z2" s="183" t="s">
        <v>325</v>
      </c>
      <c r="AA2" s="184" t="s">
        <v>326</v>
      </c>
    </row>
    <row r="3" spans="1:38" x14ac:dyDescent="0.25">
      <c r="A3" s="185" t="s">
        <v>54</v>
      </c>
      <c r="B3" s="185" t="s">
        <v>69</v>
      </c>
      <c r="C3" s="185" t="s">
        <v>70</v>
      </c>
      <c r="D3" s="185" t="s">
        <v>2</v>
      </c>
      <c r="E3" s="185" t="s">
        <v>257</v>
      </c>
      <c r="F3" s="186" t="s">
        <v>9</v>
      </c>
      <c r="G3" s="187"/>
      <c r="H3" s="178" t="s">
        <v>236</v>
      </c>
      <c r="I3" s="178" t="s">
        <v>234</v>
      </c>
      <c r="J3" s="178" t="s">
        <v>233</v>
      </c>
      <c r="K3" s="178" t="s">
        <v>237</v>
      </c>
      <c r="L3" s="178" t="s">
        <v>236</v>
      </c>
      <c r="M3" s="178" t="s">
        <v>235</v>
      </c>
      <c r="N3" s="178" t="s">
        <v>234</v>
      </c>
      <c r="O3" s="178" t="s">
        <v>233</v>
      </c>
      <c r="P3" s="178" t="s">
        <v>237</v>
      </c>
      <c r="Q3" s="178" t="s">
        <v>236</v>
      </c>
      <c r="R3" s="178" t="s">
        <v>235</v>
      </c>
      <c r="S3" s="178" t="s">
        <v>234</v>
      </c>
      <c r="T3" s="178" t="s">
        <v>237</v>
      </c>
      <c r="U3" s="178" t="s">
        <v>236</v>
      </c>
      <c r="V3" s="178" t="s">
        <v>235</v>
      </c>
      <c r="W3" s="178" t="s">
        <v>234</v>
      </c>
      <c r="X3" s="178" t="s">
        <v>233</v>
      </c>
      <c r="Y3" s="179"/>
      <c r="Z3" s="188"/>
      <c r="AA3" s="179"/>
      <c r="AH3" s="132" t="s">
        <v>198</v>
      </c>
      <c r="AI3" s="132">
        <v>13780</v>
      </c>
    </row>
    <row r="4" spans="1:38" x14ac:dyDescent="0.25">
      <c r="A4" s="141" t="s">
        <v>216</v>
      </c>
      <c r="B4" s="44" t="s">
        <v>215</v>
      </c>
      <c r="C4" s="141" t="s">
        <v>11</v>
      </c>
      <c r="D4" s="141" t="s">
        <v>260</v>
      </c>
      <c r="E4" s="141" t="s">
        <v>256</v>
      </c>
      <c r="F4" s="155">
        <v>0.5</v>
      </c>
      <c r="G4" s="189"/>
      <c r="H4" s="157">
        <v>-10416</v>
      </c>
      <c r="I4" s="157">
        <v>3572</v>
      </c>
      <c r="J4" s="157">
        <v>22112</v>
      </c>
      <c r="K4" s="157">
        <v>29052</v>
      </c>
      <c r="L4" s="157">
        <v>42300</v>
      </c>
      <c r="M4" s="157">
        <v>0</v>
      </c>
      <c r="N4" s="157">
        <v>20138</v>
      </c>
      <c r="O4" s="157">
        <v>2032</v>
      </c>
      <c r="P4" s="157">
        <v>-4915</v>
      </c>
      <c r="Q4" s="157">
        <v>20376</v>
      </c>
      <c r="R4" s="157">
        <v>-3015</v>
      </c>
      <c r="S4" s="157">
        <v>-4789</v>
      </c>
      <c r="T4" s="157">
        <v>9292</v>
      </c>
      <c r="U4" s="157">
        <v>-3426</v>
      </c>
      <c r="V4" s="157">
        <v>7452</v>
      </c>
      <c r="W4" s="157">
        <v>-6562</v>
      </c>
      <c r="X4" s="157">
        <v>-11883</v>
      </c>
      <c r="Y4" s="210"/>
      <c r="Z4" s="170">
        <f t="shared" ref="Z4" si="0">SUM(H4:Y4)</f>
        <v>111320</v>
      </c>
      <c r="AA4" s="148">
        <f t="shared" ref="AA4" si="1">IFERROR(Z4/F4*100,0)/10000000</f>
        <v>2.2263999999999999</v>
      </c>
      <c r="AH4" s="132" t="s">
        <v>170</v>
      </c>
      <c r="AI4" s="132">
        <v>2865</v>
      </c>
    </row>
    <row r="5" spans="1:38" x14ac:dyDescent="0.25">
      <c r="A5" s="141" t="s">
        <v>343</v>
      </c>
      <c r="B5" s="140" t="s">
        <v>341</v>
      </c>
      <c r="C5" s="140" t="s">
        <v>345</v>
      </c>
      <c r="D5" s="159" t="s">
        <v>138</v>
      </c>
      <c r="E5" s="159" t="s">
        <v>256</v>
      </c>
      <c r="F5" s="155">
        <v>3</v>
      </c>
      <c r="G5" s="190"/>
      <c r="H5" s="146">
        <v>-37424</v>
      </c>
      <c r="I5" s="146">
        <v>-168374</v>
      </c>
      <c r="J5" s="146">
        <v>205000</v>
      </c>
      <c r="K5" s="146">
        <v>94938</v>
      </c>
      <c r="L5" s="146">
        <v>96755</v>
      </c>
      <c r="M5" s="146">
        <v>117145</v>
      </c>
      <c r="N5" s="146">
        <v>267650</v>
      </c>
      <c r="O5" s="146">
        <v>-166064</v>
      </c>
      <c r="P5" s="146">
        <v>20733</v>
      </c>
      <c r="Q5" s="146">
        <v>-56438</v>
      </c>
      <c r="R5" s="146">
        <v>95575</v>
      </c>
      <c r="S5" s="146">
        <v>57336</v>
      </c>
      <c r="T5" s="146">
        <v>60100</v>
      </c>
      <c r="U5" s="146">
        <v>-254059</v>
      </c>
      <c r="V5" s="146">
        <v>106000</v>
      </c>
      <c r="W5" s="146">
        <v>-57900</v>
      </c>
      <c r="X5" s="146">
        <v>-95500</v>
      </c>
      <c r="Y5" s="173"/>
      <c r="Z5" s="170">
        <f t="shared" ref="Z5:Z53" si="2">SUM(H5:Y5)</f>
        <v>285473</v>
      </c>
      <c r="AA5" s="148">
        <f t="shared" ref="AA5:AA53" si="3">IFERROR(Z5/F5*100,0)/10000000</f>
        <v>0.95157666666666674</v>
      </c>
    </row>
    <row r="6" spans="1:38" x14ac:dyDescent="0.25">
      <c r="A6" s="141" t="s">
        <v>344</v>
      </c>
      <c r="B6" s="140" t="s">
        <v>341</v>
      </c>
      <c r="C6" s="140" t="s">
        <v>312</v>
      </c>
      <c r="D6" s="159" t="s">
        <v>311</v>
      </c>
      <c r="E6" s="159" t="s">
        <v>256</v>
      </c>
      <c r="F6" s="155">
        <v>1</v>
      </c>
      <c r="G6" s="190"/>
      <c r="H6" s="146">
        <v>61880</v>
      </c>
      <c r="I6" s="146">
        <v>-64153</v>
      </c>
      <c r="J6" s="146">
        <v>-20800</v>
      </c>
      <c r="K6" s="146">
        <v>50440</v>
      </c>
      <c r="L6" s="146">
        <v>44170</v>
      </c>
      <c r="M6" s="146">
        <v>56800</v>
      </c>
      <c r="N6" s="146">
        <v>-10500</v>
      </c>
      <c r="O6" s="146">
        <v>68700</v>
      </c>
      <c r="P6" s="146">
        <v>47900</v>
      </c>
      <c r="Q6" s="146">
        <v>13400</v>
      </c>
      <c r="R6" s="146">
        <v>68940</v>
      </c>
      <c r="S6" s="146">
        <v>93200</v>
      </c>
      <c r="T6" s="146">
        <v>119900</v>
      </c>
      <c r="U6" s="146">
        <v>-47135</v>
      </c>
      <c r="V6" s="146">
        <v>-61600</v>
      </c>
      <c r="W6" s="146">
        <v>-169055</v>
      </c>
      <c r="X6" s="146">
        <v>76500</v>
      </c>
      <c r="Y6" s="173"/>
      <c r="Z6" s="170">
        <f t="shared" si="2"/>
        <v>328587</v>
      </c>
      <c r="AA6" s="148">
        <f t="shared" si="3"/>
        <v>3.2858700000000001</v>
      </c>
    </row>
    <row r="7" spans="1:38" ht="18" customHeight="1" x14ac:dyDescent="0.25">
      <c r="A7" s="141" t="s">
        <v>134</v>
      </c>
      <c r="B7" s="140" t="s">
        <v>133</v>
      </c>
      <c r="C7" s="140" t="s">
        <v>135</v>
      </c>
      <c r="D7" s="159" t="s">
        <v>258</v>
      </c>
      <c r="E7" s="159" t="s">
        <v>290</v>
      </c>
      <c r="F7" s="155">
        <v>3</v>
      </c>
      <c r="G7" s="190"/>
      <c r="H7" s="146">
        <v>-136000</v>
      </c>
      <c r="I7" s="146">
        <v>118000</v>
      </c>
      <c r="J7" s="146">
        <v>-49000</v>
      </c>
      <c r="K7" s="146">
        <v>-140210</v>
      </c>
      <c r="L7" s="146">
        <v>-117400</v>
      </c>
      <c r="M7" s="146">
        <v>124400</v>
      </c>
      <c r="N7" s="146">
        <v>-116400</v>
      </c>
      <c r="O7" s="146">
        <v>190500</v>
      </c>
      <c r="P7" s="146">
        <v>114600</v>
      </c>
      <c r="Q7" s="146">
        <v>6628</v>
      </c>
      <c r="R7" s="146">
        <v>-95555</v>
      </c>
      <c r="S7" s="146">
        <v>71500</v>
      </c>
      <c r="T7" s="146">
        <v>-11104</v>
      </c>
      <c r="U7" s="146">
        <v>-22819</v>
      </c>
      <c r="V7" s="146">
        <v>-37900</v>
      </c>
      <c r="W7" s="146">
        <v>92400</v>
      </c>
      <c r="X7" s="146">
        <v>121200</v>
      </c>
      <c r="Y7" s="173"/>
      <c r="Z7" s="170">
        <f t="shared" si="2"/>
        <v>112840</v>
      </c>
      <c r="AA7" s="148">
        <f t="shared" si="3"/>
        <v>0.37613333333333338</v>
      </c>
      <c r="AC7" s="5"/>
      <c r="AD7" s="133">
        <v>-17173</v>
      </c>
    </row>
    <row r="8" spans="1:38" x14ac:dyDescent="0.25">
      <c r="A8" s="141" t="s">
        <v>217</v>
      </c>
      <c r="B8" s="140" t="s">
        <v>133</v>
      </c>
      <c r="C8" s="140" t="s">
        <v>96</v>
      </c>
      <c r="D8" s="159" t="s">
        <v>116</v>
      </c>
      <c r="E8" s="159" t="s">
        <v>256</v>
      </c>
      <c r="F8" s="155">
        <v>1.5</v>
      </c>
      <c r="G8" s="190"/>
      <c r="H8" s="146">
        <v>19390</v>
      </c>
      <c r="I8" s="146">
        <v>50890</v>
      </c>
      <c r="J8" s="146">
        <v>19770</v>
      </c>
      <c r="K8" s="146">
        <v>18290</v>
      </c>
      <c r="L8" s="146">
        <v>11000</v>
      </c>
      <c r="M8" s="146">
        <v>31390</v>
      </c>
      <c r="N8" s="146">
        <v>27600</v>
      </c>
      <c r="O8" s="146">
        <v>18375</v>
      </c>
      <c r="P8" s="146">
        <v>-2657</v>
      </c>
      <c r="Q8" s="146">
        <v>70564</v>
      </c>
      <c r="R8" s="146">
        <v>36368</v>
      </c>
      <c r="S8" s="146">
        <v>-78711</v>
      </c>
      <c r="T8" s="146">
        <v>84000</v>
      </c>
      <c r="U8" s="146">
        <v>-33919</v>
      </c>
      <c r="V8" s="146">
        <v>0</v>
      </c>
      <c r="W8" s="146">
        <v>-16364</v>
      </c>
      <c r="X8" s="146">
        <v>10700</v>
      </c>
      <c r="Y8" s="173"/>
      <c r="Z8" s="170">
        <f t="shared" si="2"/>
        <v>266686</v>
      </c>
      <c r="AA8" s="148">
        <f t="shared" si="3"/>
        <v>1.7779066666666665</v>
      </c>
      <c r="AC8" s="133">
        <v>244627</v>
      </c>
      <c r="AD8" s="133"/>
    </row>
    <row r="9" spans="1:38" x14ac:dyDescent="0.25">
      <c r="A9" s="141" t="s">
        <v>313</v>
      </c>
      <c r="B9" s="140" t="s">
        <v>133</v>
      </c>
      <c r="C9" s="140" t="s">
        <v>294</v>
      </c>
      <c r="D9" s="159" t="s">
        <v>116</v>
      </c>
      <c r="E9" s="159"/>
      <c r="F9" s="155">
        <v>0.6</v>
      </c>
      <c r="G9" s="190"/>
      <c r="H9" s="146">
        <v>14700</v>
      </c>
      <c r="I9" s="146">
        <v>31300</v>
      </c>
      <c r="J9" s="146">
        <v>-8734</v>
      </c>
      <c r="K9" s="146">
        <v>4948</v>
      </c>
      <c r="L9" s="146">
        <v>25000</v>
      </c>
      <c r="M9" s="146">
        <v>11000</v>
      </c>
      <c r="N9" s="146">
        <v>-22490</v>
      </c>
      <c r="O9" s="146">
        <v>34300</v>
      </c>
      <c r="P9" s="146">
        <v>-22700</v>
      </c>
      <c r="Q9" s="146">
        <v>29000</v>
      </c>
      <c r="R9" s="146">
        <v>10900</v>
      </c>
      <c r="S9" s="146">
        <v>60900</v>
      </c>
      <c r="T9" s="146">
        <v>99900</v>
      </c>
      <c r="U9" s="146">
        <v>-105197</v>
      </c>
      <c r="V9" s="146">
        <v>0</v>
      </c>
      <c r="W9" s="146">
        <v>50600</v>
      </c>
      <c r="X9" s="146">
        <v>62800</v>
      </c>
      <c r="Y9" s="173"/>
      <c r="Z9" s="170">
        <f t="shared" si="2"/>
        <v>276227</v>
      </c>
      <c r="AA9" s="148">
        <f t="shared" si="3"/>
        <v>4.6037833333333333</v>
      </c>
      <c r="AC9" s="133">
        <v>229732</v>
      </c>
      <c r="AD9" s="133">
        <f>(AC9+AC8)/10000000*13780</f>
        <v>653.66670199999999</v>
      </c>
    </row>
    <row r="10" spans="1:38" x14ac:dyDescent="0.25">
      <c r="A10" s="142" t="s">
        <v>35</v>
      </c>
      <c r="B10" s="140" t="s">
        <v>55</v>
      </c>
      <c r="C10" s="140" t="s">
        <v>79</v>
      </c>
      <c r="D10" s="142" t="s">
        <v>112</v>
      </c>
      <c r="E10" s="142" t="s">
        <v>256</v>
      </c>
      <c r="F10" s="156">
        <v>15</v>
      </c>
      <c r="G10" s="191"/>
      <c r="H10" s="146">
        <v>35250</v>
      </c>
      <c r="I10" s="146">
        <v>-205500</v>
      </c>
      <c r="J10" s="146">
        <v>0</v>
      </c>
      <c r="K10" s="146">
        <v>13730</v>
      </c>
      <c r="L10" s="146">
        <v>0</v>
      </c>
      <c r="M10" s="146">
        <v>4400</v>
      </c>
      <c r="N10" s="146">
        <v>-66300</v>
      </c>
      <c r="O10" s="146">
        <v>316800</v>
      </c>
      <c r="P10" s="146">
        <v>0</v>
      </c>
      <c r="Q10" s="146">
        <v>-235700</v>
      </c>
      <c r="R10" s="146">
        <v>1160</v>
      </c>
      <c r="S10" s="146">
        <v>47501</v>
      </c>
      <c r="T10" s="146">
        <v>1280</v>
      </c>
      <c r="U10" s="146">
        <v>0</v>
      </c>
      <c r="V10" s="146">
        <v>0</v>
      </c>
      <c r="W10" s="146">
        <v>0</v>
      </c>
      <c r="X10" s="146">
        <v>0</v>
      </c>
      <c r="Y10" s="173"/>
      <c r="Z10" s="170">
        <f t="shared" si="2"/>
        <v>-87379</v>
      </c>
      <c r="AA10" s="148">
        <f t="shared" si="3"/>
        <v>-5.8252666666666661E-2</v>
      </c>
      <c r="AC10" s="133"/>
      <c r="AD10" s="133"/>
    </row>
    <row r="11" spans="1:38" x14ac:dyDescent="0.25">
      <c r="A11" s="142" t="s">
        <v>137</v>
      </c>
      <c r="B11" s="140" t="s">
        <v>122</v>
      </c>
      <c r="C11" s="140" t="s">
        <v>136</v>
      </c>
      <c r="D11" s="142" t="s">
        <v>259</v>
      </c>
      <c r="E11" s="142" t="s">
        <v>256</v>
      </c>
      <c r="F11" s="156">
        <v>6</v>
      </c>
      <c r="G11" s="191"/>
      <c r="H11" s="146">
        <v>0</v>
      </c>
      <c r="I11" s="146">
        <v>331</v>
      </c>
      <c r="J11" s="146">
        <v>170100</v>
      </c>
      <c r="K11" s="146">
        <v>0</v>
      </c>
      <c r="L11" s="146">
        <v>55700</v>
      </c>
      <c r="M11" s="146">
        <v>0</v>
      </c>
      <c r="N11" s="146">
        <v>16000</v>
      </c>
      <c r="O11" s="146">
        <v>266734</v>
      </c>
      <c r="P11" s="146">
        <v>0</v>
      </c>
      <c r="Q11" s="146">
        <v>102848</v>
      </c>
      <c r="R11" s="146">
        <v>32041</v>
      </c>
      <c r="S11" s="146">
        <v>-270400</v>
      </c>
      <c r="T11" s="146">
        <v>0</v>
      </c>
      <c r="U11" s="146">
        <v>0</v>
      </c>
      <c r="V11" s="146">
        <v>0</v>
      </c>
      <c r="W11" s="146">
        <v>12420</v>
      </c>
      <c r="X11" s="146">
        <v>-114575</v>
      </c>
      <c r="Y11" s="173"/>
      <c r="Z11" s="170">
        <f t="shared" si="2"/>
        <v>271199</v>
      </c>
      <c r="AA11" s="148">
        <f t="shared" si="3"/>
        <v>0.45199833333333339</v>
      </c>
      <c r="AC11" s="133"/>
      <c r="AD11" s="133"/>
    </row>
    <row r="12" spans="1:38" x14ac:dyDescent="0.25">
      <c r="A12" s="142" t="s">
        <v>42</v>
      </c>
      <c r="B12" s="140" t="s">
        <v>230</v>
      </c>
      <c r="C12" s="140" t="s">
        <v>85</v>
      </c>
      <c r="D12" s="142" t="s">
        <v>106</v>
      </c>
      <c r="E12" s="142" t="s">
        <v>107</v>
      </c>
      <c r="F12" s="156">
        <v>1</v>
      </c>
      <c r="G12" s="191"/>
      <c r="H12" s="146">
        <v>-1852</v>
      </c>
      <c r="I12" s="146">
        <v>1200</v>
      </c>
      <c r="J12" s="146">
        <v>330</v>
      </c>
      <c r="K12" s="146">
        <v>-1616</v>
      </c>
      <c r="L12" s="146">
        <v>-2953</v>
      </c>
      <c r="M12" s="146">
        <v>3600</v>
      </c>
      <c r="N12" s="146">
        <v>-1450</v>
      </c>
      <c r="O12" s="146">
        <v>1122</v>
      </c>
      <c r="P12" s="146">
        <v>-2961</v>
      </c>
      <c r="Q12" s="146">
        <v>-100</v>
      </c>
      <c r="R12" s="146">
        <v>2072</v>
      </c>
      <c r="S12" s="146">
        <v>-1965</v>
      </c>
      <c r="T12" s="146">
        <v>-3031</v>
      </c>
      <c r="U12" s="146">
        <v>-2466</v>
      </c>
      <c r="V12" s="146">
        <v>-3576</v>
      </c>
      <c r="W12" s="146">
        <v>1111</v>
      </c>
      <c r="X12" s="146">
        <v>-413</v>
      </c>
      <c r="Y12" s="173"/>
      <c r="Z12" s="170">
        <f t="shared" si="2"/>
        <v>-12948</v>
      </c>
      <c r="AA12" s="148">
        <f t="shared" si="3"/>
        <v>-0.12948000000000001</v>
      </c>
      <c r="AC12" s="133"/>
      <c r="AD12" s="133"/>
    </row>
    <row r="13" spans="1:38" x14ac:dyDescent="0.25">
      <c r="A13" s="141" t="s">
        <v>212</v>
      </c>
      <c r="B13" s="140" t="s">
        <v>230</v>
      </c>
      <c r="C13" s="141" t="s">
        <v>12</v>
      </c>
      <c r="D13" s="141" t="s">
        <v>39</v>
      </c>
      <c r="E13" s="141" t="s">
        <v>256</v>
      </c>
      <c r="F13" s="155">
        <v>2.5</v>
      </c>
      <c r="G13" s="193"/>
      <c r="H13" s="146">
        <v>28670</v>
      </c>
      <c r="I13" s="146">
        <v>-2070</v>
      </c>
      <c r="J13" s="146">
        <v>41753</v>
      </c>
      <c r="K13" s="146">
        <v>0</v>
      </c>
      <c r="L13" s="146">
        <v>22700</v>
      </c>
      <c r="M13" s="146">
        <v>25100</v>
      </c>
      <c r="N13" s="146">
        <v>19400</v>
      </c>
      <c r="O13" s="146">
        <v>33540</v>
      </c>
      <c r="P13" s="146">
        <v>-4729</v>
      </c>
      <c r="Q13" s="146">
        <v>-9088</v>
      </c>
      <c r="R13" s="146">
        <v>-39105</v>
      </c>
      <c r="S13" s="146">
        <v>-15290</v>
      </c>
      <c r="T13" s="146">
        <v>30473</v>
      </c>
      <c r="U13" s="146">
        <v>-8452</v>
      </c>
      <c r="V13" s="146">
        <v>24090</v>
      </c>
      <c r="W13" s="146">
        <v>-40457</v>
      </c>
      <c r="X13" s="146">
        <v>-15543</v>
      </c>
      <c r="Y13" s="173"/>
      <c r="Z13" s="170">
        <f t="shared" si="2"/>
        <v>90992</v>
      </c>
      <c r="AA13" s="148">
        <f t="shared" si="3"/>
        <v>0.36396800000000007</v>
      </c>
      <c r="AC13" s="133"/>
      <c r="AD13" s="133"/>
    </row>
    <row r="14" spans="1:38" x14ac:dyDescent="0.25">
      <c r="A14" s="141" t="s">
        <v>51</v>
      </c>
      <c r="B14" s="140" t="s">
        <v>84</v>
      </c>
      <c r="C14" s="141" t="s">
        <v>289</v>
      </c>
      <c r="D14" s="141" t="s">
        <v>39</v>
      </c>
      <c r="E14" s="141" t="s">
        <v>256</v>
      </c>
      <c r="F14" s="155">
        <v>2.2000000000000002</v>
      </c>
      <c r="G14" s="193"/>
      <c r="H14" s="146">
        <v>34712</v>
      </c>
      <c r="I14" s="146">
        <v>-291</v>
      </c>
      <c r="J14" s="146">
        <v>43482</v>
      </c>
      <c r="K14" s="146">
        <v>0</v>
      </c>
      <c r="L14" s="146">
        <v>30900</v>
      </c>
      <c r="M14" s="146">
        <v>22730</v>
      </c>
      <c r="N14" s="146">
        <v>14168</v>
      </c>
      <c r="O14" s="146">
        <v>37416</v>
      </c>
      <c r="P14" s="146">
        <v>2460</v>
      </c>
      <c r="Q14" s="146">
        <v>-9798</v>
      </c>
      <c r="R14" s="146">
        <v>-48238</v>
      </c>
      <c r="S14" s="146">
        <v>-9374</v>
      </c>
      <c r="T14" s="146">
        <v>27044</v>
      </c>
      <c r="U14" s="146">
        <v>0</v>
      </c>
      <c r="V14" s="146">
        <v>31125</v>
      </c>
      <c r="W14" s="146">
        <v>-37218</v>
      </c>
      <c r="X14" s="146">
        <v>-17800</v>
      </c>
      <c r="Y14" s="173"/>
      <c r="Z14" s="170">
        <f t="shared" si="2"/>
        <v>121318</v>
      </c>
      <c r="AA14" s="148">
        <f t="shared" si="3"/>
        <v>0.55144545454545446</v>
      </c>
      <c r="AC14" s="133"/>
      <c r="AD14" s="192">
        <f>AD7-AD9</f>
        <v>-17826.666701999999</v>
      </c>
      <c r="AG14" s="132">
        <v>-13200</v>
      </c>
      <c r="AI14" s="132">
        <f>AG14+AD14</f>
        <v>-31026.666701999999</v>
      </c>
    </row>
    <row r="15" spans="1:38" x14ac:dyDescent="0.25">
      <c r="A15" s="141" t="s">
        <v>43</v>
      </c>
      <c r="B15" s="140" t="s">
        <v>84</v>
      </c>
      <c r="C15" s="140" t="s">
        <v>85</v>
      </c>
      <c r="D15" s="141" t="s">
        <v>106</v>
      </c>
      <c r="E15" s="141" t="s">
        <v>107</v>
      </c>
      <c r="F15" s="156">
        <v>1</v>
      </c>
      <c r="G15" s="189"/>
      <c r="H15" s="146">
        <v>-10000</v>
      </c>
      <c r="I15" s="146">
        <v>10800</v>
      </c>
      <c r="J15" s="146">
        <v>19700</v>
      </c>
      <c r="K15" s="146">
        <v>-6218</v>
      </c>
      <c r="L15" s="146">
        <v>-30200</v>
      </c>
      <c r="M15" s="146">
        <v>20000</v>
      </c>
      <c r="N15" s="146">
        <v>-2965</v>
      </c>
      <c r="O15" s="146">
        <v>17000</v>
      </c>
      <c r="P15" s="146">
        <v>-1624</v>
      </c>
      <c r="Q15" s="146">
        <v>-6519</v>
      </c>
      <c r="R15" s="146">
        <v>14300</v>
      </c>
      <c r="S15" s="146">
        <v>-13384</v>
      </c>
      <c r="T15" s="146">
        <v>-19818</v>
      </c>
      <c r="U15" s="146">
        <v>-12160</v>
      </c>
      <c r="V15" s="146">
        <v>-27445</v>
      </c>
      <c r="W15" s="146">
        <v>17900</v>
      </c>
      <c r="X15" s="146">
        <v>17130</v>
      </c>
      <c r="Y15" s="173"/>
      <c r="Z15" s="170">
        <f t="shared" si="2"/>
        <v>-13503</v>
      </c>
      <c r="AA15" s="148">
        <f t="shared" si="3"/>
        <v>-0.13503000000000001</v>
      </c>
    </row>
    <row r="16" spans="1:38" x14ac:dyDescent="0.25">
      <c r="A16" s="141" t="s">
        <v>24</v>
      </c>
      <c r="B16" s="140" t="s">
        <v>73</v>
      </c>
      <c r="C16" s="140" t="s">
        <v>58</v>
      </c>
      <c r="D16" s="141" t="s">
        <v>20</v>
      </c>
      <c r="E16" s="141" t="s">
        <v>256</v>
      </c>
      <c r="F16" s="155">
        <v>2.5</v>
      </c>
      <c r="G16" s="189"/>
      <c r="H16" s="146">
        <v>0</v>
      </c>
      <c r="I16" s="146">
        <v>-38551</v>
      </c>
      <c r="J16" s="146">
        <v>0</v>
      </c>
      <c r="K16" s="146">
        <v>0</v>
      </c>
      <c r="L16" s="146">
        <v>0</v>
      </c>
      <c r="M16" s="146">
        <v>-43080</v>
      </c>
      <c r="N16" s="146">
        <v>49165</v>
      </c>
      <c r="O16" s="146">
        <v>42400</v>
      </c>
      <c r="P16" s="146">
        <v>-41370</v>
      </c>
      <c r="Q16" s="146">
        <v>45200</v>
      </c>
      <c r="R16" s="146">
        <v>62711</v>
      </c>
      <c r="S16" s="146">
        <v>230600</v>
      </c>
      <c r="T16" s="146">
        <v>289570</v>
      </c>
      <c r="U16" s="146">
        <v>-248047</v>
      </c>
      <c r="V16" s="146">
        <v>50000</v>
      </c>
      <c r="W16" s="146">
        <v>30270</v>
      </c>
      <c r="X16" s="146">
        <v>157200</v>
      </c>
      <c r="Y16" s="173"/>
      <c r="Z16" s="170">
        <f t="shared" si="2"/>
        <v>586068</v>
      </c>
      <c r="AA16" s="148">
        <f t="shared" si="3"/>
        <v>2.3442720000000001</v>
      </c>
      <c r="AI16" s="132">
        <v>4000000</v>
      </c>
      <c r="AJ16" s="132">
        <f>AI16*7/100</f>
        <v>280000</v>
      </c>
      <c r="AL16" s="132">
        <f>15*12</f>
        <v>180</v>
      </c>
    </row>
    <row r="17" spans="1:36" x14ac:dyDescent="0.25">
      <c r="A17" s="141" t="s">
        <v>23</v>
      </c>
      <c r="B17" s="140" t="s">
        <v>74</v>
      </c>
      <c r="C17" s="140" t="s">
        <v>59</v>
      </c>
      <c r="D17" s="141" t="s">
        <v>3</v>
      </c>
      <c r="E17" s="141" t="s">
        <v>256</v>
      </c>
      <c r="F17" s="155">
        <v>4</v>
      </c>
      <c r="G17" s="189"/>
      <c r="H17" s="146">
        <v>0</v>
      </c>
      <c r="I17" s="146">
        <v>-34123</v>
      </c>
      <c r="J17" s="146">
        <v>0</v>
      </c>
      <c r="K17" s="146">
        <v>0</v>
      </c>
      <c r="L17" s="146">
        <v>0</v>
      </c>
      <c r="M17" s="146">
        <v>34600</v>
      </c>
      <c r="N17" s="146">
        <v>25724</v>
      </c>
      <c r="O17" s="146">
        <v>70400</v>
      </c>
      <c r="P17" s="146">
        <v>-85300</v>
      </c>
      <c r="Q17" s="146">
        <v>38300</v>
      </c>
      <c r="R17" s="146">
        <v>33838</v>
      </c>
      <c r="S17" s="146">
        <v>157000</v>
      </c>
      <c r="T17" s="146">
        <v>259384</v>
      </c>
      <c r="U17" s="146">
        <v>-340399</v>
      </c>
      <c r="V17" s="146">
        <v>410000</v>
      </c>
      <c r="W17" s="146">
        <v>168000</v>
      </c>
      <c r="X17" s="146">
        <v>-171000</v>
      </c>
      <c r="Y17" s="173"/>
      <c r="Z17" s="170">
        <f t="shared" si="2"/>
        <v>566424</v>
      </c>
      <c r="AA17" s="148">
        <f t="shared" si="3"/>
        <v>1.4160600000000001</v>
      </c>
      <c r="AJ17" s="132">
        <f>AJ16/12</f>
        <v>23333.333333333332</v>
      </c>
    </row>
    <row r="18" spans="1:36" x14ac:dyDescent="0.25">
      <c r="A18" s="141" t="s">
        <v>165</v>
      </c>
      <c r="B18" s="140" t="s">
        <v>164</v>
      </c>
      <c r="C18" s="140" t="s">
        <v>223</v>
      </c>
      <c r="D18" s="141" t="s">
        <v>261</v>
      </c>
      <c r="E18" s="141" t="s">
        <v>256</v>
      </c>
      <c r="F18" s="155">
        <v>1.5</v>
      </c>
      <c r="G18" s="189"/>
      <c r="H18" s="146">
        <v>81300</v>
      </c>
      <c r="I18" s="146">
        <v>-101486</v>
      </c>
      <c r="J18" s="146">
        <v>65000</v>
      </c>
      <c r="K18" s="146">
        <v>-95099</v>
      </c>
      <c r="L18" s="146">
        <v>141000</v>
      </c>
      <c r="M18" s="146">
        <v>136800</v>
      </c>
      <c r="N18" s="146">
        <v>86900</v>
      </c>
      <c r="O18" s="146">
        <v>29900</v>
      </c>
      <c r="P18" s="146">
        <v>-50000</v>
      </c>
      <c r="Q18" s="146">
        <v>156158</v>
      </c>
      <c r="R18" s="146">
        <v>31800</v>
      </c>
      <c r="S18" s="146">
        <v>17210</v>
      </c>
      <c r="T18" s="146">
        <v>109500</v>
      </c>
      <c r="U18" s="146">
        <v>-42447</v>
      </c>
      <c r="V18" s="146">
        <v>113500</v>
      </c>
      <c r="W18" s="146">
        <v>39300</v>
      </c>
      <c r="X18" s="146">
        <v>32700</v>
      </c>
      <c r="Y18" s="173"/>
      <c r="Z18" s="170">
        <f t="shared" si="2"/>
        <v>752036</v>
      </c>
      <c r="AA18" s="148">
        <f t="shared" si="3"/>
        <v>5.0135733333333325</v>
      </c>
    </row>
    <row r="19" spans="1:36" x14ac:dyDescent="0.25">
      <c r="A19" s="141" t="s">
        <v>110</v>
      </c>
      <c r="B19" s="140" t="s">
        <v>111</v>
      </c>
      <c r="C19" s="140" t="s">
        <v>109</v>
      </c>
      <c r="D19" s="141" t="s">
        <v>152</v>
      </c>
      <c r="E19" s="141" t="s">
        <v>256</v>
      </c>
      <c r="F19" s="155">
        <v>1.1000000000000001</v>
      </c>
      <c r="G19" s="189"/>
      <c r="H19" s="146">
        <v>-67291</v>
      </c>
      <c r="I19" s="146">
        <v>-83397</v>
      </c>
      <c r="J19" s="146">
        <v>0</v>
      </c>
      <c r="K19" s="146">
        <v>0</v>
      </c>
      <c r="L19" s="146">
        <v>0</v>
      </c>
      <c r="M19" s="146">
        <v>0</v>
      </c>
      <c r="N19" s="146">
        <v>0</v>
      </c>
      <c r="O19" s="146">
        <v>0</v>
      </c>
      <c r="P19" s="146">
        <v>0</v>
      </c>
      <c r="Q19" s="146">
        <v>0</v>
      </c>
      <c r="R19" s="146">
        <v>0</v>
      </c>
      <c r="S19" s="146">
        <v>0</v>
      </c>
      <c r="T19" s="146">
        <v>0</v>
      </c>
      <c r="U19" s="146">
        <v>0</v>
      </c>
      <c r="V19" s="146">
        <v>0</v>
      </c>
      <c r="W19" s="146">
        <v>0</v>
      </c>
      <c r="X19" s="146">
        <v>0</v>
      </c>
      <c r="Y19" s="173"/>
      <c r="Z19" s="170">
        <f t="shared" si="2"/>
        <v>-150688</v>
      </c>
      <c r="AA19" s="148">
        <f t="shared" si="3"/>
        <v>-1.3698909090909093</v>
      </c>
      <c r="AE19" s="132">
        <v>54000</v>
      </c>
    </row>
    <row r="20" spans="1:36" x14ac:dyDescent="0.25">
      <c r="A20" s="141" t="s">
        <v>319</v>
      </c>
      <c r="B20" s="140" t="s">
        <v>318</v>
      </c>
      <c r="C20" s="140" t="s">
        <v>283</v>
      </c>
      <c r="D20" s="141" t="s">
        <v>152</v>
      </c>
      <c r="E20" s="141" t="s">
        <v>256</v>
      </c>
      <c r="F20" s="155">
        <v>0.25</v>
      </c>
      <c r="G20" s="189"/>
      <c r="H20" s="146">
        <v>-26528</v>
      </c>
      <c r="I20" s="146">
        <v>-45096</v>
      </c>
      <c r="J20" s="146">
        <v>-3830</v>
      </c>
      <c r="K20" s="146">
        <v>7212</v>
      </c>
      <c r="L20" s="146">
        <v>-17400</v>
      </c>
      <c r="M20" s="146">
        <v>-10893</v>
      </c>
      <c r="N20" s="146">
        <v>-5900</v>
      </c>
      <c r="O20" s="146">
        <v>-5537</v>
      </c>
      <c r="P20" s="146">
        <v>0</v>
      </c>
      <c r="Q20" s="146">
        <v>0</v>
      </c>
      <c r="R20" s="146">
        <v>0</v>
      </c>
      <c r="S20" s="146">
        <v>0</v>
      </c>
      <c r="T20" s="146">
        <v>0</v>
      </c>
      <c r="U20" s="146">
        <v>-3000</v>
      </c>
      <c r="V20" s="146">
        <v>0</v>
      </c>
      <c r="W20" s="146">
        <v>0</v>
      </c>
      <c r="X20" s="146">
        <v>140</v>
      </c>
      <c r="Y20" s="173"/>
      <c r="Z20" s="170">
        <f t="shared" si="2"/>
        <v>-110832</v>
      </c>
      <c r="AA20" s="148">
        <f t="shared" si="3"/>
        <v>-4.4332799999999999</v>
      </c>
      <c r="AE20" s="132">
        <v>11100</v>
      </c>
    </row>
    <row r="21" spans="1:36" x14ac:dyDescent="0.25">
      <c r="A21" s="141" t="s">
        <v>316</v>
      </c>
      <c r="B21" s="140" t="s">
        <v>282</v>
      </c>
      <c r="C21" s="140" t="s">
        <v>38</v>
      </c>
      <c r="D21" s="141" t="s">
        <v>152</v>
      </c>
      <c r="E21" s="141" t="s">
        <v>256</v>
      </c>
      <c r="F21" s="155">
        <v>2</v>
      </c>
      <c r="G21" s="189"/>
      <c r="H21" s="146">
        <v>0</v>
      </c>
      <c r="I21" s="146">
        <v>0</v>
      </c>
      <c r="J21" s="146">
        <v>0</v>
      </c>
      <c r="K21" s="146">
        <v>0</v>
      </c>
      <c r="L21" s="146">
        <v>0</v>
      </c>
      <c r="M21" s="146">
        <v>0</v>
      </c>
      <c r="N21" s="146">
        <v>0</v>
      </c>
      <c r="O21" s="146">
        <v>0</v>
      </c>
      <c r="P21" s="146">
        <v>0</v>
      </c>
      <c r="Q21" s="146">
        <v>0</v>
      </c>
      <c r="R21" s="146">
        <v>0</v>
      </c>
      <c r="S21" s="146">
        <v>0</v>
      </c>
      <c r="T21" s="146">
        <v>0</v>
      </c>
      <c r="U21" s="146">
        <v>0</v>
      </c>
      <c r="V21" s="146">
        <v>0</v>
      </c>
      <c r="W21" s="146">
        <v>0</v>
      </c>
      <c r="X21" s="146"/>
      <c r="Y21" s="173"/>
      <c r="Z21" s="170">
        <f t="shared" si="2"/>
        <v>0</v>
      </c>
      <c r="AA21" s="148">
        <f t="shared" si="3"/>
        <v>0</v>
      </c>
      <c r="AE21" s="132">
        <v>0</v>
      </c>
    </row>
    <row r="22" spans="1:36" x14ac:dyDescent="0.25">
      <c r="A22" s="141" t="s">
        <v>317</v>
      </c>
      <c r="B22" s="140" t="s">
        <v>282</v>
      </c>
      <c r="C22" s="140" t="s">
        <v>17</v>
      </c>
      <c r="D22" s="141" t="s">
        <v>152</v>
      </c>
      <c r="E22" s="141" t="s">
        <v>256</v>
      </c>
      <c r="F22" s="155">
        <v>0.25</v>
      </c>
      <c r="G22" s="189"/>
      <c r="H22" s="146">
        <v>0</v>
      </c>
      <c r="I22" s="146">
        <v>0</v>
      </c>
      <c r="J22" s="146">
        <v>0</v>
      </c>
      <c r="K22" s="146">
        <v>0</v>
      </c>
      <c r="L22" s="146">
        <v>0</v>
      </c>
      <c r="M22" s="146">
        <v>0</v>
      </c>
      <c r="N22" s="146">
        <v>0</v>
      </c>
      <c r="O22" s="146">
        <v>0</v>
      </c>
      <c r="P22" s="146">
        <v>0</v>
      </c>
      <c r="Q22" s="146">
        <v>0</v>
      </c>
      <c r="R22" s="146">
        <v>0</v>
      </c>
      <c r="S22" s="146">
        <v>0</v>
      </c>
      <c r="T22" s="146">
        <v>0</v>
      </c>
      <c r="U22" s="146">
        <v>0</v>
      </c>
      <c r="V22" s="146">
        <v>0</v>
      </c>
      <c r="W22" s="146">
        <v>0</v>
      </c>
      <c r="X22" s="146">
        <v>0</v>
      </c>
      <c r="Y22" s="173"/>
      <c r="Z22" s="170">
        <f t="shared" si="2"/>
        <v>0</v>
      </c>
      <c r="AA22" s="148">
        <f t="shared" si="3"/>
        <v>0</v>
      </c>
      <c r="AE22" s="132">
        <f>SUM(AE19:AE21)</f>
        <v>65100</v>
      </c>
    </row>
    <row r="23" spans="1:36" x14ac:dyDescent="0.25">
      <c r="A23" s="141" t="s">
        <v>32</v>
      </c>
      <c r="B23" s="140" t="s">
        <v>63</v>
      </c>
      <c r="C23" s="141" t="s">
        <v>21</v>
      </c>
      <c r="D23" s="141" t="s">
        <v>40</v>
      </c>
      <c r="E23" s="141" t="s">
        <v>256</v>
      </c>
      <c r="F23" s="155">
        <v>1.1000000000000001</v>
      </c>
      <c r="G23" s="190"/>
      <c r="H23" s="146">
        <v>-20520</v>
      </c>
      <c r="I23" s="146">
        <v>-29845</v>
      </c>
      <c r="J23" s="146">
        <v>39988</v>
      </c>
      <c r="K23" s="146">
        <v>38700</v>
      </c>
      <c r="L23" s="146">
        <v>-1623</v>
      </c>
      <c r="M23" s="146">
        <v>561</v>
      </c>
      <c r="N23" s="146">
        <v>-32723</v>
      </c>
      <c r="O23" s="146">
        <v>-7059</v>
      </c>
      <c r="P23" s="146">
        <v>28800</v>
      </c>
      <c r="Q23" s="146">
        <v>-13000</v>
      </c>
      <c r="R23" s="146">
        <v>12772</v>
      </c>
      <c r="S23" s="146">
        <v>-40307</v>
      </c>
      <c r="T23" s="146">
        <v>-21044</v>
      </c>
      <c r="U23" s="146">
        <v>-30404</v>
      </c>
      <c r="V23" s="146">
        <v>-200</v>
      </c>
      <c r="W23" s="146">
        <v>54387</v>
      </c>
      <c r="X23" s="146">
        <v>-5748</v>
      </c>
      <c r="Y23" s="173"/>
      <c r="Z23" s="170">
        <f t="shared" si="2"/>
        <v>-27265</v>
      </c>
      <c r="AA23" s="148">
        <f t="shared" si="3"/>
        <v>-0.24786363636363637</v>
      </c>
    </row>
    <row r="24" spans="1:36" x14ac:dyDescent="0.25">
      <c r="A24" s="141" t="s">
        <v>97</v>
      </c>
      <c r="B24" s="140" t="s">
        <v>68</v>
      </c>
      <c r="C24" s="140" t="s">
        <v>206</v>
      </c>
      <c r="D24" s="141" t="s">
        <v>107</v>
      </c>
      <c r="E24" s="141" t="s">
        <v>107</v>
      </c>
      <c r="F24" s="155">
        <v>2.2999999999999998</v>
      </c>
      <c r="G24" s="190"/>
      <c r="H24" s="146">
        <v>-164650</v>
      </c>
      <c r="I24" s="146">
        <v>85700</v>
      </c>
      <c r="J24" s="146">
        <v>145750</v>
      </c>
      <c r="K24" s="146">
        <v>-128600</v>
      </c>
      <c r="L24" s="146">
        <v>-381800</v>
      </c>
      <c r="M24" s="146">
        <v>239700</v>
      </c>
      <c r="N24" s="146">
        <v>-28900</v>
      </c>
      <c r="O24" s="146">
        <v>226700</v>
      </c>
      <c r="P24" s="146">
        <v>14473</v>
      </c>
      <c r="Q24" s="146">
        <v>-30980</v>
      </c>
      <c r="R24" s="146">
        <v>18400</v>
      </c>
      <c r="S24" s="146">
        <v>-154667</v>
      </c>
      <c r="T24" s="146">
        <v>-213001</v>
      </c>
      <c r="U24" s="146">
        <v>-102504</v>
      </c>
      <c r="V24" s="146">
        <v>-303200</v>
      </c>
      <c r="W24" s="146">
        <v>77900</v>
      </c>
      <c r="X24" s="146">
        <v>133200</v>
      </c>
      <c r="Y24" s="173"/>
      <c r="Z24" s="170">
        <f t="shared" si="2"/>
        <v>-566479</v>
      </c>
      <c r="AA24" s="148">
        <f t="shared" si="3"/>
        <v>-2.4629521739130436</v>
      </c>
    </row>
    <row r="25" spans="1:36" x14ac:dyDescent="0.25">
      <c r="A25" s="141" t="s">
        <v>335</v>
      </c>
      <c r="B25" s="140" t="s">
        <v>68</v>
      </c>
      <c r="C25" s="140" t="s">
        <v>342</v>
      </c>
      <c r="D25" s="141" t="s">
        <v>334</v>
      </c>
      <c r="E25" s="141"/>
      <c r="F25" s="155">
        <v>0.2</v>
      </c>
      <c r="G25" s="190"/>
      <c r="H25" s="146"/>
      <c r="I25" s="146"/>
      <c r="J25" s="146"/>
      <c r="K25" s="146"/>
      <c r="L25" s="146"/>
      <c r="M25" s="146"/>
      <c r="N25" s="146">
        <v>-300</v>
      </c>
      <c r="O25" s="146">
        <v>58100</v>
      </c>
      <c r="P25" s="146">
        <v>10600</v>
      </c>
      <c r="Q25" s="146">
        <v>-13826</v>
      </c>
      <c r="R25" s="146">
        <v>-10395</v>
      </c>
      <c r="S25" s="146">
        <v>-4185</v>
      </c>
      <c r="T25" s="146">
        <v>15180</v>
      </c>
      <c r="U25" s="146">
        <v>-12503</v>
      </c>
      <c r="V25" s="146">
        <v>-13000</v>
      </c>
      <c r="W25" s="146">
        <v>71400</v>
      </c>
      <c r="X25" s="146">
        <v>87920</v>
      </c>
      <c r="Y25" s="173"/>
      <c r="Z25" s="170">
        <f t="shared" si="2"/>
        <v>188991</v>
      </c>
      <c r="AA25" s="148">
        <f t="shared" si="3"/>
        <v>9.4495500000000003</v>
      </c>
    </row>
    <row r="26" spans="1:36" x14ac:dyDescent="0.25">
      <c r="A26" s="141" t="s">
        <v>302</v>
      </c>
      <c r="B26" s="140" t="s">
        <v>297</v>
      </c>
      <c r="C26" s="140" t="s">
        <v>298</v>
      </c>
      <c r="D26" s="141"/>
      <c r="E26" s="141" t="s">
        <v>256</v>
      </c>
      <c r="F26" s="155">
        <v>0.5</v>
      </c>
      <c r="G26" s="190"/>
      <c r="H26" s="146">
        <v>12250</v>
      </c>
      <c r="I26" s="146">
        <v>3476</v>
      </c>
      <c r="J26" s="146">
        <v>-13000</v>
      </c>
      <c r="K26" s="146">
        <v>-2835</v>
      </c>
      <c r="L26" s="146">
        <v>10900</v>
      </c>
      <c r="M26" s="146">
        <v>-200</v>
      </c>
      <c r="N26" s="146">
        <v>6366</v>
      </c>
      <c r="O26" s="146">
        <v>4942</v>
      </c>
      <c r="P26" s="146">
        <v>-7150</v>
      </c>
      <c r="Q26" s="146">
        <v>1600</v>
      </c>
      <c r="R26" s="146">
        <v>-19506</v>
      </c>
      <c r="S26" s="146">
        <v>-11119</v>
      </c>
      <c r="T26" s="146">
        <v>462</v>
      </c>
      <c r="U26" s="146">
        <v>-9552</v>
      </c>
      <c r="V26" s="146">
        <v>-4293</v>
      </c>
      <c r="W26" s="146">
        <v>-18145</v>
      </c>
      <c r="X26" s="146">
        <v>14000</v>
      </c>
      <c r="Y26" s="173"/>
      <c r="Z26" s="170">
        <f t="shared" si="2"/>
        <v>-31804</v>
      </c>
      <c r="AA26" s="148">
        <f t="shared" si="3"/>
        <v>-0.63607999999999998</v>
      </c>
    </row>
    <row r="27" spans="1:36" x14ac:dyDescent="0.25">
      <c r="A27" s="141" t="s">
        <v>29</v>
      </c>
      <c r="B27" s="140" t="s">
        <v>22</v>
      </c>
      <c r="C27" s="140" t="s">
        <v>151</v>
      </c>
      <c r="D27" s="141" t="s">
        <v>5</v>
      </c>
      <c r="E27" s="141" t="s">
        <v>256</v>
      </c>
      <c r="F27" s="155">
        <v>5</v>
      </c>
      <c r="G27" s="190"/>
      <c r="H27" s="146">
        <v>0</v>
      </c>
      <c r="I27" s="146">
        <v>-116700</v>
      </c>
      <c r="J27" s="146">
        <v>1100</v>
      </c>
      <c r="K27" s="146">
        <v>0</v>
      </c>
      <c r="L27" s="146">
        <v>0</v>
      </c>
      <c r="M27" s="146">
        <v>-25000</v>
      </c>
      <c r="N27" s="146">
        <v>65100</v>
      </c>
      <c r="O27" s="146">
        <v>45700</v>
      </c>
      <c r="P27" s="146">
        <v>-133000</v>
      </c>
      <c r="Q27" s="146">
        <v>130000</v>
      </c>
      <c r="R27" s="146">
        <v>140100</v>
      </c>
      <c r="S27" s="146">
        <v>103000</v>
      </c>
      <c r="T27" s="146">
        <v>926000</v>
      </c>
      <c r="U27" s="146">
        <v>66500</v>
      </c>
      <c r="V27" s="146">
        <v>691000</v>
      </c>
      <c r="W27" s="146">
        <v>397000</v>
      </c>
      <c r="X27" s="146">
        <v>-482000</v>
      </c>
      <c r="Y27" s="173"/>
      <c r="Z27" s="170">
        <f t="shared" si="2"/>
        <v>1808800</v>
      </c>
      <c r="AA27" s="148">
        <f t="shared" si="3"/>
        <v>3.6175999999999999</v>
      </c>
    </row>
    <row r="28" spans="1:36" x14ac:dyDescent="0.25">
      <c r="A28" s="141" t="s">
        <v>28</v>
      </c>
      <c r="B28" s="140" t="s">
        <v>155</v>
      </c>
      <c r="C28" s="140" t="s">
        <v>121</v>
      </c>
      <c r="D28" s="141" t="s">
        <v>91</v>
      </c>
      <c r="E28" s="141" t="s">
        <v>256</v>
      </c>
      <c r="F28" s="155">
        <v>10</v>
      </c>
      <c r="G28" s="190"/>
      <c r="H28" s="146">
        <v>98800</v>
      </c>
      <c r="I28" s="146">
        <v>0</v>
      </c>
      <c r="J28" s="146">
        <v>11535</v>
      </c>
      <c r="K28" s="146">
        <v>302380</v>
      </c>
      <c r="L28" s="146">
        <v>55800</v>
      </c>
      <c r="M28" s="146">
        <v>16200</v>
      </c>
      <c r="N28" s="146">
        <v>-40416</v>
      </c>
      <c r="O28" s="146">
        <v>137300</v>
      </c>
      <c r="P28" s="146">
        <v>583300</v>
      </c>
      <c r="Q28" s="146">
        <v>11260</v>
      </c>
      <c r="R28" s="146">
        <v>40700</v>
      </c>
      <c r="S28" s="146">
        <v>-648400</v>
      </c>
      <c r="T28" s="146">
        <v>-178800</v>
      </c>
      <c r="U28" s="146">
        <v>-1068</v>
      </c>
      <c r="V28" s="146">
        <v>0</v>
      </c>
      <c r="W28" s="146">
        <v>-162700</v>
      </c>
      <c r="X28" s="146">
        <v>0</v>
      </c>
      <c r="Y28" s="173"/>
      <c r="Z28" s="170">
        <f t="shared" si="2"/>
        <v>225891</v>
      </c>
      <c r="AA28" s="148">
        <f t="shared" si="3"/>
        <v>0.22589100000000001</v>
      </c>
    </row>
    <row r="29" spans="1:36" x14ac:dyDescent="0.25">
      <c r="A29" s="141" t="s">
        <v>332</v>
      </c>
      <c r="B29" s="140" t="s">
        <v>333</v>
      </c>
      <c r="C29" s="140" t="s">
        <v>231</v>
      </c>
      <c r="D29" s="141"/>
      <c r="E29" s="141" t="s">
        <v>256</v>
      </c>
      <c r="F29" s="155">
        <v>0.5</v>
      </c>
      <c r="G29" s="190"/>
      <c r="H29" s="146"/>
      <c r="I29" s="146">
        <v>3624</v>
      </c>
      <c r="J29" s="146">
        <v>14752</v>
      </c>
      <c r="K29" s="146">
        <v>-6445</v>
      </c>
      <c r="L29" s="146">
        <v>7920</v>
      </c>
      <c r="M29" s="146">
        <v>6919</v>
      </c>
      <c r="N29" s="146">
        <v>20700</v>
      </c>
      <c r="O29" s="146">
        <v>-10961</v>
      </c>
      <c r="P29" s="146">
        <v>-11200</v>
      </c>
      <c r="Q29" s="146">
        <v>18300</v>
      </c>
      <c r="R29" s="146">
        <v>30700</v>
      </c>
      <c r="S29" s="146">
        <v>-27300</v>
      </c>
      <c r="T29" s="146">
        <v>37000</v>
      </c>
      <c r="U29" s="146">
        <v>-45489</v>
      </c>
      <c r="V29" s="146">
        <v>-13700</v>
      </c>
      <c r="W29" s="146">
        <v>-28900</v>
      </c>
      <c r="X29" s="146">
        <v>32266</v>
      </c>
      <c r="Y29" s="173"/>
      <c r="Z29" s="170">
        <f t="shared" si="2"/>
        <v>28186</v>
      </c>
      <c r="AA29" s="148">
        <f t="shared" si="3"/>
        <v>0.56372</v>
      </c>
    </row>
    <row r="30" spans="1:36" x14ac:dyDescent="0.25">
      <c r="A30" s="141" t="s">
        <v>65</v>
      </c>
      <c r="B30" s="140" t="s">
        <v>64</v>
      </c>
      <c r="C30" s="140" t="s">
        <v>7</v>
      </c>
      <c r="D30" s="141" t="s">
        <v>152</v>
      </c>
      <c r="E30" s="141" t="s">
        <v>256</v>
      </c>
      <c r="F30" s="155">
        <v>5</v>
      </c>
      <c r="G30" s="189"/>
      <c r="H30" s="146">
        <v>90508</v>
      </c>
      <c r="I30" s="146">
        <v>0</v>
      </c>
      <c r="J30" s="146">
        <v>310622</v>
      </c>
      <c r="K30" s="146">
        <v>0</v>
      </c>
      <c r="L30" s="146">
        <v>155700</v>
      </c>
      <c r="M30" s="146">
        <v>0</v>
      </c>
      <c r="N30" s="146">
        <v>0</v>
      </c>
      <c r="O30" s="146">
        <v>226901</v>
      </c>
      <c r="P30" s="146">
        <v>0</v>
      </c>
      <c r="Q30" s="146">
        <v>-161746</v>
      </c>
      <c r="R30" s="146">
        <v>0</v>
      </c>
      <c r="S30" s="146">
        <v>219189</v>
      </c>
      <c r="T30" s="146">
        <v>0</v>
      </c>
      <c r="U30" s="146">
        <v>0</v>
      </c>
      <c r="V30" s="146">
        <v>0</v>
      </c>
      <c r="W30" s="146">
        <v>0</v>
      </c>
      <c r="X30" s="146">
        <v>0</v>
      </c>
      <c r="Y30" s="173"/>
      <c r="Z30" s="170">
        <f t="shared" si="2"/>
        <v>841174</v>
      </c>
      <c r="AA30" s="148">
        <f t="shared" si="3"/>
        <v>1.682348</v>
      </c>
    </row>
    <row r="31" spans="1:36" x14ac:dyDescent="0.25">
      <c r="A31" s="140" t="s">
        <v>34</v>
      </c>
      <c r="B31" s="142" t="s">
        <v>18</v>
      </c>
      <c r="C31" s="140" t="s">
        <v>10</v>
      </c>
      <c r="D31" s="141" t="s">
        <v>152</v>
      </c>
      <c r="E31" s="141" t="s">
        <v>256</v>
      </c>
      <c r="F31" s="118">
        <v>5</v>
      </c>
      <c r="G31" s="196"/>
      <c r="H31" s="146">
        <v>115180</v>
      </c>
      <c r="I31" s="146">
        <v>-225930</v>
      </c>
      <c r="J31" s="146">
        <v>0</v>
      </c>
      <c r="K31" s="146">
        <v>2600</v>
      </c>
      <c r="L31" s="146">
        <v>44000</v>
      </c>
      <c r="M31" s="146">
        <v>39485</v>
      </c>
      <c r="N31" s="146">
        <v>19560</v>
      </c>
      <c r="O31" s="146">
        <v>38370</v>
      </c>
      <c r="P31" s="146">
        <v>10450</v>
      </c>
      <c r="Q31" s="146">
        <v>59316</v>
      </c>
      <c r="R31" s="146">
        <v>37102</v>
      </c>
      <c r="S31" s="146">
        <v>0</v>
      </c>
      <c r="T31" s="146">
        <v>0</v>
      </c>
      <c r="U31" s="146">
        <v>0</v>
      </c>
      <c r="V31" s="146">
        <v>0</v>
      </c>
      <c r="W31" s="146">
        <v>0</v>
      </c>
      <c r="X31" s="146">
        <v>0</v>
      </c>
      <c r="Y31" s="173"/>
      <c r="Z31" s="170">
        <f t="shared" si="2"/>
        <v>140133</v>
      </c>
      <c r="AA31" s="148">
        <f t="shared" si="3"/>
        <v>0.28026600000000002</v>
      </c>
    </row>
    <row r="32" spans="1:36" x14ac:dyDescent="0.25">
      <c r="A32" s="140" t="s">
        <v>131</v>
      </c>
      <c r="B32" s="142" t="s">
        <v>130</v>
      </c>
      <c r="C32" s="140" t="s">
        <v>16</v>
      </c>
      <c r="D32" s="141" t="s">
        <v>262</v>
      </c>
      <c r="E32" s="141" t="s">
        <v>256</v>
      </c>
      <c r="F32" s="118">
        <v>0.5</v>
      </c>
      <c r="G32" s="196"/>
      <c r="H32" s="146">
        <v>-51008</v>
      </c>
      <c r="I32" s="146">
        <v>13880</v>
      </c>
      <c r="J32" s="146">
        <v>48621</v>
      </c>
      <c r="K32" s="146">
        <v>-7694</v>
      </c>
      <c r="L32" s="146">
        <v>34100</v>
      </c>
      <c r="M32" s="146">
        <v>19000</v>
      </c>
      <c r="N32" s="146">
        <v>20700</v>
      </c>
      <c r="O32" s="146">
        <v>12614</v>
      </c>
      <c r="P32" s="146">
        <v>7400</v>
      </c>
      <c r="Q32" s="146">
        <v>19095</v>
      </c>
      <c r="R32" s="146">
        <v>22950</v>
      </c>
      <c r="S32" s="146">
        <v>-78603</v>
      </c>
      <c r="T32" s="146">
        <v>99571</v>
      </c>
      <c r="U32" s="146">
        <v>-52226</v>
      </c>
      <c r="V32" s="146">
        <v>-43208</v>
      </c>
      <c r="W32" s="146">
        <v>4974</v>
      </c>
      <c r="X32" s="146">
        <v>-27000</v>
      </c>
      <c r="Y32" s="173"/>
      <c r="Z32" s="170">
        <f t="shared" si="2"/>
        <v>43166</v>
      </c>
      <c r="AA32" s="148">
        <f t="shared" si="3"/>
        <v>0.86331999999999998</v>
      </c>
    </row>
    <row r="33" spans="1:30" x14ac:dyDescent="0.25">
      <c r="A33" s="43" t="s">
        <v>67</v>
      </c>
      <c r="B33" s="140" t="s">
        <v>154</v>
      </c>
      <c r="C33" s="140" t="s">
        <v>60</v>
      </c>
      <c r="D33" s="141" t="s">
        <v>4</v>
      </c>
      <c r="E33" s="141" t="s">
        <v>256</v>
      </c>
      <c r="F33" s="155">
        <v>0.4</v>
      </c>
      <c r="G33" s="190"/>
      <c r="H33" s="146">
        <v>9270</v>
      </c>
      <c r="I33" s="146">
        <v>28255</v>
      </c>
      <c r="J33" s="146">
        <v>42650</v>
      </c>
      <c r="K33" s="146">
        <v>1293</v>
      </c>
      <c r="L33" s="146">
        <v>33700</v>
      </c>
      <c r="M33" s="146">
        <v>17495</v>
      </c>
      <c r="N33" s="146">
        <v>35813</v>
      </c>
      <c r="O33" s="146">
        <v>26000</v>
      </c>
      <c r="P33" s="146">
        <v>-45331</v>
      </c>
      <c r="Q33" s="146">
        <v>21700</v>
      </c>
      <c r="R33" s="146">
        <v>30400</v>
      </c>
      <c r="S33" s="146">
        <v>39761</v>
      </c>
      <c r="T33" s="146">
        <v>34200</v>
      </c>
      <c r="U33" s="146">
        <v>-6364</v>
      </c>
      <c r="V33" s="146">
        <v>33000</v>
      </c>
      <c r="W33" s="146">
        <v>38495</v>
      </c>
      <c r="X33" s="146">
        <v>3700</v>
      </c>
      <c r="Y33" s="173"/>
      <c r="Z33" s="170">
        <f t="shared" si="2"/>
        <v>344037</v>
      </c>
      <c r="AA33" s="148">
        <f t="shared" si="3"/>
        <v>8.6009250000000002</v>
      </c>
      <c r="AD33" s="133"/>
    </row>
    <row r="34" spans="1:30" x14ac:dyDescent="0.25">
      <c r="A34" s="141" t="s">
        <v>31</v>
      </c>
      <c r="B34" s="142" t="s">
        <v>153</v>
      </c>
      <c r="C34" s="141" t="s">
        <v>222</v>
      </c>
      <c r="D34" s="141" t="s">
        <v>263</v>
      </c>
      <c r="E34" s="141" t="s">
        <v>256</v>
      </c>
      <c r="F34" s="155">
        <v>4</v>
      </c>
      <c r="G34" s="190"/>
      <c r="H34" s="146">
        <v>-91628</v>
      </c>
      <c r="I34" s="146">
        <v>-39194</v>
      </c>
      <c r="J34" s="146">
        <v>81490</v>
      </c>
      <c r="K34" s="146">
        <v>-98197</v>
      </c>
      <c r="L34" s="146">
        <v>149600</v>
      </c>
      <c r="M34" s="146">
        <v>77460</v>
      </c>
      <c r="N34" s="146">
        <v>85200</v>
      </c>
      <c r="O34" s="146">
        <v>-20461</v>
      </c>
      <c r="P34" s="146">
        <v>-170280</v>
      </c>
      <c r="Q34" s="146">
        <v>243315</v>
      </c>
      <c r="R34" s="146">
        <v>-53800</v>
      </c>
      <c r="S34" s="146">
        <v>50100</v>
      </c>
      <c r="T34" s="146">
        <v>139300</v>
      </c>
      <c r="U34" s="146">
        <v>-42000</v>
      </c>
      <c r="V34" s="146">
        <v>44000</v>
      </c>
      <c r="W34" s="146">
        <v>16600</v>
      </c>
      <c r="X34" s="146">
        <v>-60500</v>
      </c>
      <c r="Y34" s="173"/>
      <c r="Z34" s="170">
        <f t="shared" si="2"/>
        <v>311005</v>
      </c>
      <c r="AA34" s="148">
        <f t="shared" si="3"/>
        <v>0.77751250000000005</v>
      </c>
      <c r="AC34" s="5"/>
      <c r="AD34" s="133">
        <v>46634</v>
      </c>
    </row>
    <row r="35" spans="1:30" x14ac:dyDescent="0.25">
      <c r="A35" s="141" t="s">
        <v>104</v>
      </c>
      <c r="B35" s="142" t="s">
        <v>105</v>
      </c>
      <c r="C35" s="141" t="s">
        <v>315</v>
      </c>
      <c r="D35" s="141" t="s">
        <v>106</v>
      </c>
      <c r="E35" s="141" t="s">
        <v>106</v>
      </c>
      <c r="F35" s="155">
        <v>1</v>
      </c>
      <c r="G35" s="190"/>
      <c r="H35" s="146">
        <v>-49178</v>
      </c>
      <c r="I35" s="146">
        <v>20700</v>
      </c>
      <c r="J35" s="146">
        <v>51300</v>
      </c>
      <c r="K35" s="146">
        <v>-13148</v>
      </c>
      <c r="L35" s="146">
        <v>-107400</v>
      </c>
      <c r="M35" s="146">
        <v>56914</v>
      </c>
      <c r="N35" s="146">
        <v>10400</v>
      </c>
      <c r="O35" s="146">
        <v>51221</v>
      </c>
      <c r="P35" s="146">
        <v>-5394</v>
      </c>
      <c r="Q35" s="146">
        <v>-35576</v>
      </c>
      <c r="R35" s="146">
        <v>26400</v>
      </c>
      <c r="S35" s="146">
        <v>-56804</v>
      </c>
      <c r="T35" s="146">
        <v>69566</v>
      </c>
      <c r="U35" s="146">
        <v>-45990</v>
      </c>
      <c r="V35" s="146">
        <v>-111976</v>
      </c>
      <c r="W35" s="146">
        <v>41600</v>
      </c>
      <c r="X35" s="146">
        <v>60600</v>
      </c>
      <c r="Y35" s="173"/>
      <c r="Z35" s="170">
        <f t="shared" si="2"/>
        <v>-36765</v>
      </c>
      <c r="AA35" s="148">
        <f t="shared" si="3"/>
        <v>-0.36764999999999998</v>
      </c>
      <c r="AC35" s="5"/>
      <c r="AD35" s="133"/>
    </row>
    <row r="36" spans="1:30" x14ac:dyDescent="0.25">
      <c r="A36" s="141" t="s">
        <v>314</v>
      </c>
      <c r="B36" s="142" t="s">
        <v>105</v>
      </c>
      <c r="C36" s="141" t="s">
        <v>15</v>
      </c>
      <c r="D36" s="141" t="s">
        <v>256</v>
      </c>
      <c r="E36" s="141" t="s">
        <v>256</v>
      </c>
      <c r="F36" s="155"/>
      <c r="G36" s="190"/>
      <c r="H36" s="146">
        <v>0</v>
      </c>
      <c r="I36" s="146">
        <v>0</v>
      </c>
      <c r="J36" s="146">
        <v>0</v>
      </c>
      <c r="K36" s="146">
        <v>0</v>
      </c>
      <c r="L36" s="146">
        <v>0</v>
      </c>
      <c r="M36" s="146">
        <v>0</v>
      </c>
      <c r="N36" s="146">
        <v>0</v>
      </c>
      <c r="O36" s="146">
        <v>0</v>
      </c>
      <c r="P36" s="146">
        <v>0</v>
      </c>
      <c r="Q36" s="146">
        <v>0</v>
      </c>
      <c r="R36" s="146">
        <v>0</v>
      </c>
      <c r="S36" s="146">
        <v>0</v>
      </c>
      <c r="T36" s="146">
        <v>0</v>
      </c>
      <c r="U36" s="146">
        <v>0</v>
      </c>
      <c r="V36" s="146">
        <v>0</v>
      </c>
      <c r="W36" s="146">
        <v>0</v>
      </c>
      <c r="X36" s="146">
        <v>0</v>
      </c>
      <c r="Y36" s="173"/>
      <c r="Z36" s="170">
        <f t="shared" si="2"/>
        <v>0</v>
      </c>
      <c r="AA36" s="148">
        <f t="shared" si="3"/>
        <v>0</v>
      </c>
      <c r="AC36" s="133">
        <v>233083</v>
      </c>
      <c r="AD36" s="133">
        <f>(AC37+AC36)/10000000*13780</f>
        <v>706.63839999999993</v>
      </c>
    </row>
    <row r="37" spans="1:30" x14ac:dyDescent="0.25">
      <c r="A37" s="141" t="s">
        <v>229</v>
      </c>
      <c r="B37" s="142" t="s">
        <v>105</v>
      </c>
      <c r="C37" s="141" t="s">
        <v>218</v>
      </c>
      <c r="D37" s="141" t="s">
        <v>264</v>
      </c>
      <c r="E37" s="141" t="s">
        <v>256</v>
      </c>
      <c r="F37" s="155">
        <v>0.5</v>
      </c>
      <c r="G37" s="190"/>
      <c r="H37" s="146">
        <v>3712</v>
      </c>
      <c r="I37" s="146">
        <v>-16258</v>
      </c>
      <c r="J37" s="146">
        <v>19175</v>
      </c>
      <c r="K37" s="146">
        <v>-15524</v>
      </c>
      <c r="L37" s="146">
        <v>23400</v>
      </c>
      <c r="M37" s="146">
        <v>0</v>
      </c>
      <c r="N37" s="146">
        <v>15668</v>
      </c>
      <c r="O37" s="146">
        <v>5849</v>
      </c>
      <c r="P37" s="146">
        <v>-37180</v>
      </c>
      <c r="Q37" s="146">
        <v>-26608</v>
      </c>
      <c r="R37" s="146">
        <v>192</v>
      </c>
      <c r="S37" s="146">
        <v>-5600</v>
      </c>
      <c r="T37" s="146">
        <v>12700</v>
      </c>
      <c r="U37" s="146">
        <v>-1126</v>
      </c>
      <c r="V37" s="146">
        <v>3835</v>
      </c>
      <c r="W37" s="146">
        <v>-6562</v>
      </c>
      <c r="X37" s="146">
        <v>-17725</v>
      </c>
      <c r="Y37" s="173"/>
      <c r="Z37" s="170">
        <f t="shared" si="2"/>
        <v>-42052</v>
      </c>
      <c r="AA37" s="148">
        <f t="shared" si="3"/>
        <v>-0.84104000000000001</v>
      </c>
      <c r="AC37" s="133">
        <v>279717</v>
      </c>
      <c r="AD37" s="133"/>
    </row>
    <row r="38" spans="1:30" ht="18" customHeight="1" x14ac:dyDescent="0.25">
      <c r="A38" s="141" t="s">
        <v>45</v>
      </c>
      <c r="B38" s="142" t="s">
        <v>98</v>
      </c>
      <c r="C38" s="141" t="s">
        <v>220</v>
      </c>
      <c r="D38" s="141" t="s">
        <v>266</v>
      </c>
      <c r="E38" s="141" t="s">
        <v>256</v>
      </c>
      <c r="F38" s="155">
        <v>3</v>
      </c>
      <c r="G38" s="190"/>
      <c r="H38" s="146">
        <v>158900</v>
      </c>
      <c r="I38" s="146">
        <v>-331500</v>
      </c>
      <c r="J38" s="146">
        <v>276700</v>
      </c>
      <c r="K38" s="146">
        <v>79524</v>
      </c>
      <c r="L38" s="146">
        <v>-8546</v>
      </c>
      <c r="M38" s="146">
        <v>-110144</v>
      </c>
      <c r="N38" s="146">
        <v>341200</v>
      </c>
      <c r="O38" s="146">
        <v>-109461</v>
      </c>
      <c r="P38" s="146">
        <v>59000</v>
      </c>
      <c r="Q38" s="146">
        <v>303000</v>
      </c>
      <c r="R38" s="146">
        <v>-11174</v>
      </c>
      <c r="S38" s="146">
        <v>223000</v>
      </c>
      <c r="T38" s="146">
        <v>496500</v>
      </c>
      <c r="U38" s="146">
        <v>-376400</v>
      </c>
      <c r="V38" s="146">
        <v>-42428</v>
      </c>
      <c r="W38" s="146">
        <v>-219600</v>
      </c>
      <c r="X38" s="146">
        <v>-306450</v>
      </c>
      <c r="Y38" s="173"/>
      <c r="Z38" s="170">
        <f t="shared" si="2"/>
        <v>422121</v>
      </c>
      <c r="AA38" s="148">
        <f t="shared" si="3"/>
        <v>1.40707</v>
      </c>
      <c r="AC38" s="133"/>
      <c r="AD38" s="133">
        <f>+AD34-AD36</f>
        <v>45927.361599999997</v>
      </c>
    </row>
    <row r="39" spans="1:30" ht="17.25" customHeight="1" x14ac:dyDescent="0.25">
      <c r="A39" s="141" t="s">
        <v>292</v>
      </c>
      <c r="B39" s="142" t="s">
        <v>291</v>
      </c>
      <c r="C39" s="141" t="s">
        <v>293</v>
      </c>
      <c r="D39" s="141"/>
      <c r="E39" s="141" t="s">
        <v>256</v>
      </c>
      <c r="F39" s="155">
        <v>0.1</v>
      </c>
      <c r="G39" s="190"/>
      <c r="H39" s="146">
        <v>18070</v>
      </c>
      <c r="I39" s="146">
        <v>15000</v>
      </c>
      <c r="J39" s="146">
        <v>-7417</v>
      </c>
      <c r="K39" s="146">
        <v>-19285</v>
      </c>
      <c r="L39" s="146">
        <v>59000</v>
      </c>
      <c r="M39" s="146">
        <v>19459</v>
      </c>
      <c r="N39" s="146">
        <v>-17325</v>
      </c>
      <c r="O39" s="146">
        <v>62950</v>
      </c>
      <c r="P39" s="146">
        <v>-33154</v>
      </c>
      <c r="Q39" s="146">
        <v>-64866</v>
      </c>
      <c r="R39" s="146">
        <v>-72104</v>
      </c>
      <c r="S39" s="146">
        <v>32900</v>
      </c>
      <c r="T39" s="146">
        <v>-13561</v>
      </c>
      <c r="U39" s="146">
        <v>-68770</v>
      </c>
      <c r="V39" s="146">
        <v>1089</v>
      </c>
      <c r="W39" s="146">
        <v>15022</v>
      </c>
      <c r="X39" s="146">
        <v>-118577</v>
      </c>
      <c r="Y39" s="173"/>
      <c r="Z39" s="170">
        <f t="shared" si="2"/>
        <v>-191569</v>
      </c>
      <c r="AA39" s="148">
        <f t="shared" si="3"/>
        <v>-19.1569</v>
      </c>
      <c r="AC39" s="133"/>
      <c r="AD39" s="133"/>
    </row>
    <row r="40" spans="1:30" x14ac:dyDescent="0.25">
      <c r="A40" s="141" t="s">
        <v>132</v>
      </c>
      <c r="B40" s="142" t="s">
        <v>129</v>
      </c>
      <c r="C40" s="141" t="s">
        <v>307</v>
      </c>
      <c r="D40" s="141" t="s">
        <v>267</v>
      </c>
      <c r="E40" s="141" t="s">
        <v>256</v>
      </c>
      <c r="F40" s="155">
        <v>0.5</v>
      </c>
      <c r="G40" s="190"/>
      <c r="H40" s="146">
        <v>0</v>
      </c>
      <c r="I40" s="146">
        <v>7600</v>
      </c>
      <c r="J40" s="146">
        <v>12200</v>
      </c>
      <c r="K40" s="146">
        <v>-16500</v>
      </c>
      <c r="L40" s="146">
        <v>26900</v>
      </c>
      <c r="M40" s="146">
        <v>12000</v>
      </c>
      <c r="N40" s="146">
        <v>0</v>
      </c>
      <c r="O40" s="146">
        <v>-11341</v>
      </c>
      <c r="P40" s="146">
        <v>-18160</v>
      </c>
      <c r="Q40" s="146">
        <v>12680</v>
      </c>
      <c r="R40" s="146">
        <v>1932</v>
      </c>
      <c r="S40" s="146">
        <v>0</v>
      </c>
      <c r="T40" s="146">
        <v>28200</v>
      </c>
      <c r="U40" s="146">
        <v>-3870</v>
      </c>
      <c r="V40" s="146">
        <v>16400</v>
      </c>
      <c r="W40" s="146">
        <v>12700</v>
      </c>
      <c r="X40" s="146">
        <v>-5383</v>
      </c>
      <c r="Y40" s="173"/>
      <c r="Z40" s="170">
        <f t="shared" si="2"/>
        <v>75358</v>
      </c>
      <c r="AA40" s="148">
        <f t="shared" si="3"/>
        <v>1.5071600000000001</v>
      </c>
      <c r="AC40" s="133"/>
      <c r="AD40" s="133"/>
    </row>
    <row r="41" spans="1:30" ht="16.5" customHeight="1" x14ac:dyDescent="0.25">
      <c r="A41" s="141" t="s">
        <v>48</v>
      </c>
      <c r="B41" s="140" t="s">
        <v>95</v>
      </c>
      <c r="C41" s="141" t="s">
        <v>228</v>
      </c>
      <c r="D41" s="141" t="s">
        <v>107</v>
      </c>
      <c r="E41" s="141" t="s">
        <v>107</v>
      </c>
      <c r="F41" s="155">
        <v>1</v>
      </c>
      <c r="G41" s="190"/>
      <c r="H41" s="146">
        <v>-219160</v>
      </c>
      <c r="I41" s="146">
        <v>-41680</v>
      </c>
      <c r="J41" s="146">
        <v>174856</v>
      </c>
      <c r="K41" s="146">
        <v>-85245</v>
      </c>
      <c r="L41" s="146">
        <v>-484000</v>
      </c>
      <c r="M41" s="146">
        <v>-52500</v>
      </c>
      <c r="N41" s="146">
        <v>107800</v>
      </c>
      <c r="O41" s="146">
        <v>-65513</v>
      </c>
      <c r="P41" s="146">
        <v>139726</v>
      </c>
      <c r="Q41" s="146">
        <v>-435700</v>
      </c>
      <c r="R41" s="146">
        <v>60000</v>
      </c>
      <c r="S41" s="146">
        <v>-71974</v>
      </c>
      <c r="T41" s="146">
        <v>3429</v>
      </c>
      <c r="U41" s="146">
        <v>-106396</v>
      </c>
      <c r="V41" s="146">
        <v>-6386</v>
      </c>
      <c r="W41" s="146">
        <v>119000</v>
      </c>
      <c r="X41" s="146">
        <v>216130</v>
      </c>
      <c r="Y41" s="173"/>
      <c r="Z41" s="170">
        <f t="shared" si="2"/>
        <v>-747613</v>
      </c>
      <c r="AA41" s="148">
        <f t="shared" si="3"/>
        <v>-7.4761300000000004</v>
      </c>
      <c r="AC41" s="133"/>
      <c r="AD41" s="133"/>
    </row>
    <row r="42" spans="1:30" ht="16.5" customHeight="1" x14ac:dyDescent="0.25">
      <c r="A42" s="141" t="s">
        <v>336</v>
      </c>
      <c r="B42" s="140" t="s">
        <v>95</v>
      </c>
      <c r="C42" s="141" t="s">
        <v>337</v>
      </c>
      <c r="D42" s="162" t="s">
        <v>334</v>
      </c>
      <c r="E42" s="141" t="s">
        <v>256</v>
      </c>
      <c r="F42" s="163">
        <v>0.5</v>
      </c>
      <c r="G42" s="190"/>
      <c r="H42" s="146"/>
      <c r="I42" s="146"/>
      <c r="J42" s="146"/>
      <c r="K42" s="146"/>
      <c r="L42" s="146"/>
      <c r="M42" s="146"/>
      <c r="N42" s="146"/>
      <c r="O42" s="146">
        <v>195644</v>
      </c>
      <c r="P42" s="146">
        <v>33100</v>
      </c>
      <c r="Q42" s="146">
        <v>46908</v>
      </c>
      <c r="R42" s="146">
        <v>136800</v>
      </c>
      <c r="S42" s="146">
        <v>-41019</v>
      </c>
      <c r="T42" s="146">
        <v>-6901</v>
      </c>
      <c r="U42" s="146">
        <v>19158</v>
      </c>
      <c r="V42" s="146">
        <v>-23900</v>
      </c>
      <c r="W42" s="146">
        <v>136200</v>
      </c>
      <c r="X42" s="146">
        <v>51600</v>
      </c>
      <c r="Y42" s="173"/>
      <c r="Z42" s="170">
        <f t="shared" si="2"/>
        <v>547590</v>
      </c>
      <c r="AA42" s="148">
        <f t="shared" si="3"/>
        <v>10.9518</v>
      </c>
      <c r="AC42" s="133"/>
      <c r="AD42" s="133"/>
    </row>
    <row r="43" spans="1:30" x14ac:dyDescent="0.25">
      <c r="A43" s="141" t="s">
        <v>301</v>
      </c>
      <c r="B43" s="140" t="s">
        <v>295</v>
      </c>
      <c r="C43" s="162" t="s">
        <v>296</v>
      </c>
      <c r="D43" s="162"/>
      <c r="E43" s="162" t="s">
        <v>256</v>
      </c>
      <c r="F43" s="163">
        <v>0.5</v>
      </c>
      <c r="G43" s="190"/>
      <c r="H43" s="146">
        <v>34200</v>
      </c>
      <c r="I43" s="146">
        <v>-23073</v>
      </c>
      <c r="J43" s="146">
        <v>-6862</v>
      </c>
      <c r="K43" s="146">
        <v>-21500</v>
      </c>
      <c r="L43" s="146">
        <v>18000</v>
      </c>
      <c r="M43" s="146">
        <v>3517</v>
      </c>
      <c r="N43" s="146">
        <v>4914</v>
      </c>
      <c r="O43" s="146">
        <v>-17046</v>
      </c>
      <c r="P43" s="146">
        <v>-24153</v>
      </c>
      <c r="Q43" s="146">
        <v>200</v>
      </c>
      <c r="R43" s="146">
        <v>-1908</v>
      </c>
      <c r="S43" s="146">
        <v>14500</v>
      </c>
      <c r="T43" s="146">
        <v>31000</v>
      </c>
      <c r="U43" s="146">
        <v>-57646</v>
      </c>
      <c r="V43" s="146">
        <v>-5756</v>
      </c>
      <c r="W43" s="146">
        <v>18400</v>
      </c>
      <c r="X43" s="146">
        <v>2428</v>
      </c>
      <c r="Y43" s="173"/>
      <c r="Z43" s="170">
        <f t="shared" si="2"/>
        <v>-30785</v>
      </c>
      <c r="AA43" s="148">
        <f t="shared" si="3"/>
        <v>-0.61570000000000003</v>
      </c>
      <c r="AC43" s="133"/>
    </row>
    <row r="44" spans="1:30" x14ac:dyDescent="0.25">
      <c r="A44" s="142" t="s">
        <v>168</v>
      </c>
      <c r="B44" s="140" t="s">
        <v>169</v>
      </c>
      <c r="C44" s="59" t="s">
        <v>252</v>
      </c>
      <c r="D44" s="162" t="s">
        <v>253</v>
      </c>
      <c r="E44" s="162" t="s">
        <v>253</v>
      </c>
      <c r="F44" s="114">
        <v>4</v>
      </c>
      <c r="G44" s="190"/>
      <c r="H44" s="146">
        <v>2920</v>
      </c>
      <c r="I44" s="146">
        <v>0</v>
      </c>
      <c r="J44" s="146">
        <v>0</v>
      </c>
      <c r="K44" s="146">
        <v>0</v>
      </c>
      <c r="L44" s="146">
        <v>52100</v>
      </c>
      <c r="M44" s="146">
        <v>0</v>
      </c>
      <c r="N44" s="146">
        <v>0</v>
      </c>
      <c r="O44" s="146">
        <v>0</v>
      </c>
      <c r="P44" s="146">
        <v>-22700</v>
      </c>
      <c r="Q44" s="146">
        <v>80000</v>
      </c>
      <c r="R44" s="146">
        <v>0</v>
      </c>
      <c r="S44" s="146">
        <v>0</v>
      </c>
      <c r="T44" s="146">
        <v>0</v>
      </c>
      <c r="U44" s="146">
        <v>-32110</v>
      </c>
      <c r="V44" s="146">
        <v>0</v>
      </c>
      <c r="W44" s="146">
        <v>0</v>
      </c>
      <c r="X44" s="146">
        <v>5500</v>
      </c>
      <c r="Y44" s="173"/>
      <c r="Z44" s="170">
        <f t="shared" si="2"/>
        <v>85710</v>
      </c>
      <c r="AA44" s="148">
        <f t="shared" si="3"/>
        <v>0.21427499999999999</v>
      </c>
    </row>
    <row r="45" spans="1:30" x14ac:dyDescent="0.25">
      <c r="A45" s="142" t="s">
        <v>202</v>
      </c>
      <c r="B45" s="140" t="s">
        <v>169</v>
      </c>
      <c r="C45" s="59" t="s">
        <v>252</v>
      </c>
      <c r="D45" s="162" t="s">
        <v>116</v>
      </c>
      <c r="E45" s="162" t="s">
        <v>256</v>
      </c>
      <c r="F45" s="114">
        <v>4</v>
      </c>
      <c r="G45" s="190"/>
      <c r="H45" s="146">
        <v>0</v>
      </c>
      <c r="I45" s="146">
        <v>-20000</v>
      </c>
      <c r="J45" s="146">
        <v>60600</v>
      </c>
      <c r="K45" s="146">
        <v>0</v>
      </c>
      <c r="L45" s="146">
        <v>0</v>
      </c>
      <c r="M45" s="146">
        <v>-1200</v>
      </c>
      <c r="N45" s="146">
        <v>19500</v>
      </c>
      <c r="O45" s="146">
        <v>105800</v>
      </c>
      <c r="P45" s="146">
        <v>0</v>
      </c>
      <c r="Q45" s="146">
        <v>0</v>
      </c>
      <c r="R45" s="146">
        <v>3058</v>
      </c>
      <c r="S45" s="146">
        <v>-116345</v>
      </c>
      <c r="T45" s="146">
        <v>0</v>
      </c>
      <c r="U45" s="146">
        <v>0</v>
      </c>
      <c r="V45" s="146">
        <v>-3152</v>
      </c>
      <c r="W45" s="146">
        <v>-39900</v>
      </c>
      <c r="X45" s="146">
        <v>196500</v>
      </c>
      <c r="Y45" s="173"/>
      <c r="Z45" s="170">
        <f t="shared" si="2"/>
        <v>204861</v>
      </c>
      <c r="AA45" s="148">
        <f t="shared" si="3"/>
        <v>0.51215250000000001</v>
      </c>
    </row>
    <row r="46" spans="1:30" x14ac:dyDescent="0.25">
      <c r="A46" s="142" t="s">
        <v>33</v>
      </c>
      <c r="B46" s="140" t="s">
        <v>14</v>
      </c>
      <c r="C46" s="142" t="s">
        <v>13</v>
      </c>
      <c r="D46" s="140" t="s">
        <v>14</v>
      </c>
      <c r="E46" s="140" t="s">
        <v>256</v>
      </c>
      <c r="F46" s="118">
        <v>3</v>
      </c>
      <c r="G46" s="196"/>
      <c r="H46" s="146">
        <v>174105</v>
      </c>
      <c r="I46" s="146">
        <v>-313641</v>
      </c>
      <c r="J46" s="146">
        <v>307794</v>
      </c>
      <c r="K46" s="146">
        <v>-135130</v>
      </c>
      <c r="L46" s="146">
        <v>290000</v>
      </c>
      <c r="M46" s="146">
        <v>102008</v>
      </c>
      <c r="N46" s="146">
        <v>0</v>
      </c>
      <c r="O46" s="146">
        <v>355800</v>
      </c>
      <c r="P46" s="146">
        <v>-214711</v>
      </c>
      <c r="Q46" s="146">
        <v>235920</v>
      </c>
      <c r="R46" s="146">
        <v>96778</v>
      </c>
      <c r="S46" s="146">
        <v>206116</v>
      </c>
      <c r="T46" s="146">
        <v>0</v>
      </c>
      <c r="U46" s="146">
        <v>0</v>
      </c>
      <c r="V46" s="146">
        <v>0</v>
      </c>
      <c r="W46" s="146">
        <v>0</v>
      </c>
      <c r="X46" s="146">
        <v>0</v>
      </c>
      <c r="Y46" s="173"/>
      <c r="Z46" s="170">
        <f t="shared" si="2"/>
        <v>1105039</v>
      </c>
      <c r="AA46" s="148">
        <f t="shared" si="3"/>
        <v>3.6834633333333326</v>
      </c>
    </row>
    <row r="47" spans="1:30" x14ac:dyDescent="0.25">
      <c r="A47" s="59" t="s">
        <v>306</v>
      </c>
      <c r="B47" s="62" t="s">
        <v>304</v>
      </c>
      <c r="C47" s="59" t="s">
        <v>308</v>
      </c>
      <c r="D47" s="140"/>
      <c r="E47" s="140" t="s">
        <v>256</v>
      </c>
      <c r="F47" s="114">
        <v>10</v>
      </c>
      <c r="G47" s="23"/>
      <c r="H47" s="150">
        <v>-214000</v>
      </c>
      <c r="I47" s="150">
        <v>19600</v>
      </c>
      <c r="J47" s="150">
        <v>338000</v>
      </c>
      <c r="K47" s="150">
        <v>63150</v>
      </c>
      <c r="L47" s="150">
        <v>-461500</v>
      </c>
      <c r="M47" s="150">
        <v>-70400</v>
      </c>
      <c r="N47" s="150">
        <v>-233800</v>
      </c>
      <c r="O47" s="150">
        <v>-479300</v>
      </c>
      <c r="P47" s="150">
        <v>-344800</v>
      </c>
      <c r="Q47" s="150">
        <v>-341300</v>
      </c>
      <c r="R47" s="150">
        <v>390000</v>
      </c>
      <c r="S47" s="150">
        <v>-749200</v>
      </c>
      <c r="T47" s="150">
        <v>-574170</v>
      </c>
      <c r="U47" s="150">
        <v>-235720</v>
      </c>
      <c r="V47" s="150">
        <v>-57500</v>
      </c>
      <c r="W47" s="150">
        <v>-181800</v>
      </c>
      <c r="X47" s="150">
        <v>174900</v>
      </c>
      <c r="Y47" s="173"/>
      <c r="Z47" s="170">
        <f t="shared" si="2"/>
        <v>-2957840</v>
      </c>
      <c r="AA47" s="148">
        <f t="shared" si="3"/>
        <v>-2.95784</v>
      </c>
    </row>
    <row r="48" spans="1:30" x14ac:dyDescent="0.25">
      <c r="A48" s="59" t="s">
        <v>197</v>
      </c>
      <c r="B48" s="62" t="s">
        <v>195</v>
      </c>
      <c r="C48" s="59" t="s">
        <v>196</v>
      </c>
      <c r="D48" s="141" t="s">
        <v>268</v>
      </c>
      <c r="E48" s="162" t="s">
        <v>256</v>
      </c>
      <c r="F48" s="114">
        <v>0.5</v>
      </c>
      <c r="G48" s="23"/>
      <c r="H48" s="150">
        <v>21524</v>
      </c>
      <c r="I48" s="150">
        <v>-10951</v>
      </c>
      <c r="J48" s="150">
        <v>24836</v>
      </c>
      <c r="K48" s="150">
        <v>30076</v>
      </c>
      <c r="L48" s="150">
        <v>-25200</v>
      </c>
      <c r="M48" s="150">
        <v>0</v>
      </c>
      <c r="N48" s="150">
        <v>8261</v>
      </c>
      <c r="O48" s="150">
        <v>0</v>
      </c>
      <c r="P48" s="150">
        <v>22914</v>
      </c>
      <c r="Q48" s="150">
        <v>-7848</v>
      </c>
      <c r="R48" s="150">
        <v>876</v>
      </c>
      <c r="S48" s="150">
        <v>0</v>
      </c>
      <c r="T48" s="150">
        <v>-15000</v>
      </c>
      <c r="U48" s="150">
        <v>-33956</v>
      </c>
      <c r="V48" s="150">
        <v>0</v>
      </c>
      <c r="W48" s="150">
        <v>45927</v>
      </c>
      <c r="X48" s="150">
        <v>0</v>
      </c>
      <c r="Y48" s="173"/>
      <c r="Z48" s="170">
        <f t="shared" si="2"/>
        <v>61459</v>
      </c>
      <c r="AA48" s="148">
        <f t="shared" si="3"/>
        <v>1.2291799999999999</v>
      </c>
    </row>
    <row r="49" spans="1:31" x14ac:dyDescent="0.25">
      <c r="A49" s="59" t="s">
        <v>213</v>
      </c>
      <c r="B49" s="62" t="s">
        <v>209</v>
      </c>
      <c r="C49" s="59" t="s">
        <v>210</v>
      </c>
      <c r="D49" s="62" t="s">
        <v>209</v>
      </c>
      <c r="E49" s="62" t="s">
        <v>256</v>
      </c>
      <c r="F49" s="114">
        <v>6.5</v>
      </c>
      <c r="G49" s="23"/>
      <c r="H49" s="150">
        <v>138096</v>
      </c>
      <c r="I49" s="150">
        <v>0</v>
      </c>
      <c r="J49" s="150">
        <v>168400</v>
      </c>
      <c r="K49" s="150">
        <v>0</v>
      </c>
      <c r="L49" s="150">
        <v>53400</v>
      </c>
      <c r="M49" s="150">
        <v>0</v>
      </c>
      <c r="N49" s="150">
        <v>0</v>
      </c>
      <c r="O49" s="150">
        <v>1127</v>
      </c>
      <c r="P49" s="150">
        <v>0</v>
      </c>
      <c r="Q49" s="150">
        <v>57280</v>
      </c>
      <c r="R49" s="150">
        <v>0</v>
      </c>
      <c r="S49" s="150">
        <v>-48660</v>
      </c>
      <c r="T49" s="150">
        <v>0</v>
      </c>
      <c r="U49" s="150">
        <v>0</v>
      </c>
      <c r="V49" s="150">
        <v>0</v>
      </c>
      <c r="W49" s="150">
        <v>0</v>
      </c>
      <c r="X49" s="150">
        <v>0</v>
      </c>
      <c r="Y49" s="173"/>
      <c r="Z49" s="170">
        <f t="shared" si="2"/>
        <v>369643</v>
      </c>
      <c r="AA49" s="148">
        <f t="shared" si="3"/>
        <v>0.56868153846153835</v>
      </c>
    </row>
    <row r="50" spans="1:31" x14ac:dyDescent="0.25">
      <c r="A50" s="59" t="s">
        <v>214</v>
      </c>
      <c r="B50" s="62" t="s">
        <v>209</v>
      </c>
      <c r="C50" s="59" t="s">
        <v>211</v>
      </c>
      <c r="D50" s="62" t="s">
        <v>209</v>
      </c>
      <c r="E50" s="62" t="s">
        <v>256</v>
      </c>
      <c r="F50" s="114">
        <v>1.25</v>
      </c>
      <c r="G50" s="23"/>
      <c r="H50" s="150">
        <v>0</v>
      </c>
      <c r="I50" s="150">
        <v>0</v>
      </c>
      <c r="J50" s="150">
        <v>0</v>
      </c>
      <c r="K50" s="150">
        <v>0</v>
      </c>
      <c r="L50" s="150">
        <v>0</v>
      </c>
      <c r="M50" s="150">
        <v>0</v>
      </c>
      <c r="N50" s="150">
        <v>0</v>
      </c>
      <c r="O50" s="150">
        <v>0</v>
      </c>
      <c r="P50" s="150">
        <v>0</v>
      </c>
      <c r="Q50" s="150">
        <v>0</v>
      </c>
      <c r="R50" s="150">
        <v>0</v>
      </c>
      <c r="S50" s="150">
        <v>0</v>
      </c>
      <c r="T50" s="150">
        <v>0</v>
      </c>
      <c r="U50" s="150">
        <v>0</v>
      </c>
      <c r="V50" s="150">
        <v>0</v>
      </c>
      <c r="W50" s="150">
        <v>0</v>
      </c>
      <c r="X50" s="150">
        <v>0</v>
      </c>
      <c r="Y50" s="173"/>
      <c r="Z50" s="170">
        <f t="shared" si="2"/>
        <v>0</v>
      </c>
      <c r="AA50" s="148">
        <f t="shared" si="3"/>
        <v>0</v>
      </c>
    </row>
    <row r="51" spans="1:31" x14ac:dyDescent="0.25">
      <c r="A51" s="59" t="s">
        <v>49</v>
      </c>
      <c r="B51" s="59" t="s">
        <v>99</v>
      </c>
      <c r="C51" s="59" t="s">
        <v>100</v>
      </c>
      <c r="D51" s="59" t="s">
        <v>99</v>
      </c>
      <c r="E51" s="59" t="s">
        <v>256</v>
      </c>
      <c r="F51" s="114">
        <v>3</v>
      </c>
      <c r="G51" s="23"/>
      <c r="H51" s="150">
        <v>12470</v>
      </c>
      <c r="I51" s="150">
        <v>0</v>
      </c>
      <c r="J51" s="150">
        <v>43650</v>
      </c>
      <c r="K51" s="150">
        <v>0</v>
      </c>
      <c r="L51" s="150">
        <v>96100</v>
      </c>
      <c r="M51" s="150">
        <v>5967</v>
      </c>
      <c r="N51" s="150">
        <v>-43200</v>
      </c>
      <c r="O51" s="150">
        <v>63560</v>
      </c>
      <c r="P51" s="150">
        <v>0</v>
      </c>
      <c r="Q51" s="150">
        <v>106000</v>
      </c>
      <c r="R51" s="150">
        <v>0</v>
      </c>
      <c r="S51" s="150">
        <v>27140</v>
      </c>
      <c r="T51" s="150">
        <v>0</v>
      </c>
      <c r="U51" s="150">
        <v>0</v>
      </c>
      <c r="V51" s="150">
        <v>0</v>
      </c>
      <c r="W51" s="150">
        <v>0</v>
      </c>
      <c r="X51" s="150">
        <v>0</v>
      </c>
      <c r="Y51" s="173"/>
      <c r="Z51" s="170">
        <f t="shared" si="2"/>
        <v>311687</v>
      </c>
      <c r="AA51" s="148">
        <f t="shared" si="3"/>
        <v>1.0389566666666668</v>
      </c>
    </row>
    <row r="52" spans="1:31" x14ac:dyDescent="0.25">
      <c r="A52" s="59" t="s">
        <v>331</v>
      </c>
      <c r="B52" s="59" t="s">
        <v>286</v>
      </c>
      <c r="C52" s="59" t="s">
        <v>324</v>
      </c>
      <c r="D52" s="59" t="s">
        <v>286</v>
      </c>
      <c r="E52" s="59" t="s">
        <v>256</v>
      </c>
      <c r="F52" s="114">
        <v>1</v>
      </c>
      <c r="G52" s="23"/>
      <c r="H52" s="150">
        <v>0</v>
      </c>
      <c r="I52" s="150">
        <v>50</v>
      </c>
      <c r="J52" s="150">
        <v>0</v>
      </c>
      <c r="K52" s="150">
        <v>520</v>
      </c>
      <c r="L52" s="150">
        <v>-800</v>
      </c>
      <c r="M52" s="150">
        <v>280</v>
      </c>
      <c r="N52" s="150">
        <v>1150</v>
      </c>
      <c r="O52" s="150">
        <v>0</v>
      </c>
      <c r="P52" s="150">
        <v>595</v>
      </c>
      <c r="Q52" s="150">
        <v>2800</v>
      </c>
      <c r="R52" s="150">
        <v>-3721</v>
      </c>
      <c r="S52" s="150">
        <v>13135</v>
      </c>
      <c r="T52" s="150">
        <v>4335</v>
      </c>
      <c r="U52" s="150">
        <v>-710</v>
      </c>
      <c r="V52" s="150">
        <v>0</v>
      </c>
      <c r="W52" s="150">
        <v>13000</v>
      </c>
      <c r="X52" s="150">
        <v>21100</v>
      </c>
      <c r="Y52" s="173"/>
      <c r="Z52" s="170">
        <f t="shared" si="2"/>
        <v>51734</v>
      </c>
      <c r="AA52" s="148">
        <f t="shared" si="3"/>
        <v>0.51734000000000002</v>
      </c>
    </row>
    <row r="53" spans="1:31" ht="15.75" thickBot="1" x14ac:dyDescent="0.3">
      <c r="A53" s="59" t="s">
        <v>288</v>
      </c>
      <c r="B53" s="59" t="s">
        <v>286</v>
      </c>
      <c r="C53" s="59" t="s">
        <v>285</v>
      </c>
      <c r="D53" s="59" t="s">
        <v>286</v>
      </c>
      <c r="E53" s="59" t="s">
        <v>256</v>
      </c>
      <c r="F53" s="114">
        <v>10</v>
      </c>
      <c r="G53" s="23"/>
      <c r="H53" s="150">
        <v>-28000</v>
      </c>
      <c r="I53" s="150">
        <v>6932</v>
      </c>
      <c r="J53" s="150">
        <v>104715</v>
      </c>
      <c r="K53" s="150">
        <v>17309</v>
      </c>
      <c r="L53" s="150">
        <v>26900</v>
      </c>
      <c r="M53" s="150">
        <v>-5815</v>
      </c>
      <c r="N53" s="150">
        <v>246900</v>
      </c>
      <c r="O53" s="150">
        <v>143900</v>
      </c>
      <c r="P53" s="150">
        <v>-13385</v>
      </c>
      <c r="Q53" s="150">
        <v>117000</v>
      </c>
      <c r="R53" s="150">
        <v>-16377</v>
      </c>
      <c r="S53" s="150">
        <v>165250</v>
      </c>
      <c r="T53" s="150">
        <v>23800</v>
      </c>
      <c r="U53" s="150">
        <v>8960</v>
      </c>
      <c r="V53" s="150">
        <v>-11500</v>
      </c>
      <c r="W53" s="150">
        <v>94734</v>
      </c>
      <c r="X53" s="150">
        <v>186200</v>
      </c>
      <c r="Y53" s="173"/>
      <c r="Z53" s="170">
        <f t="shared" si="2"/>
        <v>1067523</v>
      </c>
      <c r="AA53" s="148">
        <f t="shared" si="3"/>
        <v>1.067523</v>
      </c>
    </row>
    <row r="54" spans="1:31" ht="15.75" thickBot="1" x14ac:dyDescent="0.3">
      <c r="A54" s="24"/>
      <c r="B54" s="25"/>
      <c r="C54" s="26"/>
      <c r="D54" s="24"/>
      <c r="E54" s="24"/>
      <c r="F54" s="115"/>
      <c r="G54" s="16"/>
      <c r="H54" s="253">
        <f t="shared" ref="H54:X54" si="4">SUM(H4:H53)</f>
        <v>38252</v>
      </c>
      <c r="I54" s="253">
        <f t="shared" si="4"/>
        <v>-1490903</v>
      </c>
      <c r="J54" s="253">
        <f t="shared" si="4"/>
        <v>2756338</v>
      </c>
      <c r="K54" s="253">
        <f t="shared" si="4"/>
        <v>-39084</v>
      </c>
      <c r="L54" s="253">
        <f t="shared" si="4"/>
        <v>-31777</v>
      </c>
      <c r="M54" s="253">
        <f t="shared" si="4"/>
        <v>885698</v>
      </c>
      <c r="N54" s="253">
        <f t="shared" si="4"/>
        <v>913308</v>
      </c>
      <c r="O54" s="253">
        <f t="shared" si="4"/>
        <v>1998954</v>
      </c>
      <c r="P54" s="253">
        <f t="shared" si="4"/>
        <v>-200803</v>
      </c>
      <c r="Q54" s="253">
        <f t="shared" si="4"/>
        <v>499755</v>
      </c>
      <c r="R54" s="253">
        <f t="shared" si="4"/>
        <v>1063967</v>
      </c>
      <c r="S54" s="253">
        <f t="shared" si="4"/>
        <v>-618758</v>
      </c>
      <c r="T54" s="253">
        <f t="shared" si="4"/>
        <v>1955256</v>
      </c>
      <c r="U54" s="253">
        <f t="shared" si="4"/>
        <v>-2293712</v>
      </c>
      <c r="V54" s="253">
        <f t="shared" si="4"/>
        <v>760771</v>
      </c>
      <c r="W54" s="253">
        <f t="shared" si="4"/>
        <v>584177</v>
      </c>
      <c r="X54" s="253">
        <f t="shared" si="4"/>
        <v>214317</v>
      </c>
      <c r="Y54" s="253">
        <f>SUM(Y4:Y53)</f>
        <v>0</v>
      </c>
      <c r="Z54" s="253">
        <f>SUM(H54:Y54)</f>
        <v>6995756</v>
      </c>
      <c r="AA54" s="254">
        <f t="shared" ref="AA54" si="5">IFERROR(Z54/F54*100,0)/10000000</f>
        <v>0</v>
      </c>
    </row>
    <row r="55" spans="1:31" ht="15.75" thickBot="1" x14ac:dyDescent="0.3">
      <c r="A55" s="249"/>
      <c r="B55" s="249"/>
      <c r="C55" s="249"/>
      <c r="D55" s="249"/>
      <c r="E55" s="249"/>
      <c r="F55" s="250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X55" s="249"/>
      <c r="Y55" s="249"/>
      <c r="Z55" s="249"/>
      <c r="AA55" s="251"/>
    </row>
    <row r="56" spans="1:31" x14ac:dyDescent="0.25">
      <c r="A56" s="201" t="s">
        <v>241</v>
      </c>
      <c r="B56" s="202" t="s">
        <v>240</v>
      </c>
      <c r="C56" s="202" t="s">
        <v>57</v>
      </c>
      <c r="D56" s="202" t="s">
        <v>87</v>
      </c>
      <c r="E56" s="202" t="s">
        <v>256</v>
      </c>
      <c r="F56" s="203">
        <v>3</v>
      </c>
      <c r="G56" s="204"/>
      <c r="H56" s="161">
        <v>5771</v>
      </c>
      <c r="I56" s="161">
        <v>-30800</v>
      </c>
      <c r="J56" s="161">
        <v>160555</v>
      </c>
      <c r="K56" s="161">
        <v>15600</v>
      </c>
      <c r="L56" s="161">
        <v>149000</v>
      </c>
      <c r="M56" s="161">
        <v>2277</v>
      </c>
      <c r="N56" s="161">
        <v>-50</v>
      </c>
      <c r="O56" s="161">
        <v>-153500</v>
      </c>
      <c r="P56" s="161">
        <v>-608</v>
      </c>
      <c r="Q56" s="161">
        <v>-184264</v>
      </c>
      <c r="R56" s="161">
        <v>789</v>
      </c>
      <c r="S56" s="161">
        <v>34900</v>
      </c>
      <c r="T56" s="161">
        <v>0</v>
      </c>
      <c r="U56" s="161">
        <v>28400</v>
      </c>
      <c r="V56" s="161">
        <v>550</v>
      </c>
      <c r="W56" s="161">
        <v>0</v>
      </c>
      <c r="X56" s="161">
        <v>509300</v>
      </c>
      <c r="Y56" s="245"/>
      <c r="Z56" s="246">
        <f>SUM(H56:Y56)</f>
        <v>537920</v>
      </c>
      <c r="AA56" s="247">
        <f>IFERROR(Z56/F56*100,0)/10000000</f>
        <v>1.7930666666666664</v>
      </c>
    </row>
    <row r="57" spans="1:31" x14ac:dyDescent="0.25">
      <c r="A57" s="201" t="s">
        <v>273</v>
      </c>
      <c r="B57" s="202" t="s">
        <v>272</v>
      </c>
      <c r="C57" s="202" t="s">
        <v>57</v>
      </c>
      <c r="D57" s="202" t="s">
        <v>87</v>
      </c>
      <c r="E57" s="202" t="s">
        <v>256</v>
      </c>
      <c r="F57" s="203"/>
      <c r="G57" s="204"/>
      <c r="H57" s="161">
        <v>0</v>
      </c>
      <c r="I57" s="161">
        <v>-51000</v>
      </c>
      <c r="J57" s="161">
        <v>149000</v>
      </c>
      <c r="K57" s="161">
        <v>0</v>
      </c>
      <c r="L57" s="161">
        <v>0</v>
      </c>
      <c r="M57" s="161">
        <v>-11300</v>
      </c>
      <c r="N57" s="161">
        <v>0</v>
      </c>
      <c r="O57" s="161">
        <v>-305165</v>
      </c>
      <c r="P57" s="161">
        <v>0</v>
      </c>
      <c r="Q57" s="161">
        <v>0</v>
      </c>
      <c r="R57" s="161">
        <v>0</v>
      </c>
      <c r="S57" s="161">
        <v>-19129</v>
      </c>
      <c r="T57" s="161">
        <v>0</v>
      </c>
      <c r="U57" s="161">
        <v>0</v>
      </c>
      <c r="V57" s="161">
        <v>0</v>
      </c>
      <c r="W57" s="161">
        <v>24300</v>
      </c>
      <c r="X57" s="161">
        <v>187300</v>
      </c>
      <c r="Y57" s="173"/>
      <c r="Z57" s="170">
        <f>SUM(H57:Y57)</f>
        <v>-25994</v>
      </c>
      <c r="AA57" s="148">
        <f>IFERROR(Z57/F57*100,0)/10000000</f>
        <v>0</v>
      </c>
    </row>
    <row r="58" spans="1:31" x14ac:dyDescent="0.25">
      <c r="A58" s="201"/>
      <c r="B58" s="202" t="s">
        <v>338</v>
      </c>
      <c r="C58" s="202" t="s">
        <v>57</v>
      </c>
      <c r="D58" s="202" t="s">
        <v>87</v>
      </c>
      <c r="E58" s="202" t="s">
        <v>256</v>
      </c>
      <c r="F58" s="203"/>
      <c r="G58" s="204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>
        <v>0</v>
      </c>
      <c r="T58" s="161">
        <v>0</v>
      </c>
      <c r="U58" s="161">
        <v>0</v>
      </c>
      <c r="V58" s="161">
        <v>0</v>
      </c>
      <c r="W58" s="161">
        <v>0</v>
      </c>
      <c r="X58" s="161">
        <v>0</v>
      </c>
      <c r="Y58" s="161"/>
      <c r="Z58" s="170">
        <f t="shared" ref="Z58:Z59" si="6">SUM(H58:Y58)</f>
        <v>0</v>
      </c>
      <c r="AA58" s="257"/>
    </row>
    <row r="59" spans="1:31" ht="15.75" thickBot="1" x14ac:dyDescent="0.3">
      <c r="A59" s="201" t="s">
        <v>340</v>
      </c>
      <c r="B59" s="202" t="s">
        <v>339</v>
      </c>
      <c r="C59" s="202" t="s">
        <v>57</v>
      </c>
      <c r="D59" s="202" t="s">
        <v>87</v>
      </c>
      <c r="E59" s="202" t="s">
        <v>256</v>
      </c>
      <c r="F59" s="203"/>
      <c r="G59" s="204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>
        <v>-58780</v>
      </c>
      <c r="T59" s="161">
        <v>40700</v>
      </c>
      <c r="U59" s="161">
        <v>-150481</v>
      </c>
      <c r="V59" s="161">
        <v>3939</v>
      </c>
      <c r="W59" s="161">
        <v>1600</v>
      </c>
      <c r="X59" s="161">
        <v>204500</v>
      </c>
      <c r="Y59" s="161"/>
      <c r="Z59" s="170">
        <f t="shared" si="6"/>
        <v>41478</v>
      </c>
      <c r="AA59" s="257"/>
    </row>
    <row r="60" spans="1:31" s="248" customFormat="1" ht="15.75" thickBot="1" x14ac:dyDescent="0.3">
      <c r="A60" s="199"/>
      <c r="B60" s="16"/>
      <c r="C60" s="16"/>
      <c r="D60" s="16"/>
      <c r="E60" s="16"/>
      <c r="F60" s="74"/>
      <c r="G60" s="17"/>
      <c r="H60" s="169">
        <f t="shared" ref="H60:S60" si="7">SUM(H56:H57)</f>
        <v>5771</v>
      </c>
      <c r="I60" s="169">
        <f t="shared" si="7"/>
        <v>-81800</v>
      </c>
      <c r="J60" s="169">
        <f t="shared" si="7"/>
        <v>309555</v>
      </c>
      <c r="K60" s="169">
        <f t="shared" si="7"/>
        <v>15600</v>
      </c>
      <c r="L60" s="169">
        <f t="shared" si="7"/>
        <v>149000</v>
      </c>
      <c r="M60" s="169">
        <f t="shared" si="7"/>
        <v>-9023</v>
      </c>
      <c r="N60" s="169">
        <f t="shared" si="7"/>
        <v>-50</v>
      </c>
      <c r="O60" s="169">
        <f t="shared" si="7"/>
        <v>-458665</v>
      </c>
      <c r="P60" s="169">
        <f t="shared" si="7"/>
        <v>-608</v>
      </c>
      <c r="Q60" s="169">
        <f t="shared" si="7"/>
        <v>-184264</v>
      </c>
      <c r="R60" s="169">
        <f t="shared" si="7"/>
        <v>789</v>
      </c>
      <c r="S60" s="169">
        <f t="shared" si="7"/>
        <v>15771</v>
      </c>
      <c r="T60" s="169">
        <f>SUM(T56:T59)</f>
        <v>40700</v>
      </c>
      <c r="U60" s="169">
        <f>SUM(U56:U59)</f>
        <v>-122081</v>
      </c>
      <c r="V60" s="169">
        <f>SUM(V56:V59)</f>
        <v>4489</v>
      </c>
      <c r="W60" s="169">
        <f>SUM(W56:W59)</f>
        <v>25900</v>
      </c>
      <c r="X60" s="169">
        <f>SUM(X56:X59)</f>
        <v>901100</v>
      </c>
      <c r="Y60" s="169">
        <f>SUM(Y56:Y57)</f>
        <v>0</v>
      </c>
      <c r="Z60" s="256">
        <f>SUM(H60:Y60)</f>
        <v>612184</v>
      </c>
      <c r="AA60" s="172"/>
    </row>
    <row r="61" spans="1:31" x14ac:dyDescent="0.25">
      <c r="AD61" s="133"/>
    </row>
    <row r="62" spans="1:31" x14ac:dyDescent="0.25">
      <c r="AC62" s="133"/>
    </row>
    <row r="63" spans="1:31" x14ac:dyDescent="0.25">
      <c r="AC63" s="5"/>
      <c r="AD63" s="133"/>
      <c r="AE63" s="236"/>
    </row>
    <row r="64" spans="1:31" x14ac:dyDescent="0.25">
      <c r="AC64" s="133"/>
      <c r="AD64" s="133"/>
      <c r="AE64" s="236"/>
    </row>
    <row r="65" spans="29:31" x14ac:dyDescent="0.25">
      <c r="AC65" s="133"/>
      <c r="AD65" s="133"/>
      <c r="AE65" s="236"/>
    </row>
    <row r="66" spans="29:31" x14ac:dyDescent="0.25">
      <c r="AC66" s="133"/>
      <c r="AD66" s="133"/>
      <c r="AE66" s="236"/>
    </row>
    <row r="67" spans="29:31" x14ac:dyDescent="0.25">
      <c r="AC67" s="133"/>
      <c r="AD67" s="133"/>
      <c r="AE67" s="236"/>
    </row>
    <row r="68" spans="29:31" x14ac:dyDescent="0.25">
      <c r="AC68" s="133"/>
      <c r="AD68" s="236"/>
      <c r="AE68" s="236"/>
    </row>
    <row r="69" spans="29:31" x14ac:dyDescent="0.25">
      <c r="AC69" s="236"/>
      <c r="AD69" s="236"/>
      <c r="AE69" s="236"/>
    </row>
  </sheetData>
  <conditionalFormatting sqref="G2 A3:G3 AA54:AA55 AA60 H2:AA3 G38:Y38 A4:Y37 A56:AA59 A39:Y54 A60:Y60">
    <cfRule type="expression" dxfId="537" priority="18">
      <formula>MOD(ROW(),2)=0</formula>
    </cfRule>
  </conditionalFormatting>
  <conditionalFormatting sqref="Z4:AA53">
    <cfRule type="expression" dxfId="536" priority="15">
      <formula>MOD(ROW(),2)=0</formula>
    </cfRule>
  </conditionalFormatting>
  <conditionalFormatting sqref="Z54">
    <cfRule type="expression" dxfId="535" priority="12">
      <formula>MOD(ROW(),2)=0</formula>
    </cfRule>
  </conditionalFormatting>
  <conditionalFormatting sqref="Z60">
    <cfRule type="expression" dxfId="534" priority="7">
      <formula>MOD(ROW(),2)=0</formula>
    </cfRule>
  </conditionalFormatting>
  <conditionalFormatting sqref="A38:F38">
    <cfRule type="expression" dxfId="533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O61"/>
  <sheetViews>
    <sheetView topLeftCell="A31" workbookViewId="0">
      <selection activeCell="G55" sqref="G55"/>
    </sheetView>
  </sheetViews>
  <sheetFormatPr defaultRowHeight="15" outlineLevelCol="1" x14ac:dyDescent="0.25"/>
  <cols>
    <col min="1" max="1" width="9.140625" style="131"/>
    <col min="2" max="2" width="19.42578125" style="131" customWidth="1"/>
    <col min="3" max="3" width="11.5703125" style="131" customWidth="1"/>
    <col min="4" max="4" width="17.28515625" style="131" customWidth="1"/>
    <col min="5" max="5" width="13.42578125" style="131" customWidth="1"/>
    <col min="6" max="6" width="10.28515625" style="131" bestFit="1" customWidth="1"/>
    <col min="7" max="7" width="11" style="131" customWidth="1"/>
    <col min="8" max="8" width="9.42578125" style="131" customWidth="1"/>
    <col min="9" max="9" width="11.28515625" style="131" customWidth="1"/>
    <col min="10" max="10" width="10" style="131" customWidth="1"/>
    <col min="11" max="11" width="11.140625" style="131" customWidth="1"/>
    <col min="12" max="12" width="10.5703125" style="131" customWidth="1"/>
    <col min="13" max="14" width="10.5703125" style="131" customWidth="1" outlineLevel="1"/>
    <col min="15" max="15" width="19.7109375" style="131" customWidth="1"/>
    <col min="16" max="16384" width="9.140625" style="131"/>
  </cols>
  <sheetData>
    <row r="1" spans="1:14" ht="15.75" thickBot="1" x14ac:dyDescent="0.3"/>
    <row r="2" spans="1:14" ht="16.5" thickBot="1" x14ac:dyDescent="0.3">
      <c r="G2" s="84" t="s">
        <v>325</v>
      </c>
      <c r="H2" s="85" t="s">
        <v>326</v>
      </c>
      <c r="I2" s="95" t="s">
        <v>327</v>
      </c>
      <c r="J2" s="96" t="s">
        <v>328</v>
      </c>
      <c r="K2" s="105" t="s">
        <v>329</v>
      </c>
      <c r="L2" s="106" t="s">
        <v>330</v>
      </c>
      <c r="M2" s="126" t="s">
        <v>101</v>
      </c>
      <c r="N2" s="127" t="s">
        <v>127</v>
      </c>
    </row>
    <row r="3" spans="1:14" ht="16.5" thickBot="1" x14ac:dyDescent="0.3">
      <c r="A3" s="49" t="s">
        <v>54</v>
      </c>
      <c r="B3" s="49" t="s">
        <v>69</v>
      </c>
      <c r="C3" s="49" t="s">
        <v>70</v>
      </c>
      <c r="D3" s="49" t="s">
        <v>2</v>
      </c>
      <c r="E3" s="49" t="s">
        <v>257</v>
      </c>
      <c r="F3" s="55" t="s">
        <v>102</v>
      </c>
      <c r="G3" s="86"/>
      <c r="H3" s="87"/>
      <c r="I3" s="97"/>
      <c r="J3" s="98"/>
      <c r="K3" s="107"/>
      <c r="L3" s="108"/>
      <c r="M3" s="69"/>
      <c r="N3" s="70"/>
    </row>
    <row r="4" spans="1:14" x14ac:dyDescent="0.25">
      <c r="A4" s="141" t="s">
        <v>216</v>
      </c>
      <c r="B4" s="44" t="s">
        <v>215</v>
      </c>
      <c r="C4" s="141" t="s">
        <v>11</v>
      </c>
      <c r="D4" s="141" t="s">
        <v>260</v>
      </c>
      <c r="E4" s="141" t="s">
        <v>256</v>
      </c>
      <c r="F4" s="155">
        <v>0.5</v>
      </c>
      <c r="G4" s="152">
        <f>IFERROR(VLOOKUP($A$3:$A$116,'OCT-2026'!$A$4:$ADI$120,MATCH('FY-(26-27)Q3'!$G$2:$H$2,'OCT-2026'!$A$2:$DJ$2,0),0),0)</f>
        <v>111320</v>
      </c>
      <c r="H4" s="154">
        <f>IFERROR(VLOOKUP($A$3:$A$116,'OCT-2026'!$A$4:$ADI$120,MATCH('FY-(26-27)Q3'!$G$2:$H$2,'OCT-2026'!$A$2:$DJ$2,0),0),0)</f>
        <v>2.2263999999999999</v>
      </c>
      <c r="I4" s="152">
        <f>IFERROR(VLOOKUP($A$3:$A$116,'[1]NOV-2026'!$A$4:$ADL$124,MATCH('FY-(26-27)Q3'!$I$2:$J$2,'[1]NOV-2026'!$A$2:$DM$2,0),0),0)</f>
        <v>0</v>
      </c>
      <c r="J4" s="154">
        <f>IFERROR(VLOOKUP($A$3:$A$116,'[1]NOV-2026'!$A$4:$ADL$124,MATCH('FY-(26-27)Q3'!$I$2:$J$2,'[1]NOV-2026'!$A$2:$DM$2,0),0),0)</f>
        <v>0</v>
      </c>
      <c r="K4" s="152">
        <f>IFERROR(VLOOKUP($A$3:$A$116,'[2]DEC-2026'!$A$4:$AEE$125,MATCH('FY-(26-27)Q3'!$K$2:$L$2,'[2]DEC-2026'!$A$2:$EF$2,0),0),0)</f>
        <v>0</v>
      </c>
      <c r="L4" s="154">
        <f>IFERROR(VLOOKUP($A$3:$A$116,'[2]DEC-2026'!$A$4:$AEE$125,MATCH('FY-(26-27)Q3'!$K$2:$L$2,'[2]DEC-2026'!$A$2:$EF$2,0),0),0)</f>
        <v>0</v>
      </c>
      <c r="M4" s="71">
        <f t="shared" ref="M4:N52" si="0">G4+I4+K4</f>
        <v>111320</v>
      </c>
      <c r="N4" s="165">
        <f t="shared" si="0"/>
        <v>2.2263999999999999</v>
      </c>
    </row>
    <row r="5" spans="1:14" x14ac:dyDescent="0.25">
      <c r="A5" s="141" t="s">
        <v>343</v>
      </c>
      <c r="B5" s="140" t="s">
        <v>341</v>
      </c>
      <c r="C5" s="140" t="s">
        <v>345</v>
      </c>
      <c r="D5" s="38" t="s">
        <v>138</v>
      </c>
      <c r="E5" s="38" t="s">
        <v>256</v>
      </c>
      <c r="F5" s="155">
        <v>3.5</v>
      </c>
      <c r="G5" s="152">
        <f>IFERROR(VLOOKUP($A$3:$A$116,'OCT-2026'!$A$4:$ADI$120,MATCH('FY-(26-27)Q3'!$G$2:$H$2,'OCT-2026'!$A$2:$DJ$2,0),0),0)</f>
        <v>285473</v>
      </c>
      <c r="H5" s="154">
        <f>IFERROR(VLOOKUP($A$3:$A$116,'OCT-2026'!$A$4:$ADI$120,MATCH('FY-(26-27)Q3'!$G$2:$H$2,'OCT-2026'!$A$2:$DJ$2,0),0),0)</f>
        <v>0.95157666666666674</v>
      </c>
      <c r="I5" s="152">
        <f>IFERROR(VLOOKUP($A$3:$A$116,'[1]NOV-2026'!$A$4:$ADL$124,MATCH('FY-(26-27)Q3'!$I$2:$J$2,'[1]NOV-2026'!$A$2:$DM$2,0),0),0)</f>
        <v>0</v>
      </c>
      <c r="J5" s="154">
        <f>IFERROR(VLOOKUP($A$3:$A$116,'[1]NOV-2026'!$A$4:$ADL$124,MATCH('FY-(26-27)Q3'!$I$2:$J$2,'[1]NOV-2026'!$A$2:$DM$2,0),0),0)</f>
        <v>0</v>
      </c>
      <c r="K5" s="152">
        <f>IFERROR(VLOOKUP($A$3:$A$116,'[2]DEC-2026'!$A$4:$AEE$125,MATCH('FY-(26-27)Q3'!$K$2:$L$2,'[2]DEC-2026'!$A$2:$EF$2,0),0),0)</f>
        <v>0</v>
      </c>
      <c r="L5" s="154">
        <f>IFERROR(VLOOKUP($A$3:$A$116,'[2]DEC-2026'!$A$4:$AEE$125,MATCH('FY-(26-27)Q3'!$K$2:$L$2,'[2]DEC-2026'!$A$2:$EF$2,0),0),0)</f>
        <v>0</v>
      </c>
      <c r="M5" s="71">
        <f t="shared" si="0"/>
        <v>285473</v>
      </c>
      <c r="N5" s="165">
        <f t="shared" si="0"/>
        <v>0.95157666666666674</v>
      </c>
    </row>
    <row r="6" spans="1:14" x14ac:dyDescent="0.25">
      <c r="A6" s="141" t="s">
        <v>344</v>
      </c>
      <c r="B6" s="140" t="s">
        <v>341</v>
      </c>
      <c r="C6" s="140" t="s">
        <v>312</v>
      </c>
      <c r="D6" s="159" t="s">
        <v>311</v>
      </c>
      <c r="E6" s="159" t="s">
        <v>256</v>
      </c>
      <c r="F6" s="155">
        <v>1</v>
      </c>
      <c r="G6" s="152">
        <f>IFERROR(VLOOKUP($A$3:$A$116,'OCT-2026'!$A$4:$ADI$120,MATCH('FY-(26-27)Q3'!$G$2:$H$2,'OCT-2026'!$A$2:$DJ$2,0),0),0)</f>
        <v>328587</v>
      </c>
      <c r="H6" s="154">
        <f>IFERROR(VLOOKUP($A$3:$A$116,'OCT-2026'!$A$4:$ADI$120,MATCH('FY-(26-27)Q3'!$G$2:$H$2,'OCT-2026'!$A$2:$DJ$2,0),0),0)</f>
        <v>3.2858700000000001</v>
      </c>
      <c r="I6" s="152">
        <f>IFERROR(VLOOKUP($A$3:$A$116,'[1]NOV-2026'!$A$4:$ADL$124,MATCH('FY-(26-27)Q3'!$I$2:$J$2,'[1]NOV-2026'!$A$2:$DM$2,0),0),0)</f>
        <v>0</v>
      </c>
      <c r="J6" s="154">
        <f>IFERROR(VLOOKUP($A$3:$A$116,'[1]NOV-2026'!$A$4:$ADL$124,MATCH('FY-(26-27)Q3'!$I$2:$J$2,'[1]NOV-2026'!$A$2:$DM$2,0),0),0)</f>
        <v>0</v>
      </c>
      <c r="K6" s="152">
        <f>IFERROR(VLOOKUP($A$3:$A$116,'[2]DEC-2026'!$A$4:$AEE$125,MATCH('FY-(26-27)Q3'!$K$2:$L$2,'[2]DEC-2026'!$A$2:$EF$2,0),0),0)</f>
        <v>0</v>
      </c>
      <c r="L6" s="154">
        <f>IFERROR(VLOOKUP($A$3:$A$116,'[2]DEC-2026'!$A$4:$AEE$125,MATCH('FY-(26-27)Q3'!$K$2:$L$2,'[2]DEC-2026'!$A$2:$EF$2,0),0),0)</f>
        <v>0</v>
      </c>
      <c r="M6" s="71">
        <f t="shared" si="0"/>
        <v>328587</v>
      </c>
      <c r="N6" s="165">
        <f t="shared" si="0"/>
        <v>3.2858700000000001</v>
      </c>
    </row>
    <row r="7" spans="1:14" x14ac:dyDescent="0.25">
      <c r="A7" s="141" t="s">
        <v>134</v>
      </c>
      <c r="B7" s="140" t="s">
        <v>133</v>
      </c>
      <c r="C7" s="140" t="s">
        <v>135</v>
      </c>
      <c r="D7" s="159" t="s">
        <v>258</v>
      </c>
      <c r="E7" s="38" t="s">
        <v>256</v>
      </c>
      <c r="F7" s="155">
        <v>3</v>
      </c>
      <c r="G7" s="152">
        <f>IFERROR(VLOOKUP($A$3:$A$116,'OCT-2026'!$A$4:$ADI$120,MATCH('FY-(26-27)Q3'!$G$2:$H$2,'OCT-2026'!$A$2:$DJ$2,0),0),0)</f>
        <v>112840</v>
      </c>
      <c r="H7" s="154">
        <f>IFERROR(VLOOKUP($A$3:$A$116,'OCT-2026'!$A$4:$ADI$120,MATCH('FY-(26-27)Q3'!$G$2:$H$2,'OCT-2026'!$A$2:$DJ$2,0),0),0)</f>
        <v>0.37613333333333338</v>
      </c>
      <c r="I7" s="152">
        <f>IFERROR(VLOOKUP($A$3:$A$116,'[1]NOV-2026'!$A$4:$ADL$124,MATCH('FY-(26-27)Q3'!$I$2:$J$2,'[1]NOV-2026'!$A$2:$DM$2,0),0),0)</f>
        <v>0</v>
      </c>
      <c r="J7" s="154">
        <f>IFERROR(VLOOKUP($A$3:$A$116,'[1]NOV-2026'!$A$4:$ADL$124,MATCH('FY-(26-27)Q3'!$I$2:$J$2,'[1]NOV-2026'!$A$2:$DM$2,0),0),0)</f>
        <v>0</v>
      </c>
      <c r="K7" s="152">
        <f>IFERROR(VLOOKUP($A$3:$A$116,'[2]DEC-2026'!$A$4:$AEE$125,MATCH('FY-(26-27)Q3'!$K$2:$L$2,'[2]DEC-2026'!$A$2:$EF$2,0),0),0)</f>
        <v>0</v>
      </c>
      <c r="L7" s="154">
        <f>IFERROR(VLOOKUP($A$3:$A$116,'[2]DEC-2026'!$A$4:$AEE$125,MATCH('FY-(26-27)Q3'!$K$2:$L$2,'[2]DEC-2026'!$A$2:$EF$2,0),0),0)</f>
        <v>0</v>
      </c>
      <c r="M7" s="71">
        <f t="shared" si="0"/>
        <v>112840</v>
      </c>
      <c r="N7" s="165">
        <f t="shared" si="0"/>
        <v>0.37613333333333338</v>
      </c>
    </row>
    <row r="8" spans="1:14" x14ac:dyDescent="0.25">
      <c r="A8" s="141" t="s">
        <v>217</v>
      </c>
      <c r="B8" s="140" t="s">
        <v>133</v>
      </c>
      <c r="C8" s="140" t="s">
        <v>96</v>
      </c>
      <c r="D8" s="38" t="s">
        <v>116</v>
      </c>
      <c r="E8" s="38" t="s">
        <v>256</v>
      </c>
      <c r="F8" s="155">
        <v>1.5</v>
      </c>
      <c r="G8" s="152">
        <f>IFERROR(VLOOKUP($A$3:$A$116,'OCT-2026'!$A$4:$ADI$120,MATCH('FY-(26-27)Q3'!$G$2:$H$2,'OCT-2026'!$A$2:$DJ$2,0),0),0)</f>
        <v>266686</v>
      </c>
      <c r="H8" s="154">
        <f>IFERROR(VLOOKUP($A$3:$A$116,'OCT-2026'!$A$4:$ADI$120,MATCH('FY-(26-27)Q3'!$G$2:$H$2,'OCT-2026'!$A$2:$DJ$2,0),0),0)</f>
        <v>1.7779066666666665</v>
      </c>
      <c r="I8" s="152">
        <f>IFERROR(VLOOKUP($A$3:$A$116,'[1]NOV-2026'!$A$4:$ADL$124,MATCH('FY-(26-27)Q3'!$I$2:$J$2,'[1]NOV-2026'!$A$2:$DM$2,0),0),0)</f>
        <v>0</v>
      </c>
      <c r="J8" s="154">
        <f>IFERROR(VLOOKUP($A$3:$A$116,'[1]NOV-2026'!$A$4:$ADL$124,MATCH('FY-(26-27)Q3'!$I$2:$J$2,'[1]NOV-2026'!$A$2:$DM$2,0),0),0)</f>
        <v>0</v>
      </c>
      <c r="K8" s="152">
        <f>IFERROR(VLOOKUP($A$3:$A$116,'[2]DEC-2026'!$A$4:$AEE$125,MATCH('FY-(26-27)Q3'!$K$2:$L$2,'[2]DEC-2026'!$A$2:$EF$2,0),0),0)</f>
        <v>0</v>
      </c>
      <c r="L8" s="154">
        <f>IFERROR(VLOOKUP($A$3:$A$116,'[2]DEC-2026'!$A$4:$AEE$125,MATCH('FY-(26-27)Q3'!$K$2:$L$2,'[2]DEC-2026'!$A$2:$EF$2,0),0),0)</f>
        <v>0</v>
      </c>
      <c r="M8" s="71">
        <f t="shared" si="0"/>
        <v>266686</v>
      </c>
      <c r="N8" s="165">
        <f t="shared" si="0"/>
        <v>1.7779066666666665</v>
      </c>
    </row>
    <row r="9" spans="1:14" x14ac:dyDescent="0.25">
      <c r="A9" s="141" t="s">
        <v>313</v>
      </c>
      <c r="B9" s="140" t="s">
        <v>133</v>
      </c>
      <c r="C9" s="140" t="s">
        <v>294</v>
      </c>
      <c r="D9" s="38" t="s">
        <v>116</v>
      </c>
      <c r="E9" s="38" t="s">
        <v>256</v>
      </c>
      <c r="F9" s="155">
        <v>0.6</v>
      </c>
      <c r="G9" s="152">
        <f>IFERROR(VLOOKUP($A$3:$A$116,'OCT-2026'!$A$4:$ADI$120,MATCH('FY-(26-27)Q3'!$G$2:$H$2,'OCT-2026'!$A$2:$DJ$2,0),0),0)</f>
        <v>276227</v>
      </c>
      <c r="H9" s="154">
        <f>IFERROR(VLOOKUP($A$3:$A$116,'OCT-2026'!$A$4:$ADI$120,MATCH('FY-(26-27)Q3'!$G$2:$H$2,'OCT-2026'!$A$2:$DJ$2,0),0),0)</f>
        <v>4.6037833333333333</v>
      </c>
      <c r="I9" s="152">
        <f>IFERROR(VLOOKUP($A$3:$A$116,'[1]NOV-2026'!$A$4:$ADL$124,MATCH('FY-(26-27)Q3'!$I$2:$J$2,'[1]NOV-2026'!$A$2:$DM$2,0),0),0)</f>
        <v>0</v>
      </c>
      <c r="J9" s="154">
        <f>IFERROR(VLOOKUP($A$3:$A$116,'[1]NOV-2026'!$A$4:$ADL$124,MATCH('FY-(26-27)Q3'!$I$2:$J$2,'[1]NOV-2026'!$A$2:$DM$2,0),0),0)</f>
        <v>0</v>
      </c>
      <c r="K9" s="152">
        <f>IFERROR(VLOOKUP($A$3:$A$116,'[2]DEC-2026'!$A$4:$AEE$125,MATCH('FY-(26-27)Q3'!$K$2:$L$2,'[2]DEC-2026'!$A$2:$EF$2,0),0),0)</f>
        <v>0</v>
      </c>
      <c r="L9" s="154">
        <f>IFERROR(VLOOKUP($A$3:$A$116,'[2]DEC-2026'!$A$4:$AEE$125,MATCH('FY-(26-27)Q3'!$K$2:$L$2,'[2]DEC-2026'!$A$2:$EF$2,0),0),0)</f>
        <v>0</v>
      </c>
      <c r="M9" s="71">
        <f t="shared" si="0"/>
        <v>276227</v>
      </c>
      <c r="N9" s="165">
        <f t="shared" si="0"/>
        <v>4.6037833333333333</v>
      </c>
    </row>
    <row r="10" spans="1:14" x14ac:dyDescent="0.25">
      <c r="A10" s="142" t="s">
        <v>35</v>
      </c>
      <c r="B10" s="140" t="s">
        <v>55</v>
      </c>
      <c r="C10" s="140" t="s">
        <v>79</v>
      </c>
      <c r="D10" s="142" t="s">
        <v>112</v>
      </c>
      <c r="E10" s="142" t="s">
        <v>256</v>
      </c>
      <c r="F10" s="156">
        <v>15</v>
      </c>
      <c r="G10" s="152">
        <f>IFERROR(VLOOKUP($A$3:$A$116,'OCT-2026'!$A$4:$ADI$120,MATCH('FY-(26-27)Q3'!$G$2:$H$2,'OCT-2026'!$A$2:$DJ$2,0),0),0)</f>
        <v>-87379</v>
      </c>
      <c r="H10" s="154">
        <f>IFERROR(VLOOKUP($A$3:$A$116,'OCT-2026'!$A$4:$ADI$120,MATCH('FY-(26-27)Q3'!$G$2:$H$2,'OCT-2026'!$A$2:$DJ$2,0),0),0)</f>
        <v>-5.8252666666666661E-2</v>
      </c>
      <c r="I10" s="152">
        <f>IFERROR(VLOOKUP($A$3:$A$116,'[1]NOV-2026'!$A$4:$ADL$124,MATCH('FY-(26-27)Q3'!$I$2:$J$2,'[1]NOV-2026'!$A$2:$DM$2,0),0),0)</f>
        <v>0</v>
      </c>
      <c r="J10" s="154">
        <f>IFERROR(VLOOKUP($A$3:$A$116,'[1]NOV-2026'!$A$4:$ADL$124,MATCH('FY-(26-27)Q3'!$I$2:$J$2,'[1]NOV-2026'!$A$2:$DM$2,0),0),0)</f>
        <v>0</v>
      </c>
      <c r="K10" s="152">
        <f>IFERROR(VLOOKUP($A$3:$A$116,'[2]DEC-2026'!$A$4:$AEE$125,MATCH('FY-(26-27)Q3'!$K$2:$L$2,'[2]DEC-2026'!$A$2:$EF$2,0),0),0)</f>
        <v>0</v>
      </c>
      <c r="L10" s="154">
        <f>IFERROR(VLOOKUP($A$3:$A$116,'[2]DEC-2026'!$A$4:$AEE$125,MATCH('FY-(26-27)Q3'!$K$2:$L$2,'[2]DEC-2026'!$A$2:$EF$2,0),0),0)</f>
        <v>0</v>
      </c>
      <c r="M10" s="71">
        <f t="shared" si="0"/>
        <v>-87379</v>
      </c>
      <c r="N10" s="165">
        <f t="shared" si="0"/>
        <v>-5.8252666666666661E-2</v>
      </c>
    </row>
    <row r="11" spans="1:14" x14ac:dyDescent="0.25">
      <c r="A11" s="142" t="s">
        <v>137</v>
      </c>
      <c r="B11" s="140" t="s">
        <v>122</v>
      </c>
      <c r="C11" s="140" t="s">
        <v>136</v>
      </c>
      <c r="D11" s="142" t="s">
        <v>259</v>
      </c>
      <c r="E11" s="39" t="s">
        <v>256</v>
      </c>
      <c r="F11" s="156">
        <v>6</v>
      </c>
      <c r="G11" s="152">
        <f>IFERROR(VLOOKUP($A$3:$A$116,'OCT-2026'!$A$4:$ADI$120,MATCH('FY-(26-27)Q3'!$G$2:$H$2,'OCT-2026'!$A$2:$DJ$2,0),0),0)</f>
        <v>271199</v>
      </c>
      <c r="H11" s="154">
        <f>IFERROR(VLOOKUP($A$3:$A$116,'OCT-2026'!$A$4:$ADI$120,MATCH('FY-(26-27)Q3'!$G$2:$H$2,'OCT-2026'!$A$2:$DJ$2,0),0),0)</f>
        <v>0.45199833333333339</v>
      </c>
      <c r="I11" s="152">
        <f>IFERROR(VLOOKUP($A$3:$A$116,'[1]NOV-2026'!$A$4:$ADL$124,MATCH('FY-(26-27)Q3'!$I$2:$J$2,'[1]NOV-2026'!$A$2:$DM$2,0),0),0)</f>
        <v>0</v>
      </c>
      <c r="J11" s="154">
        <f>IFERROR(VLOOKUP($A$3:$A$116,'[1]NOV-2026'!$A$4:$ADL$124,MATCH('FY-(26-27)Q3'!$I$2:$J$2,'[1]NOV-2026'!$A$2:$DM$2,0),0),0)</f>
        <v>0</v>
      </c>
      <c r="K11" s="152">
        <f>IFERROR(VLOOKUP($A$3:$A$116,'[2]DEC-2026'!$A$4:$AEE$125,MATCH('FY-(26-27)Q3'!$K$2:$L$2,'[2]DEC-2026'!$A$2:$EF$2,0),0),0)</f>
        <v>0</v>
      </c>
      <c r="L11" s="154">
        <f>IFERROR(VLOOKUP($A$3:$A$116,'[2]DEC-2026'!$A$4:$AEE$125,MATCH('FY-(26-27)Q3'!$K$2:$L$2,'[2]DEC-2026'!$A$2:$EF$2,0),0),0)</f>
        <v>0</v>
      </c>
      <c r="M11" s="71">
        <f t="shared" si="0"/>
        <v>271199</v>
      </c>
      <c r="N11" s="165">
        <f t="shared" si="0"/>
        <v>0.45199833333333339</v>
      </c>
    </row>
    <row r="12" spans="1:14" x14ac:dyDescent="0.25">
      <c r="A12" s="142" t="s">
        <v>42</v>
      </c>
      <c r="B12" s="140" t="s">
        <v>230</v>
      </c>
      <c r="C12" s="140" t="s">
        <v>85</v>
      </c>
      <c r="D12" s="142" t="s">
        <v>107</v>
      </c>
      <c r="E12" s="142" t="s">
        <v>107</v>
      </c>
      <c r="F12" s="156">
        <v>1</v>
      </c>
      <c r="G12" s="152">
        <f>IFERROR(VLOOKUP($A$3:$A$116,'OCT-2026'!$A$4:$ADI$120,MATCH('FY-(26-27)Q3'!$G$2:$H$2,'OCT-2026'!$A$2:$DJ$2,0),0),0)</f>
        <v>-12948</v>
      </c>
      <c r="H12" s="154">
        <f>IFERROR(VLOOKUP($A$3:$A$116,'OCT-2026'!$A$4:$ADI$120,MATCH('FY-(26-27)Q3'!$G$2:$H$2,'OCT-2026'!$A$2:$DJ$2,0),0),0)</f>
        <v>-0.12948000000000001</v>
      </c>
      <c r="I12" s="152">
        <f>IFERROR(VLOOKUP($A$3:$A$116,'[1]NOV-2026'!$A$4:$ADL$124,MATCH('FY-(26-27)Q3'!$I$2:$J$2,'[1]NOV-2026'!$A$2:$DM$2,0),0),0)</f>
        <v>0</v>
      </c>
      <c r="J12" s="154">
        <f>IFERROR(VLOOKUP($A$3:$A$116,'[1]NOV-2026'!$A$4:$ADL$124,MATCH('FY-(26-27)Q3'!$I$2:$J$2,'[1]NOV-2026'!$A$2:$DM$2,0),0),0)</f>
        <v>0</v>
      </c>
      <c r="K12" s="152">
        <f>IFERROR(VLOOKUP($A$3:$A$116,'[2]DEC-2026'!$A$4:$AEE$125,MATCH('FY-(26-27)Q3'!$K$2:$L$2,'[2]DEC-2026'!$A$2:$EF$2,0),0),0)</f>
        <v>0</v>
      </c>
      <c r="L12" s="154">
        <f>IFERROR(VLOOKUP($A$3:$A$116,'[2]DEC-2026'!$A$4:$AEE$125,MATCH('FY-(26-27)Q3'!$K$2:$L$2,'[2]DEC-2026'!$A$2:$EF$2,0),0),0)</f>
        <v>0</v>
      </c>
      <c r="M12" s="71">
        <f t="shared" si="0"/>
        <v>-12948</v>
      </c>
      <c r="N12" s="165">
        <f t="shared" si="0"/>
        <v>-0.12948000000000001</v>
      </c>
    </row>
    <row r="13" spans="1:14" x14ac:dyDescent="0.25">
      <c r="A13" s="141" t="s">
        <v>212</v>
      </c>
      <c r="B13" s="140" t="s">
        <v>230</v>
      </c>
      <c r="C13" s="141" t="s">
        <v>12</v>
      </c>
      <c r="D13" s="37" t="s">
        <v>39</v>
      </c>
      <c r="E13" s="37" t="s">
        <v>256</v>
      </c>
      <c r="F13" s="155">
        <v>1</v>
      </c>
      <c r="G13" s="152">
        <f>IFERROR(VLOOKUP($A$3:$A$116,'OCT-2026'!$A$4:$ADI$120,MATCH('FY-(26-27)Q3'!$G$2:$H$2,'OCT-2026'!$A$2:$DJ$2,0),0),0)</f>
        <v>90992</v>
      </c>
      <c r="H13" s="154">
        <f>IFERROR(VLOOKUP($A$3:$A$116,'OCT-2026'!$A$4:$ADI$120,MATCH('FY-(26-27)Q3'!$G$2:$H$2,'OCT-2026'!$A$2:$DJ$2,0),0),0)</f>
        <v>0.36396800000000007</v>
      </c>
      <c r="I13" s="152">
        <f>IFERROR(VLOOKUP($A$3:$A$116,'[1]NOV-2026'!$A$4:$ADL$124,MATCH('FY-(26-27)Q3'!$I$2:$J$2,'[1]NOV-2026'!$A$2:$DM$2,0),0),0)</f>
        <v>0</v>
      </c>
      <c r="J13" s="154">
        <f>IFERROR(VLOOKUP($A$3:$A$116,'[1]NOV-2026'!$A$4:$ADL$124,MATCH('FY-(26-27)Q3'!$I$2:$J$2,'[1]NOV-2026'!$A$2:$DM$2,0),0),0)</f>
        <v>0</v>
      </c>
      <c r="K13" s="152">
        <f>IFERROR(VLOOKUP($A$3:$A$116,'[2]DEC-2026'!$A$4:$AEE$125,MATCH('FY-(26-27)Q3'!$K$2:$L$2,'[2]DEC-2026'!$A$2:$EF$2,0),0),0)</f>
        <v>0</v>
      </c>
      <c r="L13" s="154">
        <f>IFERROR(VLOOKUP($A$3:$A$116,'[2]DEC-2026'!$A$4:$AEE$125,MATCH('FY-(26-27)Q3'!$K$2:$L$2,'[2]DEC-2026'!$A$2:$EF$2,0),0),0)</f>
        <v>0</v>
      </c>
      <c r="M13" s="71">
        <f t="shared" si="0"/>
        <v>90992</v>
      </c>
      <c r="N13" s="165">
        <f t="shared" si="0"/>
        <v>0.36396800000000007</v>
      </c>
    </row>
    <row r="14" spans="1:14" x14ac:dyDescent="0.25">
      <c r="A14" s="141" t="s">
        <v>43</v>
      </c>
      <c r="B14" s="140" t="s">
        <v>84</v>
      </c>
      <c r="C14" s="140" t="s">
        <v>85</v>
      </c>
      <c r="D14" s="37" t="s">
        <v>107</v>
      </c>
      <c r="E14" s="37" t="s">
        <v>107</v>
      </c>
      <c r="F14" s="156">
        <v>1</v>
      </c>
      <c r="G14" s="152">
        <f>IFERROR(VLOOKUP($A$3:$A$116,'OCT-2026'!$A$4:$ADI$120,MATCH('FY-(26-27)Q3'!$G$2:$H$2,'OCT-2026'!$A$2:$DJ$2,0),0),0)</f>
        <v>-13503</v>
      </c>
      <c r="H14" s="154">
        <f>IFERROR(VLOOKUP($A$3:$A$116,'OCT-2026'!$A$4:$ADI$120,MATCH('FY-(26-27)Q3'!$G$2:$H$2,'OCT-2026'!$A$2:$DJ$2,0),0),0)</f>
        <v>-0.13503000000000001</v>
      </c>
      <c r="I14" s="152">
        <f>IFERROR(VLOOKUP($A$3:$A$116,'[1]NOV-2026'!$A$4:$ADL$124,MATCH('FY-(26-27)Q3'!$I$2:$J$2,'[1]NOV-2026'!$A$2:$DM$2,0),0),0)</f>
        <v>0</v>
      </c>
      <c r="J14" s="154">
        <f>IFERROR(VLOOKUP($A$3:$A$116,'[1]NOV-2026'!$A$4:$ADL$124,MATCH('FY-(26-27)Q3'!$I$2:$J$2,'[1]NOV-2026'!$A$2:$DM$2,0),0),0)</f>
        <v>0</v>
      </c>
      <c r="K14" s="152">
        <f>IFERROR(VLOOKUP($A$3:$A$116,'[2]DEC-2026'!$A$4:$AEE$125,MATCH('FY-(26-27)Q3'!$K$2:$L$2,'[2]DEC-2026'!$A$2:$EF$2,0),0),0)</f>
        <v>0</v>
      </c>
      <c r="L14" s="154">
        <f>IFERROR(VLOOKUP($A$3:$A$116,'[2]DEC-2026'!$A$4:$AEE$125,MATCH('FY-(26-27)Q3'!$K$2:$L$2,'[2]DEC-2026'!$A$2:$EF$2,0),0),0)</f>
        <v>0</v>
      </c>
      <c r="M14" s="71">
        <f t="shared" si="0"/>
        <v>-13503</v>
      </c>
      <c r="N14" s="165">
        <f t="shared" si="0"/>
        <v>-0.13503000000000001</v>
      </c>
    </row>
    <row r="15" spans="1:14" x14ac:dyDescent="0.25">
      <c r="A15" s="141" t="s">
        <v>51</v>
      </c>
      <c r="B15" s="140" t="s">
        <v>171</v>
      </c>
      <c r="C15" s="141" t="s">
        <v>289</v>
      </c>
      <c r="D15" s="141" t="s">
        <v>39</v>
      </c>
      <c r="E15" s="141" t="s">
        <v>256</v>
      </c>
      <c r="F15" s="155">
        <v>0.2</v>
      </c>
      <c r="G15" s="152">
        <f>IFERROR(VLOOKUP($A$3:$A$116,'OCT-2026'!$A$4:$ADI$120,MATCH('FY-(26-27)Q3'!$G$2:$H$2,'OCT-2026'!$A$2:$DJ$2,0),0),0)</f>
        <v>121318</v>
      </c>
      <c r="H15" s="154">
        <f>IFERROR(VLOOKUP($A$3:$A$116,'OCT-2026'!$A$4:$ADI$120,MATCH('FY-(26-27)Q3'!$G$2:$H$2,'OCT-2026'!$A$2:$DJ$2,0),0),0)</f>
        <v>0.55144545454545446</v>
      </c>
      <c r="I15" s="152">
        <f>IFERROR(VLOOKUP($A$3:$A$116,'[1]NOV-2026'!$A$4:$ADL$124,MATCH('FY-(26-27)Q3'!$I$2:$J$2,'[1]NOV-2026'!$A$2:$DM$2,0),0),0)</f>
        <v>0</v>
      </c>
      <c r="J15" s="154">
        <f>IFERROR(VLOOKUP($A$3:$A$116,'[1]NOV-2026'!$A$4:$ADL$124,MATCH('FY-(26-27)Q3'!$I$2:$J$2,'[1]NOV-2026'!$A$2:$DM$2,0),0),0)</f>
        <v>0</v>
      </c>
      <c r="K15" s="152">
        <f>IFERROR(VLOOKUP($A$3:$A$116,'[2]DEC-2026'!$A$4:$AEE$125,MATCH('FY-(26-27)Q3'!$K$2:$L$2,'[2]DEC-2026'!$A$2:$EF$2,0),0),0)</f>
        <v>0</v>
      </c>
      <c r="L15" s="154">
        <f>IFERROR(VLOOKUP($A$3:$A$116,'[2]DEC-2026'!$A$4:$AEE$125,MATCH('FY-(26-27)Q3'!$K$2:$L$2,'[2]DEC-2026'!$A$2:$EF$2,0),0),0)</f>
        <v>0</v>
      </c>
      <c r="M15" s="71">
        <f t="shared" si="0"/>
        <v>121318</v>
      </c>
      <c r="N15" s="165">
        <f t="shared" si="0"/>
        <v>0.55144545454545446</v>
      </c>
    </row>
    <row r="16" spans="1:14" x14ac:dyDescent="0.25">
      <c r="A16" s="141" t="s">
        <v>24</v>
      </c>
      <c r="B16" s="140" t="s">
        <v>73</v>
      </c>
      <c r="C16" s="140" t="s">
        <v>58</v>
      </c>
      <c r="D16" s="37" t="s">
        <v>20</v>
      </c>
      <c r="E16" s="37" t="s">
        <v>256</v>
      </c>
      <c r="F16" s="155">
        <v>2.5</v>
      </c>
      <c r="G16" s="152">
        <f>IFERROR(VLOOKUP($A$3:$A$116,'OCT-2026'!$A$4:$ADI$120,MATCH('FY-(26-27)Q3'!$G$2:$H$2,'OCT-2026'!$A$2:$DJ$2,0),0),0)</f>
        <v>586068</v>
      </c>
      <c r="H16" s="154">
        <f>IFERROR(VLOOKUP($A$3:$A$116,'OCT-2026'!$A$4:$ADI$120,MATCH('FY-(26-27)Q3'!$G$2:$H$2,'OCT-2026'!$A$2:$DJ$2,0),0),0)</f>
        <v>2.3442720000000001</v>
      </c>
      <c r="I16" s="152">
        <f>IFERROR(VLOOKUP($A$3:$A$116,'[1]NOV-2026'!$A$4:$ADL$124,MATCH('FY-(26-27)Q3'!$I$2:$J$2,'[1]NOV-2026'!$A$2:$DM$2,0),0),0)</f>
        <v>0</v>
      </c>
      <c r="J16" s="154">
        <f>IFERROR(VLOOKUP($A$3:$A$116,'[1]NOV-2026'!$A$4:$ADL$124,MATCH('FY-(26-27)Q3'!$I$2:$J$2,'[1]NOV-2026'!$A$2:$DM$2,0),0),0)</f>
        <v>0</v>
      </c>
      <c r="K16" s="152">
        <f>IFERROR(VLOOKUP($A$3:$A$116,'[2]DEC-2026'!$A$4:$AEE$125,MATCH('FY-(26-27)Q3'!$K$2:$L$2,'[2]DEC-2026'!$A$2:$EF$2,0),0),0)</f>
        <v>0</v>
      </c>
      <c r="L16" s="154">
        <f>IFERROR(VLOOKUP($A$3:$A$116,'[2]DEC-2026'!$A$4:$AEE$125,MATCH('FY-(26-27)Q3'!$K$2:$L$2,'[2]DEC-2026'!$A$2:$EF$2,0),0),0)</f>
        <v>0</v>
      </c>
      <c r="M16" s="71">
        <f t="shared" si="0"/>
        <v>586068</v>
      </c>
      <c r="N16" s="165">
        <f t="shared" si="0"/>
        <v>2.3442720000000001</v>
      </c>
    </row>
    <row r="17" spans="1:15" x14ac:dyDescent="0.25">
      <c r="A17" s="141" t="s">
        <v>23</v>
      </c>
      <c r="B17" s="140" t="s">
        <v>74</v>
      </c>
      <c r="C17" s="140" t="s">
        <v>59</v>
      </c>
      <c r="D17" s="37" t="s">
        <v>3</v>
      </c>
      <c r="E17" s="37" t="s">
        <v>256</v>
      </c>
      <c r="F17" s="155">
        <v>4</v>
      </c>
      <c r="G17" s="152">
        <f>IFERROR(VLOOKUP($A$3:$A$116,'OCT-2026'!$A$4:$ADI$120,MATCH('FY-(26-27)Q3'!$G$2:$H$2,'OCT-2026'!$A$2:$DJ$2,0),0),0)</f>
        <v>566424</v>
      </c>
      <c r="H17" s="154">
        <f>IFERROR(VLOOKUP($A$3:$A$116,'OCT-2026'!$A$4:$ADI$120,MATCH('FY-(26-27)Q3'!$G$2:$H$2,'OCT-2026'!$A$2:$DJ$2,0),0),0)</f>
        <v>1.4160600000000001</v>
      </c>
      <c r="I17" s="152">
        <f>IFERROR(VLOOKUP($A$3:$A$116,'[1]NOV-2026'!$A$4:$ADL$124,MATCH('FY-(26-27)Q3'!$I$2:$J$2,'[1]NOV-2026'!$A$2:$DM$2,0),0),0)</f>
        <v>0</v>
      </c>
      <c r="J17" s="154">
        <f>IFERROR(VLOOKUP($A$3:$A$116,'[1]NOV-2026'!$A$4:$ADL$124,MATCH('FY-(26-27)Q3'!$I$2:$J$2,'[1]NOV-2026'!$A$2:$DM$2,0),0),0)</f>
        <v>0</v>
      </c>
      <c r="K17" s="152">
        <f>IFERROR(VLOOKUP($A$3:$A$116,'[2]DEC-2026'!$A$4:$AEE$125,MATCH('FY-(26-27)Q3'!$K$2:$L$2,'[2]DEC-2026'!$A$2:$EF$2,0),0),0)</f>
        <v>0</v>
      </c>
      <c r="L17" s="154">
        <f>IFERROR(VLOOKUP($A$3:$A$116,'[2]DEC-2026'!$A$4:$AEE$125,MATCH('FY-(26-27)Q3'!$K$2:$L$2,'[2]DEC-2026'!$A$2:$EF$2,0),0),0)</f>
        <v>0</v>
      </c>
      <c r="M17" s="71">
        <f t="shared" si="0"/>
        <v>566424</v>
      </c>
      <c r="N17" s="165">
        <f t="shared" si="0"/>
        <v>1.4160600000000001</v>
      </c>
    </row>
    <row r="18" spans="1:15" x14ac:dyDescent="0.25">
      <c r="A18" s="141" t="s">
        <v>110</v>
      </c>
      <c r="B18" s="140" t="s">
        <v>111</v>
      </c>
      <c r="C18" s="140" t="s">
        <v>109</v>
      </c>
      <c r="D18" s="37" t="s">
        <v>87</v>
      </c>
      <c r="E18" s="37" t="s">
        <v>256</v>
      </c>
      <c r="F18" s="155">
        <v>0.25</v>
      </c>
      <c r="G18" s="152">
        <f>IFERROR(VLOOKUP($A$3:$A$116,'OCT-2026'!$A$4:$ADI$120,MATCH('FY-(26-27)Q3'!$G$2:$H$2,'OCT-2026'!$A$2:$DJ$2,0),0),0)</f>
        <v>-150688</v>
      </c>
      <c r="H18" s="154">
        <f>IFERROR(VLOOKUP($A$3:$A$116,'OCT-2026'!$A$4:$ADI$120,MATCH('FY-(26-27)Q3'!$G$2:$H$2,'OCT-2026'!$A$2:$DJ$2,0),0),0)</f>
        <v>-1.3698909090909093</v>
      </c>
      <c r="I18" s="152">
        <f>IFERROR(VLOOKUP($A$3:$A$116,'[1]NOV-2026'!$A$4:$ADL$124,MATCH('FY-(26-27)Q3'!$I$2:$J$2,'[1]NOV-2026'!$A$2:$DM$2,0),0),0)</f>
        <v>0</v>
      </c>
      <c r="J18" s="154">
        <f>IFERROR(VLOOKUP($A$3:$A$116,'[1]NOV-2026'!$A$4:$ADL$124,MATCH('FY-(26-27)Q3'!$I$2:$J$2,'[1]NOV-2026'!$A$2:$DM$2,0),0),0)</f>
        <v>0</v>
      </c>
      <c r="K18" s="152">
        <f>IFERROR(VLOOKUP($A$3:$A$116,'[2]DEC-2026'!$A$4:$AEE$125,MATCH('FY-(26-27)Q3'!$K$2:$L$2,'[2]DEC-2026'!$A$2:$EF$2,0),0),0)</f>
        <v>0</v>
      </c>
      <c r="L18" s="154">
        <f>IFERROR(VLOOKUP($A$3:$A$116,'[2]DEC-2026'!$A$4:$AEE$125,MATCH('FY-(26-27)Q3'!$K$2:$L$2,'[2]DEC-2026'!$A$2:$EF$2,0),0),0)</f>
        <v>0</v>
      </c>
      <c r="M18" s="71">
        <f t="shared" si="0"/>
        <v>-150688</v>
      </c>
      <c r="N18" s="165">
        <f t="shared" si="0"/>
        <v>-1.3698909090909093</v>
      </c>
    </row>
    <row r="19" spans="1:15" x14ac:dyDescent="0.25">
      <c r="A19" s="141" t="s">
        <v>319</v>
      </c>
      <c r="B19" s="140" t="s">
        <v>321</v>
      </c>
      <c r="C19" s="140" t="s">
        <v>283</v>
      </c>
      <c r="D19" s="141" t="s">
        <v>152</v>
      </c>
      <c r="E19" s="141" t="s">
        <v>256</v>
      </c>
      <c r="F19" s="155">
        <v>0.25</v>
      </c>
      <c r="G19" s="152">
        <f>IFERROR(VLOOKUP($A$3:$A$116,'OCT-2026'!$A$4:$ADI$120,MATCH('FY-(26-27)Q3'!$G$2:$H$2,'OCT-2026'!$A$2:$DJ$2,0),0),0)</f>
        <v>-110832</v>
      </c>
      <c r="H19" s="154">
        <f>IFERROR(VLOOKUP($A$3:$A$116,'OCT-2026'!$A$4:$ADI$120,MATCH('FY-(26-27)Q3'!$G$2:$H$2,'OCT-2026'!$A$2:$DJ$2,0),0),0)</f>
        <v>-4.4332799999999999</v>
      </c>
      <c r="I19" s="152">
        <f>IFERROR(VLOOKUP($A$3:$A$116,'[1]NOV-2026'!$A$4:$ADL$124,MATCH('FY-(26-27)Q3'!$I$2:$J$2,'[1]NOV-2026'!$A$2:$DM$2,0),0),0)</f>
        <v>0</v>
      </c>
      <c r="J19" s="154">
        <f>IFERROR(VLOOKUP($A$3:$A$116,'[1]NOV-2026'!$A$4:$ADL$124,MATCH('FY-(26-27)Q3'!$I$2:$J$2,'[1]NOV-2026'!$A$2:$DM$2,0),0),0)</f>
        <v>0</v>
      </c>
      <c r="K19" s="152">
        <f>IFERROR(VLOOKUP($A$3:$A$116,'[2]DEC-2026'!$A$4:$AEE$125,MATCH('FY-(26-27)Q3'!$K$2:$L$2,'[2]DEC-2026'!$A$2:$EF$2,0),0),0)</f>
        <v>0</v>
      </c>
      <c r="L19" s="154">
        <f>IFERROR(VLOOKUP($A$3:$A$116,'[2]DEC-2026'!$A$4:$AEE$125,MATCH('FY-(26-27)Q3'!$K$2:$L$2,'[2]DEC-2026'!$A$2:$EF$2,0),0),0)</f>
        <v>0</v>
      </c>
      <c r="M19" s="71">
        <f t="shared" si="0"/>
        <v>-110832</v>
      </c>
      <c r="N19" s="165">
        <f t="shared" si="0"/>
        <v>-4.4332799999999999</v>
      </c>
    </row>
    <row r="20" spans="1:15" x14ac:dyDescent="0.25">
      <c r="A20" s="141" t="s">
        <v>316</v>
      </c>
      <c r="B20" s="140" t="s">
        <v>282</v>
      </c>
      <c r="C20" s="140" t="s">
        <v>38</v>
      </c>
      <c r="D20" s="141" t="s">
        <v>152</v>
      </c>
      <c r="E20" s="141" t="s">
        <v>256</v>
      </c>
      <c r="F20" s="155">
        <v>2</v>
      </c>
      <c r="G20" s="152">
        <f>IFERROR(VLOOKUP($A$3:$A$116,'OCT-2026'!$A$4:$ADI$120,MATCH('FY-(26-27)Q3'!$G$2:$H$2,'OCT-2026'!$A$2:$DJ$2,0),0),0)</f>
        <v>0</v>
      </c>
      <c r="H20" s="154">
        <f>IFERROR(VLOOKUP($A$3:$A$116,'OCT-2026'!$A$4:$ADI$120,MATCH('FY-(26-27)Q3'!$G$2:$H$2,'OCT-2026'!$A$2:$DJ$2,0),0),0)</f>
        <v>0</v>
      </c>
      <c r="I20" s="152">
        <f>IFERROR(VLOOKUP($A$3:$A$116,'[1]NOV-2026'!$A$4:$ADL$124,MATCH('FY-(26-27)Q3'!$I$2:$J$2,'[1]NOV-2026'!$A$2:$DM$2,0),0),0)</f>
        <v>0</v>
      </c>
      <c r="J20" s="154">
        <f>IFERROR(VLOOKUP($A$3:$A$116,'[1]NOV-2026'!$A$4:$ADL$124,MATCH('FY-(26-27)Q3'!$I$2:$J$2,'[1]NOV-2026'!$A$2:$DM$2,0),0),0)</f>
        <v>0</v>
      </c>
      <c r="K20" s="152">
        <f>IFERROR(VLOOKUP($A$3:$A$116,'[2]DEC-2026'!$A$4:$AEE$125,MATCH('FY-(26-27)Q3'!$K$2:$L$2,'[2]DEC-2026'!$A$2:$EF$2,0),0),0)</f>
        <v>0</v>
      </c>
      <c r="L20" s="154">
        <f>IFERROR(VLOOKUP($A$3:$A$116,'[2]DEC-2026'!$A$4:$AEE$125,MATCH('FY-(26-27)Q3'!$K$2:$L$2,'[2]DEC-2026'!$A$2:$EF$2,0),0),0)</f>
        <v>0</v>
      </c>
      <c r="M20" s="71">
        <f t="shared" si="0"/>
        <v>0</v>
      </c>
      <c r="N20" s="165">
        <f t="shared" si="0"/>
        <v>0</v>
      </c>
    </row>
    <row r="21" spans="1:15" x14ac:dyDescent="0.25">
      <c r="A21" s="141" t="s">
        <v>165</v>
      </c>
      <c r="B21" s="140" t="s">
        <v>303</v>
      </c>
      <c r="C21" s="140" t="s">
        <v>223</v>
      </c>
      <c r="D21" s="141" t="s">
        <v>261</v>
      </c>
      <c r="E21" s="37" t="s">
        <v>256</v>
      </c>
      <c r="F21" s="155">
        <v>0.5</v>
      </c>
      <c r="G21" s="152">
        <f>IFERROR(VLOOKUP($A$3:$A$116,'OCT-2026'!$A$4:$ADI$120,MATCH('FY-(26-27)Q3'!$G$2:$H$2,'OCT-2026'!$A$2:$DJ$2,0),0),0)</f>
        <v>752036</v>
      </c>
      <c r="H21" s="154">
        <f>IFERROR(VLOOKUP($A$3:$A$116,'OCT-2026'!$A$4:$ADI$120,MATCH('FY-(26-27)Q3'!$G$2:$H$2,'OCT-2026'!$A$2:$DJ$2,0),0),0)</f>
        <v>5.0135733333333325</v>
      </c>
      <c r="I21" s="152">
        <f>IFERROR(VLOOKUP($A$3:$A$116,'[1]NOV-2026'!$A$4:$ADL$124,MATCH('FY-(26-27)Q3'!$I$2:$J$2,'[1]NOV-2026'!$A$2:$DM$2,0),0),0)</f>
        <v>0</v>
      </c>
      <c r="J21" s="154">
        <f>IFERROR(VLOOKUP($A$3:$A$116,'[1]NOV-2026'!$A$4:$ADL$124,MATCH('FY-(26-27)Q3'!$I$2:$J$2,'[1]NOV-2026'!$A$2:$DM$2,0),0),0)</f>
        <v>0</v>
      </c>
      <c r="K21" s="152">
        <f>IFERROR(VLOOKUP($A$3:$A$116,'[2]DEC-2026'!$A$4:$AEE$125,MATCH('FY-(26-27)Q3'!$K$2:$L$2,'[2]DEC-2026'!$A$2:$EF$2,0),0),0)</f>
        <v>0</v>
      </c>
      <c r="L21" s="154">
        <f>IFERROR(VLOOKUP($A$3:$A$116,'[2]DEC-2026'!$A$4:$AEE$125,MATCH('FY-(26-27)Q3'!$K$2:$L$2,'[2]DEC-2026'!$A$2:$EF$2,0),0),0)</f>
        <v>0</v>
      </c>
      <c r="M21" s="71">
        <f t="shared" si="0"/>
        <v>752036</v>
      </c>
      <c r="N21" s="165">
        <f t="shared" si="0"/>
        <v>5.0135733333333325</v>
      </c>
    </row>
    <row r="22" spans="1:15" x14ac:dyDescent="0.25">
      <c r="A22" s="141" t="s">
        <v>32</v>
      </c>
      <c r="B22" s="140" t="s">
        <v>63</v>
      </c>
      <c r="C22" s="141" t="s">
        <v>21</v>
      </c>
      <c r="D22" s="37" t="s">
        <v>40</v>
      </c>
      <c r="E22" s="37" t="s">
        <v>256</v>
      </c>
      <c r="F22" s="155">
        <v>1.1000000000000001</v>
      </c>
      <c r="G22" s="152">
        <f>IFERROR(VLOOKUP($A$3:$A$116,'OCT-2026'!$A$4:$ADI$120,MATCH('FY-(26-27)Q3'!$G$2:$H$2,'OCT-2026'!$A$2:$DJ$2,0),0),0)</f>
        <v>-27265</v>
      </c>
      <c r="H22" s="154">
        <f>IFERROR(VLOOKUP($A$3:$A$116,'OCT-2026'!$A$4:$ADI$120,MATCH('FY-(26-27)Q3'!$G$2:$H$2,'OCT-2026'!$A$2:$DJ$2,0),0),0)</f>
        <v>-0.24786363636363637</v>
      </c>
      <c r="I22" s="152">
        <f>IFERROR(VLOOKUP($A$3:$A$116,'[1]NOV-2026'!$A$4:$ADL$124,MATCH('FY-(26-27)Q3'!$I$2:$J$2,'[1]NOV-2026'!$A$2:$DM$2,0),0),0)</f>
        <v>0</v>
      </c>
      <c r="J22" s="154">
        <f>IFERROR(VLOOKUP($A$3:$A$116,'[1]NOV-2026'!$A$4:$ADL$124,MATCH('FY-(26-27)Q3'!$I$2:$J$2,'[1]NOV-2026'!$A$2:$DM$2,0),0),0)</f>
        <v>0</v>
      </c>
      <c r="K22" s="152">
        <f>IFERROR(VLOOKUP($A$3:$A$116,'[2]DEC-2026'!$A$4:$AEE$125,MATCH('FY-(26-27)Q3'!$K$2:$L$2,'[2]DEC-2026'!$A$2:$EF$2,0),0),0)</f>
        <v>0</v>
      </c>
      <c r="L22" s="154">
        <f>IFERROR(VLOOKUP($A$3:$A$116,'[2]DEC-2026'!$A$4:$AEE$125,MATCH('FY-(26-27)Q3'!$K$2:$L$2,'[2]DEC-2026'!$A$2:$EF$2,0),0),0)</f>
        <v>0</v>
      </c>
      <c r="M22" s="71">
        <f t="shared" si="0"/>
        <v>-27265</v>
      </c>
      <c r="N22" s="165">
        <f t="shared" si="0"/>
        <v>-0.24786363636363637</v>
      </c>
    </row>
    <row r="23" spans="1:15" x14ac:dyDescent="0.25">
      <c r="A23" s="141" t="s">
        <v>97</v>
      </c>
      <c r="B23" s="140" t="s">
        <v>68</v>
      </c>
      <c r="C23" s="140" t="s">
        <v>206</v>
      </c>
      <c r="D23" s="37" t="s">
        <v>107</v>
      </c>
      <c r="E23" s="37" t="s">
        <v>107</v>
      </c>
      <c r="F23" s="155">
        <v>2.2999999999999998</v>
      </c>
      <c r="G23" s="152">
        <f>IFERROR(VLOOKUP($A$3:$A$116,'OCT-2026'!$A$4:$ADI$120,MATCH('FY-(26-27)Q3'!$G$2:$H$2,'OCT-2026'!$A$2:$DJ$2,0),0),0)</f>
        <v>-566479</v>
      </c>
      <c r="H23" s="154">
        <f>IFERROR(VLOOKUP($A$3:$A$116,'OCT-2026'!$A$4:$ADI$120,MATCH('FY-(26-27)Q3'!$G$2:$H$2,'OCT-2026'!$A$2:$DJ$2,0),0),0)</f>
        <v>-2.4629521739130436</v>
      </c>
      <c r="I23" s="152">
        <f>IFERROR(VLOOKUP($A$3:$A$116,'[1]NOV-2026'!$A$4:$ADL$124,MATCH('FY-(26-27)Q3'!$I$2:$J$2,'[1]NOV-2026'!$A$2:$DM$2,0),0),0)</f>
        <v>0</v>
      </c>
      <c r="J23" s="154">
        <f>IFERROR(VLOOKUP($A$3:$A$116,'[1]NOV-2026'!$A$4:$ADL$124,MATCH('FY-(26-27)Q3'!$I$2:$J$2,'[1]NOV-2026'!$A$2:$DM$2,0),0),0)</f>
        <v>0</v>
      </c>
      <c r="K23" s="152">
        <f>IFERROR(VLOOKUP($A$3:$A$116,'[2]DEC-2026'!$A$4:$AEE$125,MATCH('FY-(26-27)Q3'!$K$2:$L$2,'[2]DEC-2026'!$A$2:$EF$2,0),0),0)</f>
        <v>0</v>
      </c>
      <c r="L23" s="154">
        <f>IFERROR(VLOOKUP($A$3:$A$116,'[2]DEC-2026'!$A$4:$AEE$125,MATCH('FY-(26-27)Q3'!$K$2:$L$2,'[2]DEC-2026'!$A$2:$EF$2,0),0),0)</f>
        <v>0</v>
      </c>
      <c r="M23" s="71">
        <f t="shared" si="0"/>
        <v>-566479</v>
      </c>
      <c r="N23" s="165">
        <f t="shared" si="0"/>
        <v>-2.4629521739130436</v>
      </c>
    </row>
    <row r="24" spans="1:15" x14ac:dyDescent="0.25">
      <c r="A24" s="141" t="s">
        <v>335</v>
      </c>
      <c r="B24" s="140" t="s">
        <v>68</v>
      </c>
      <c r="C24" s="140" t="s">
        <v>342</v>
      </c>
      <c r="D24" s="141" t="s">
        <v>334</v>
      </c>
      <c r="E24" s="141"/>
      <c r="F24" s="155">
        <v>0.2</v>
      </c>
      <c r="G24" s="152">
        <f>IFERROR(VLOOKUP($A$3:$A$116,'OCT-2026'!$A$4:$ADI$120,MATCH('FY-(26-27)Q3'!$G$2:$H$2,'OCT-2026'!$A$2:$DJ$2,0),0),0)</f>
        <v>188991</v>
      </c>
      <c r="H24" s="154">
        <f>IFERROR(VLOOKUP($A$3:$A$116,'OCT-2026'!$A$4:$ADI$120,MATCH('FY-(26-27)Q3'!$G$2:$H$2,'OCT-2026'!$A$2:$DJ$2,0),0),0)</f>
        <v>9.4495500000000003</v>
      </c>
      <c r="I24" s="152">
        <f>IFERROR(VLOOKUP($A$3:$A$116,'[1]NOV-2026'!$A$4:$ADL$124,MATCH('FY-(26-27)Q3'!$I$2:$J$2,'[1]NOV-2026'!$A$2:$DM$2,0),0),0)</f>
        <v>0</v>
      </c>
      <c r="J24" s="154">
        <f>IFERROR(VLOOKUP($A$3:$A$116,'[1]NOV-2026'!$A$4:$ADL$124,MATCH('FY-(26-27)Q3'!$I$2:$J$2,'[1]NOV-2026'!$A$2:$DM$2,0),0),0)</f>
        <v>0</v>
      </c>
      <c r="K24" s="152">
        <f>IFERROR(VLOOKUP($A$3:$A$116,'[2]DEC-2026'!$A$4:$AEE$125,MATCH('FY-(26-27)Q3'!$K$2:$L$2,'[2]DEC-2026'!$A$2:$EF$2,0),0),0)</f>
        <v>0</v>
      </c>
      <c r="L24" s="154">
        <f>IFERROR(VLOOKUP($A$3:$A$116,'[2]DEC-2026'!$A$4:$AEE$125,MATCH('FY-(26-27)Q3'!$K$2:$L$2,'[2]DEC-2026'!$A$2:$EF$2,0),0),0)</f>
        <v>0</v>
      </c>
      <c r="M24" s="71">
        <f t="shared" ref="M24" si="1">G24+I24+K24</f>
        <v>188991</v>
      </c>
      <c r="N24" s="165">
        <f t="shared" ref="N24" si="2">H24+J24+L24</f>
        <v>9.4495500000000003</v>
      </c>
    </row>
    <row r="25" spans="1:15" x14ac:dyDescent="0.25">
      <c r="A25" s="141" t="s">
        <v>302</v>
      </c>
      <c r="B25" s="140" t="s">
        <v>297</v>
      </c>
      <c r="C25" s="140" t="s">
        <v>298</v>
      </c>
      <c r="D25" s="141"/>
      <c r="E25" s="141" t="s">
        <v>256</v>
      </c>
      <c r="F25" s="155">
        <v>0.2</v>
      </c>
      <c r="G25" s="152">
        <f>IFERROR(VLOOKUP($A$3:$A$116,'OCT-2026'!$A$4:$ADI$120,MATCH('FY-(26-27)Q3'!$G$2:$H$2,'OCT-2026'!$A$2:$DJ$2,0),0),0)</f>
        <v>-31804</v>
      </c>
      <c r="H25" s="154">
        <f>IFERROR(VLOOKUP($A$3:$A$116,'OCT-2026'!$A$4:$ADI$120,MATCH('FY-(26-27)Q3'!$G$2:$H$2,'OCT-2026'!$A$2:$DJ$2,0),0),0)</f>
        <v>-0.63607999999999998</v>
      </c>
      <c r="I25" s="152">
        <f>IFERROR(VLOOKUP($A$3:$A$116,'[1]NOV-2026'!$A$4:$ADL$124,MATCH('FY-(26-27)Q3'!$I$2:$J$2,'[1]NOV-2026'!$A$2:$DM$2,0),0),0)</f>
        <v>0</v>
      </c>
      <c r="J25" s="154">
        <f>IFERROR(VLOOKUP($A$3:$A$116,'[1]NOV-2026'!$A$4:$ADL$124,MATCH('FY-(26-27)Q3'!$I$2:$J$2,'[1]NOV-2026'!$A$2:$DM$2,0),0),0)</f>
        <v>0</v>
      </c>
      <c r="K25" s="152">
        <f>IFERROR(VLOOKUP($A$3:$A$116,'[2]DEC-2026'!$A$4:$AEE$125,MATCH('FY-(26-27)Q3'!$K$2:$L$2,'[2]DEC-2026'!$A$2:$EF$2,0),0),0)</f>
        <v>0</v>
      </c>
      <c r="L25" s="154">
        <f>IFERROR(VLOOKUP($A$3:$A$116,'[2]DEC-2026'!$A$4:$AEE$125,MATCH('FY-(26-27)Q3'!$K$2:$L$2,'[2]DEC-2026'!$A$2:$EF$2,0),0),0)</f>
        <v>0</v>
      </c>
      <c r="M25" s="71">
        <f t="shared" si="0"/>
        <v>-31804</v>
      </c>
      <c r="N25" s="165">
        <f t="shared" si="0"/>
        <v>-0.63607999999999998</v>
      </c>
    </row>
    <row r="26" spans="1:15" x14ac:dyDescent="0.25">
      <c r="A26" s="141" t="s">
        <v>29</v>
      </c>
      <c r="B26" s="140" t="s">
        <v>22</v>
      </c>
      <c r="C26" s="140" t="s">
        <v>151</v>
      </c>
      <c r="D26" s="37" t="s">
        <v>5</v>
      </c>
      <c r="E26" s="37" t="s">
        <v>256</v>
      </c>
      <c r="F26" s="155">
        <v>5</v>
      </c>
      <c r="G26" s="152">
        <f>IFERROR(VLOOKUP($A$3:$A$116,'OCT-2026'!$A$4:$ADI$120,MATCH('FY-(26-27)Q3'!$G$2:$H$2,'OCT-2026'!$A$2:$DJ$2,0),0),0)</f>
        <v>1808800</v>
      </c>
      <c r="H26" s="154">
        <f>IFERROR(VLOOKUP($A$3:$A$116,'OCT-2026'!$A$4:$ADI$120,MATCH('FY-(26-27)Q3'!$G$2:$H$2,'OCT-2026'!$A$2:$DJ$2,0),0),0)</f>
        <v>3.6175999999999999</v>
      </c>
      <c r="I26" s="152">
        <f>IFERROR(VLOOKUP($A$3:$A$116,'[1]NOV-2026'!$A$4:$ADL$124,MATCH('FY-(26-27)Q3'!$I$2:$J$2,'[1]NOV-2026'!$A$2:$DM$2,0),0),0)</f>
        <v>0</v>
      </c>
      <c r="J26" s="154">
        <f>IFERROR(VLOOKUP($A$3:$A$116,'[1]NOV-2026'!$A$4:$ADL$124,MATCH('FY-(26-27)Q3'!$I$2:$J$2,'[1]NOV-2026'!$A$2:$DM$2,0),0),0)</f>
        <v>0</v>
      </c>
      <c r="K26" s="152">
        <f>IFERROR(VLOOKUP($A$3:$A$116,'[2]DEC-2026'!$A$4:$AEE$125,MATCH('FY-(26-27)Q3'!$K$2:$L$2,'[2]DEC-2026'!$A$2:$EF$2,0),0),0)</f>
        <v>0</v>
      </c>
      <c r="L26" s="154">
        <f>IFERROR(VLOOKUP($A$3:$A$116,'[2]DEC-2026'!$A$4:$AEE$125,MATCH('FY-(26-27)Q3'!$K$2:$L$2,'[2]DEC-2026'!$A$2:$EF$2,0),0),0)</f>
        <v>0</v>
      </c>
      <c r="M26" s="71">
        <f t="shared" si="0"/>
        <v>1808800</v>
      </c>
      <c r="N26" s="165">
        <f t="shared" si="0"/>
        <v>3.6175999999999999</v>
      </c>
    </row>
    <row r="27" spans="1:15" x14ac:dyDescent="0.25">
      <c r="A27" s="141" t="s">
        <v>28</v>
      </c>
      <c r="B27" s="140" t="s">
        <v>247</v>
      </c>
      <c r="C27" s="140" t="s">
        <v>121</v>
      </c>
      <c r="D27" s="37" t="s">
        <v>91</v>
      </c>
      <c r="E27" s="37" t="s">
        <v>256</v>
      </c>
      <c r="F27" s="155">
        <v>10</v>
      </c>
      <c r="G27" s="152">
        <f>IFERROR(VLOOKUP($A$3:$A$116,'OCT-2026'!$A$4:$ADI$120,MATCH('FY-(26-27)Q3'!$G$2:$H$2,'OCT-2026'!$A$2:$DJ$2,0),0),0)</f>
        <v>225891</v>
      </c>
      <c r="H27" s="154">
        <f>IFERROR(VLOOKUP($A$3:$A$116,'OCT-2026'!$A$4:$ADI$120,MATCH('FY-(26-27)Q3'!$G$2:$H$2,'OCT-2026'!$A$2:$DJ$2,0),0),0)</f>
        <v>0.22589100000000001</v>
      </c>
      <c r="I27" s="152">
        <f>IFERROR(VLOOKUP($A$3:$A$116,'[1]NOV-2026'!$A$4:$ADL$124,MATCH('FY-(26-27)Q3'!$I$2:$J$2,'[1]NOV-2026'!$A$2:$DM$2,0),0),0)</f>
        <v>0</v>
      </c>
      <c r="J27" s="154">
        <f>IFERROR(VLOOKUP($A$3:$A$116,'[1]NOV-2026'!$A$4:$ADL$124,MATCH('FY-(26-27)Q3'!$I$2:$J$2,'[1]NOV-2026'!$A$2:$DM$2,0),0),0)</f>
        <v>0</v>
      </c>
      <c r="K27" s="152">
        <f>IFERROR(VLOOKUP($A$3:$A$116,'[2]DEC-2026'!$A$4:$AEE$125,MATCH('FY-(26-27)Q3'!$K$2:$L$2,'[2]DEC-2026'!$A$2:$EF$2,0),0),0)</f>
        <v>0</v>
      </c>
      <c r="L27" s="154">
        <f>IFERROR(VLOOKUP($A$3:$A$116,'[2]DEC-2026'!$A$4:$AEE$125,MATCH('FY-(26-27)Q3'!$K$2:$L$2,'[2]DEC-2026'!$A$2:$EF$2,0),0),0)</f>
        <v>0</v>
      </c>
      <c r="M27" s="71">
        <f t="shared" si="0"/>
        <v>225891</v>
      </c>
      <c r="N27" s="165">
        <f t="shared" si="0"/>
        <v>0.22589100000000001</v>
      </c>
      <c r="O27" s="130"/>
    </row>
    <row r="28" spans="1:15" x14ac:dyDescent="0.25">
      <c r="A28" s="141" t="s">
        <v>332</v>
      </c>
      <c r="B28" s="140" t="s">
        <v>333</v>
      </c>
      <c r="C28" s="140" t="s">
        <v>231</v>
      </c>
      <c r="D28" s="42"/>
      <c r="E28" s="42" t="s">
        <v>256</v>
      </c>
      <c r="F28" s="200">
        <v>1</v>
      </c>
      <c r="G28" s="152">
        <f>IFERROR(VLOOKUP($A$3:$A$116,'OCT-2026'!$A$4:$ADI$120,MATCH('FY-(26-27)Q3'!$G$2:$H$2,'OCT-2026'!$A$2:$DJ$2,0),0),0)</f>
        <v>28186</v>
      </c>
      <c r="H28" s="154">
        <f>IFERROR(VLOOKUP($A$3:$A$116,'OCT-2026'!$A$4:$ADI$120,MATCH('FY-(26-27)Q3'!$G$2:$H$2,'OCT-2026'!$A$2:$DJ$2,0),0),0)</f>
        <v>0.56372</v>
      </c>
      <c r="I28" s="152">
        <f>IFERROR(VLOOKUP($A$3:$A$116,'[1]NOV-2026'!$A$4:$ADL$124,MATCH('FY-(26-27)Q3'!$I$2:$J$2,'[1]NOV-2026'!$A$2:$DM$2,0),0),0)</f>
        <v>0</v>
      </c>
      <c r="J28" s="154">
        <f>IFERROR(VLOOKUP($A$3:$A$116,'[1]NOV-2026'!$A$4:$ADL$124,MATCH('FY-(26-27)Q3'!$I$2:$J$2,'[1]NOV-2026'!$A$2:$DM$2,0),0),0)</f>
        <v>0</v>
      </c>
      <c r="K28" s="152">
        <f>IFERROR(VLOOKUP($A$3:$A$116,'[2]DEC-2026'!$A$4:$AEE$125,MATCH('FY-(26-27)Q3'!$K$2:$L$2,'[2]DEC-2026'!$A$2:$EF$2,0),0),0)</f>
        <v>0</v>
      </c>
      <c r="L28" s="154">
        <f>IFERROR(VLOOKUP($A$3:$A$116,'[2]DEC-2026'!$A$4:$AEE$125,MATCH('FY-(26-27)Q3'!$K$2:$L$2,'[2]DEC-2026'!$A$2:$EF$2,0),0),0)</f>
        <v>0</v>
      </c>
      <c r="M28" s="71">
        <f t="shared" ref="M28" si="3">G28+I28+K28</f>
        <v>28186</v>
      </c>
      <c r="N28" s="165">
        <f t="shared" ref="N28" si="4">H28+J28+L28</f>
        <v>0.56372</v>
      </c>
    </row>
    <row r="29" spans="1:15" x14ac:dyDescent="0.25">
      <c r="A29" s="141" t="s">
        <v>65</v>
      </c>
      <c r="B29" s="140" t="s">
        <v>64</v>
      </c>
      <c r="C29" s="140" t="s">
        <v>7</v>
      </c>
      <c r="D29" s="140" t="s">
        <v>64</v>
      </c>
      <c r="E29" s="37" t="s">
        <v>256</v>
      </c>
      <c r="F29" s="155">
        <v>5</v>
      </c>
      <c r="G29" s="152">
        <f>IFERROR(VLOOKUP($A$3:$A$116,'OCT-2026'!$A$4:$ADI$120,MATCH('FY-(26-27)Q3'!$G$2:$H$2,'OCT-2026'!$A$2:$DJ$2,0),0),0)</f>
        <v>841174</v>
      </c>
      <c r="H29" s="154">
        <f>IFERROR(VLOOKUP($A$3:$A$116,'OCT-2026'!$A$4:$ADI$120,MATCH('FY-(26-27)Q3'!$G$2:$H$2,'OCT-2026'!$A$2:$DJ$2,0),0),0)</f>
        <v>1.682348</v>
      </c>
      <c r="I29" s="152">
        <f>IFERROR(VLOOKUP($A$3:$A$116,'[1]NOV-2026'!$A$4:$ADL$124,MATCH('FY-(26-27)Q3'!$I$2:$J$2,'[1]NOV-2026'!$A$2:$DM$2,0),0),0)</f>
        <v>0</v>
      </c>
      <c r="J29" s="154">
        <f>IFERROR(VLOOKUP($A$3:$A$116,'[1]NOV-2026'!$A$4:$ADL$124,MATCH('FY-(26-27)Q3'!$I$2:$J$2,'[1]NOV-2026'!$A$2:$DM$2,0),0),0)</f>
        <v>0</v>
      </c>
      <c r="K29" s="152">
        <f>IFERROR(VLOOKUP($A$3:$A$116,'[2]DEC-2026'!$A$4:$AEE$125,MATCH('FY-(26-27)Q3'!$K$2:$L$2,'[2]DEC-2026'!$A$2:$EF$2,0),0),0)</f>
        <v>0</v>
      </c>
      <c r="L29" s="154">
        <f>IFERROR(VLOOKUP($A$3:$A$116,'[2]DEC-2026'!$A$4:$AEE$125,MATCH('FY-(26-27)Q3'!$K$2:$L$2,'[2]DEC-2026'!$A$2:$EF$2,0),0),0)</f>
        <v>0</v>
      </c>
      <c r="M29" s="71">
        <f t="shared" si="0"/>
        <v>841174</v>
      </c>
      <c r="N29" s="165">
        <f t="shared" si="0"/>
        <v>1.682348</v>
      </c>
    </row>
    <row r="30" spans="1:15" x14ac:dyDescent="0.25">
      <c r="A30" s="140" t="s">
        <v>34</v>
      </c>
      <c r="B30" s="142" t="s">
        <v>18</v>
      </c>
      <c r="C30" s="140" t="s">
        <v>10</v>
      </c>
      <c r="D30" s="142" t="s">
        <v>18</v>
      </c>
      <c r="E30" s="37" t="s">
        <v>256</v>
      </c>
      <c r="F30" s="118">
        <v>5</v>
      </c>
      <c r="G30" s="152">
        <f>IFERROR(VLOOKUP($A$3:$A$116,'OCT-2026'!$A$4:$ADI$120,MATCH('FY-(26-27)Q3'!$G$2:$H$2,'OCT-2026'!$A$2:$DJ$2,0),0),0)</f>
        <v>140133</v>
      </c>
      <c r="H30" s="154">
        <f>IFERROR(VLOOKUP($A$3:$A$116,'OCT-2026'!$A$4:$ADI$120,MATCH('FY-(26-27)Q3'!$G$2:$H$2,'OCT-2026'!$A$2:$DJ$2,0),0),0)</f>
        <v>0.28026600000000002</v>
      </c>
      <c r="I30" s="152">
        <f>IFERROR(VLOOKUP($A$3:$A$116,'[1]NOV-2026'!$A$4:$ADL$124,MATCH('FY-(26-27)Q3'!$I$2:$J$2,'[1]NOV-2026'!$A$2:$DM$2,0),0),0)</f>
        <v>0</v>
      </c>
      <c r="J30" s="154">
        <f>IFERROR(VLOOKUP($A$3:$A$116,'[1]NOV-2026'!$A$4:$ADL$124,MATCH('FY-(26-27)Q3'!$I$2:$J$2,'[1]NOV-2026'!$A$2:$DM$2,0),0),0)</f>
        <v>0</v>
      </c>
      <c r="K30" s="152">
        <f>IFERROR(VLOOKUP($A$3:$A$116,'[2]DEC-2026'!$A$4:$AEE$125,MATCH('FY-(26-27)Q3'!$K$2:$L$2,'[2]DEC-2026'!$A$2:$EF$2,0),0),0)</f>
        <v>0</v>
      </c>
      <c r="L30" s="154">
        <f>IFERROR(VLOOKUP($A$3:$A$116,'[2]DEC-2026'!$A$4:$AEE$125,MATCH('FY-(26-27)Q3'!$K$2:$L$2,'[2]DEC-2026'!$A$2:$EF$2,0),0),0)</f>
        <v>0</v>
      </c>
      <c r="M30" s="71">
        <f t="shared" si="0"/>
        <v>140133</v>
      </c>
      <c r="N30" s="165">
        <f t="shared" si="0"/>
        <v>0.28026600000000002</v>
      </c>
    </row>
    <row r="31" spans="1:15" x14ac:dyDescent="0.25">
      <c r="A31" s="140" t="s">
        <v>131</v>
      </c>
      <c r="B31" s="142" t="s">
        <v>130</v>
      </c>
      <c r="C31" s="140" t="s">
        <v>16</v>
      </c>
      <c r="D31" s="141" t="s">
        <v>262</v>
      </c>
      <c r="E31" s="37" t="s">
        <v>256</v>
      </c>
      <c r="F31" s="118">
        <v>0.5</v>
      </c>
      <c r="G31" s="152">
        <f>IFERROR(VLOOKUP($A$3:$A$116,'OCT-2026'!$A$4:$ADI$120,MATCH('FY-(26-27)Q3'!$G$2:$H$2,'OCT-2026'!$A$2:$DJ$2,0),0),0)</f>
        <v>43166</v>
      </c>
      <c r="H31" s="154">
        <f>IFERROR(VLOOKUP($A$3:$A$116,'OCT-2026'!$A$4:$ADI$120,MATCH('FY-(26-27)Q3'!$G$2:$H$2,'OCT-2026'!$A$2:$DJ$2,0),0),0)</f>
        <v>0.86331999999999998</v>
      </c>
      <c r="I31" s="152">
        <f>IFERROR(VLOOKUP($A$3:$A$116,'[1]NOV-2026'!$A$4:$ADL$124,MATCH('FY-(26-27)Q3'!$I$2:$J$2,'[1]NOV-2026'!$A$2:$DM$2,0),0),0)</f>
        <v>0</v>
      </c>
      <c r="J31" s="154">
        <f>IFERROR(VLOOKUP($A$3:$A$116,'[1]NOV-2026'!$A$4:$ADL$124,MATCH('FY-(26-27)Q3'!$I$2:$J$2,'[1]NOV-2026'!$A$2:$DM$2,0),0),0)</f>
        <v>0</v>
      </c>
      <c r="K31" s="152">
        <f>IFERROR(VLOOKUP($A$3:$A$116,'[2]DEC-2026'!$A$4:$AEE$125,MATCH('FY-(26-27)Q3'!$K$2:$L$2,'[2]DEC-2026'!$A$2:$EF$2,0),0),0)</f>
        <v>0</v>
      </c>
      <c r="L31" s="154">
        <f>IFERROR(VLOOKUP($A$3:$A$116,'[2]DEC-2026'!$A$4:$AEE$125,MATCH('FY-(26-27)Q3'!$K$2:$L$2,'[2]DEC-2026'!$A$2:$EF$2,0),0),0)</f>
        <v>0</v>
      </c>
      <c r="M31" s="71">
        <f t="shared" si="0"/>
        <v>43166</v>
      </c>
      <c r="N31" s="165">
        <f t="shared" si="0"/>
        <v>0.86331999999999998</v>
      </c>
    </row>
    <row r="32" spans="1:15" x14ac:dyDescent="0.25">
      <c r="A32" s="43" t="s">
        <v>67</v>
      </c>
      <c r="B32" s="140" t="s">
        <v>76</v>
      </c>
      <c r="C32" s="140" t="s">
        <v>60</v>
      </c>
      <c r="D32" s="37" t="s">
        <v>4</v>
      </c>
      <c r="E32" s="37" t="s">
        <v>256</v>
      </c>
      <c r="F32" s="155">
        <v>0.4</v>
      </c>
      <c r="G32" s="152">
        <f>IFERROR(VLOOKUP($A$3:$A$116,'OCT-2026'!$A$4:$ADI$120,MATCH('FY-(26-27)Q3'!$G$2:$H$2,'OCT-2026'!$A$2:$DJ$2,0),0),0)</f>
        <v>344037</v>
      </c>
      <c r="H32" s="154">
        <f>IFERROR(VLOOKUP($A$3:$A$116,'OCT-2026'!$A$4:$ADI$120,MATCH('FY-(26-27)Q3'!$G$2:$H$2,'OCT-2026'!$A$2:$DJ$2,0),0),0)</f>
        <v>8.6009250000000002</v>
      </c>
      <c r="I32" s="152">
        <f>IFERROR(VLOOKUP($A$3:$A$116,'[1]NOV-2026'!$A$4:$ADL$124,MATCH('FY-(26-27)Q3'!$I$2:$J$2,'[1]NOV-2026'!$A$2:$DM$2,0),0),0)</f>
        <v>0</v>
      </c>
      <c r="J32" s="154">
        <f>IFERROR(VLOOKUP($A$3:$A$116,'[1]NOV-2026'!$A$4:$ADL$124,MATCH('FY-(26-27)Q3'!$I$2:$J$2,'[1]NOV-2026'!$A$2:$DM$2,0),0),0)</f>
        <v>0</v>
      </c>
      <c r="K32" s="152">
        <f>IFERROR(VLOOKUP($A$3:$A$116,'[2]DEC-2026'!$A$4:$AEE$125,MATCH('FY-(26-27)Q3'!$K$2:$L$2,'[2]DEC-2026'!$A$2:$EF$2,0),0),0)</f>
        <v>0</v>
      </c>
      <c r="L32" s="154">
        <f>IFERROR(VLOOKUP($A$3:$A$116,'[2]DEC-2026'!$A$4:$AEE$125,MATCH('FY-(26-27)Q3'!$K$2:$L$2,'[2]DEC-2026'!$A$2:$EF$2,0),0),0)</f>
        <v>0</v>
      </c>
      <c r="M32" s="71">
        <f t="shared" si="0"/>
        <v>344037</v>
      </c>
      <c r="N32" s="165">
        <f t="shared" si="0"/>
        <v>8.6009250000000002</v>
      </c>
    </row>
    <row r="33" spans="1:14" x14ac:dyDescent="0.25">
      <c r="A33" s="141" t="s">
        <v>31</v>
      </c>
      <c r="B33" s="142" t="s">
        <v>153</v>
      </c>
      <c r="C33" s="141" t="s">
        <v>222</v>
      </c>
      <c r="D33" s="141" t="s">
        <v>263</v>
      </c>
      <c r="E33" s="40" t="s">
        <v>256</v>
      </c>
      <c r="F33" s="155">
        <v>4</v>
      </c>
      <c r="G33" s="152">
        <f>IFERROR(VLOOKUP($A$3:$A$116,'OCT-2026'!$A$4:$ADI$120,MATCH('FY-(26-27)Q3'!$G$2:$H$2,'OCT-2026'!$A$2:$DJ$2,0),0),0)</f>
        <v>311005</v>
      </c>
      <c r="H33" s="154">
        <f>IFERROR(VLOOKUP($A$3:$A$116,'OCT-2026'!$A$4:$ADI$120,MATCH('FY-(26-27)Q3'!$G$2:$H$2,'OCT-2026'!$A$2:$DJ$2,0),0),0)</f>
        <v>0.77751250000000005</v>
      </c>
      <c r="I33" s="152">
        <f>IFERROR(VLOOKUP($A$3:$A$116,'[1]NOV-2026'!$A$4:$ADL$124,MATCH('FY-(26-27)Q3'!$I$2:$J$2,'[1]NOV-2026'!$A$2:$DM$2,0),0),0)</f>
        <v>0</v>
      </c>
      <c r="J33" s="154">
        <f>IFERROR(VLOOKUP($A$3:$A$116,'[1]NOV-2026'!$A$4:$ADL$124,MATCH('FY-(26-27)Q3'!$I$2:$J$2,'[1]NOV-2026'!$A$2:$DM$2,0),0),0)</f>
        <v>0</v>
      </c>
      <c r="K33" s="152">
        <f>IFERROR(VLOOKUP($A$3:$A$116,'[2]DEC-2026'!$A$4:$AEE$125,MATCH('FY-(26-27)Q3'!$K$2:$L$2,'[2]DEC-2026'!$A$2:$EF$2,0),0),0)</f>
        <v>0</v>
      </c>
      <c r="L33" s="154">
        <f>IFERROR(VLOOKUP($A$3:$A$116,'[2]DEC-2026'!$A$4:$AEE$125,MATCH('FY-(26-27)Q3'!$K$2:$L$2,'[2]DEC-2026'!$A$2:$EF$2,0),0),0)</f>
        <v>0</v>
      </c>
      <c r="M33" s="71">
        <f t="shared" si="0"/>
        <v>311005</v>
      </c>
      <c r="N33" s="165">
        <f t="shared" si="0"/>
        <v>0.77751250000000005</v>
      </c>
    </row>
    <row r="34" spans="1:14" x14ac:dyDescent="0.25">
      <c r="A34" s="141" t="s">
        <v>104</v>
      </c>
      <c r="B34" s="142" t="s">
        <v>105</v>
      </c>
      <c r="C34" s="141" t="s">
        <v>315</v>
      </c>
      <c r="D34" s="141" t="s">
        <v>106</v>
      </c>
      <c r="E34" s="40" t="s">
        <v>106</v>
      </c>
      <c r="F34" s="155">
        <v>1</v>
      </c>
      <c r="G34" s="152">
        <f>IFERROR(VLOOKUP($A$3:$A$116,'OCT-2026'!$A$4:$ADI$120,MATCH('FY-(26-27)Q3'!$G$2:$H$2,'OCT-2026'!$A$2:$DJ$2,0),0),0)</f>
        <v>-36765</v>
      </c>
      <c r="H34" s="154">
        <f>IFERROR(VLOOKUP($A$3:$A$116,'OCT-2026'!$A$4:$ADI$120,MATCH('FY-(26-27)Q3'!$G$2:$H$2,'OCT-2026'!$A$2:$DJ$2,0),0),0)</f>
        <v>-0.36764999999999998</v>
      </c>
      <c r="I34" s="152">
        <f>IFERROR(VLOOKUP($A$3:$A$116,'[1]NOV-2026'!$A$4:$ADL$124,MATCH('FY-(26-27)Q3'!$I$2:$J$2,'[1]NOV-2026'!$A$2:$DM$2,0),0),0)</f>
        <v>0</v>
      </c>
      <c r="J34" s="154">
        <f>IFERROR(VLOOKUP($A$3:$A$116,'[1]NOV-2026'!$A$4:$ADL$124,MATCH('FY-(26-27)Q3'!$I$2:$J$2,'[1]NOV-2026'!$A$2:$DM$2,0),0),0)</f>
        <v>0</v>
      </c>
      <c r="K34" s="152">
        <f>IFERROR(VLOOKUP($A$3:$A$116,'[2]DEC-2026'!$A$4:$AEE$125,MATCH('FY-(26-27)Q3'!$K$2:$L$2,'[2]DEC-2026'!$A$2:$EF$2,0),0),0)</f>
        <v>0</v>
      </c>
      <c r="L34" s="154">
        <f>IFERROR(VLOOKUP($A$3:$A$116,'[2]DEC-2026'!$A$4:$AEE$125,MATCH('FY-(26-27)Q3'!$K$2:$L$2,'[2]DEC-2026'!$A$2:$EF$2,0),0),0)</f>
        <v>0</v>
      </c>
      <c r="M34" s="71">
        <f t="shared" si="0"/>
        <v>-36765</v>
      </c>
      <c r="N34" s="165">
        <f t="shared" si="0"/>
        <v>-0.36764999999999998</v>
      </c>
    </row>
    <row r="35" spans="1:14" x14ac:dyDescent="0.25">
      <c r="A35" s="141" t="s">
        <v>314</v>
      </c>
      <c r="B35" s="142" t="s">
        <v>105</v>
      </c>
      <c r="C35" s="141" t="s">
        <v>15</v>
      </c>
      <c r="D35" s="141" t="s">
        <v>256</v>
      </c>
      <c r="E35" s="141" t="s">
        <v>256</v>
      </c>
      <c r="F35" s="155"/>
      <c r="G35" s="152">
        <f>IFERROR(VLOOKUP($A$3:$A$116,'OCT-2026'!$A$4:$ADI$120,MATCH('FY-(26-27)Q3'!$G$2:$H$2,'OCT-2026'!$A$2:$DJ$2,0),0),0)</f>
        <v>0</v>
      </c>
      <c r="H35" s="154">
        <f>IFERROR(VLOOKUP($A$3:$A$116,'OCT-2026'!$A$4:$ADI$120,MATCH('FY-(26-27)Q3'!$G$2:$H$2,'OCT-2026'!$A$2:$DJ$2,0),0),0)</f>
        <v>0</v>
      </c>
      <c r="I35" s="152">
        <f>IFERROR(VLOOKUP($A$3:$A$116,'[1]NOV-2026'!$A$4:$ADL$124,MATCH('FY-(26-27)Q3'!$I$2:$J$2,'[1]NOV-2026'!$A$2:$DM$2,0),0),0)</f>
        <v>0</v>
      </c>
      <c r="J35" s="154">
        <f>IFERROR(VLOOKUP($A$3:$A$116,'[1]NOV-2026'!$A$4:$ADL$124,MATCH('FY-(26-27)Q3'!$I$2:$J$2,'[1]NOV-2026'!$A$2:$DM$2,0),0),0)</f>
        <v>0</v>
      </c>
      <c r="K35" s="152">
        <f>IFERROR(VLOOKUP($A$3:$A$116,'[2]DEC-2026'!$A$4:$AEE$125,MATCH('FY-(26-27)Q3'!$K$2:$L$2,'[2]DEC-2026'!$A$2:$EF$2,0),0),0)</f>
        <v>0</v>
      </c>
      <c r="L35" s="154">
        <f>IFERROR(VLOOKUP($A$3:$A$116,'[2]DEC-2026'!$A$4:$AEE$125,MATCH('FY-(26-27)Q3'!$K$2:$L$2,'[2]DEC-2026'!$A$2:$EF$2,0),0),0)</f>
        <v>0</v>
      </c>
      <c r="M35" s="71">
        <f t="shared" si="0"/>
        <v>0</v>
      </c>
      <c r="N35" s="165">
        <f t="shared" si="0"/>
        <v>0</v>
      </c>
    </row>
    <row r="36" spans="1:14" x14ac:dyDescent="0.25">
      <c r="A36" s="141" t="s">
        <v>229</v>
      </c>
      <c r="B36" s="142" t="s">
        <v>105</v>
      </c>
      <c r="C36" s="141" t="s">
        <v>218</v>
      </c>
      <c r="D36" s="141" t="s">
        <v>269</v>
      </c>
      <c r="E36" s="141" t="s">
        <v>256</v>
      </c>
      <c r="F36" s="155">
        <v>0.5</v>
      </c>
      <c r="G36" s="152">
        <f>IFERROR(VLOOKUP($A$3:$A$116,'OCT-2026'!$A$4:$ADI$120,MATCH('FY-(26-27)Q3'!$G$2:$H$2,'OCT-2026'!$A$2:$DJ$2,0),0),0)</f>
        <v>-42052</v>
      </c>
      <c r="H36" s="154">
        <f>IFERROR(VLOOKUP($A$3:$A$116,'OCT-2026'!$A$4:$ADI$120,MATCH('FY-(26-27)Q3'!$G$2:$H$2,'OCT-2026'!$A$2:$DJ$2,0),0),0)</f>
        <v>-0.84104000000000001</v>
      </c>
      <c r="I36" s="152">
        <f>IFERROR(VLOOKUP($A$3:$A$116,'[1]NOV-2026'!$A$4:$ADL$124,MATCH('FY-(26-27)Q3'!$I$2:$J$2,'[1]NOV-2026'!$A$2:$DM$2,0),0),0)</f>
        <v>0</v>
      </c>
      <c r="J36" s="154">
        <f>IFERROR(VLOOKUP($A$3:$A$116,'[1]NOV-2026'!$A$4:$ADL$124,MATCH('FY-(26-27)Q3'!$I$2:$J$2,'[1]NOV-2026'!$A$2:$DM$2,0),0),0)</f>
        <v>0</v>
      </c>
      <c r="K36" s="152">
        <f>IFERROR(VLOOKUP($A$3:$A$116,'[2]DEC-2026'!$A$4:$AEE$125,MATCH('FY-(26-27)Q3'!$K$2:$L$2,'[2]DEC-2026'!$A$2:$EF$2,0),0),0)</f>
        <v>0</v>
      </c>
      <c r="L36" s="154">
        <f>IFERROR(VLOOKUP($A$3:$A$116,'[2]DEC-2026'!$A$4:$AEE$125,MATCH('FY-(26-27)Q3'!$K$2:$L$2,'[2]DEC-2026'!$A$2:$EF$2,0),0),0)</f>
        <v>0</v>
      </c>
      <c r="M36" s="71">
        <f t="shared" si="0"/>
        <v>-42052</v>
      </c>
      <c r="N36" s="165">
        <f t="shared" si="0"/>
        <v>-0.84104000000000001</v>
      </c>
    </row>
    <row r="37" spans="1:14" x14ac:dyDescent="0.25">
      <c r="A37" s="141" t="s">
        <v>45</v>
      </c>
      <c r="B37" s="142" t="s">
        <v>98</v>
      </c>
      <c r="C37" s="141" t="s">
        <v>220</v>
      </c>
      <c r="D37" s="141" t="s">
        <v>265</v>
      </c>
      <c r="E37" s="60" t="s">
        <v>256</v>
      </c>
      <c r="F37" s="155">
        <v>1</v>
      </c>
      <c r="G37" s="152">
        <f>IFERROR(VLOOKUP($A$3:$A$116,'OCT-2026'!$A$4:$ADI$120,MATCH('FY-(26-27)Q3'!$G$2:$H$2,'OCT-2026'!$A$2:$DJ$2,0),0),0)</f>
        <v>422121</v>
      </c>
      <c r="H37" s="154">
        <f>IFERROR(VLOOKUP($A$3:$A$116,'OCT-2026'!$A$4:$ADI$120,MATCH('FY-(26-27)Q3'!$G$2:$H$2,'OCT-2026'!$A$2:$DJ$2,0),0),0)</f>
        <v>1.40707</v>
      </c>
      <c r="I37" s="152">
        <f>IFERROR(VLOOKUP($A$3:$A$116,'[1]NOV-2026'!$A$4:$ADL$124,MATCH('FY-(26-27)Q3'!$I$2:$J$2,'[1]NOV-2026'!$A$2:$DM$2,0),0),0)</f>
        <v>0</v>
      </c>
      <c r="J37" s="154">
        <f>IFERROR(VLOOKUP($A$3:$A$116,'[1]NOV-2026'!$A$4:$ADL$124,MATCH('FY-(26-27)Q3'!$I$2:$J$2,'[1]NOV-2026'!$A$2:$DM$2,0),0),0)</f>
        <v>0</v>
      </c>
      <c r="K37" s="152">
        <f>IFERROR(VLOOKUP($A$3:$A$116,'[2]DEC-2026'!$A$4:$AEE$125,MATCH('FY-(26-27)Q3'!$K$2:$L$2,'[2]DEC-2026'!$A$2:$EF$2,0),0),0)</f>
        <v>0</v>
      </c>
      <c r="L37" s="154">
        <f>IFERROR(VLOOKUP($A$3:$A$116,'[2]DEC-2026'!$A$4:$AEE$125,MATCH('FY-(26-27)Q3'!$K$2:$L$2,'[2]DEC-2026'!$A$2:$EF$2,0),0),0)</f>
        <v>0</v>
      </c>
      <c r="M37" s="71">
        <f t="shared" si="0"/>
        <v>422121</v>
      </c>
      <c r="N37" s="165">
        <f t="shared" si="0"/>
        <v>1.40707</v>
      </c>
    </row>
    <row r="38" spans="1:14" x14ac:dyDescent="0.25">
      <c r="A38" s="141" t="s">
        <v>292</v>
      </c>
      <c r="B38" s="142" t="s">
        <v>291</v>
      </c>
      <c r="C38" s="141" t="s">
        <v>293</v>
      </c>
      <c r="D38" s="141"/>
      <c r="E38" s="141" t="s">
        <v>256</v>
      </c>
      <c r="F38" s="155">
        <v>0.1</v>
      </c>
      <c r="G38" s="152">
        <f>IFERROR(VLOOKUP($A$3:$A$116,'OCT-2026'!$A$4:$ADI$120,MATCH('FY-(26-27)Q3'!$G$2:$H$2,'OCT-2026'!$A$2:$DJ$2,0),0),0)</f>
        <v>-191569</v>
      </c>
      <c r="H38" s="154">
        <f>IFERROR(VLOOKUP($A$3:$A$116,'OCT-2026'!$A$4:$ADI$120,MATCH('FY-(26-27)Q3'!$G$2:$H$2,'OCT-2026'!$A$2:$DJ$2,0),0),0)</f>
        <v>-19.1569</v>
      </c>
      <c r="I38" s="152">
        <f>IFERROR(VLOOKUP($A$3:$A$116,'[1]NOV-2026'!$A$4:$ADL$124,MATCH('FY-(26-27)Q3'!$I$2:$J$2,'[1]NOV-2026'!$A$2:$DM$2,0),0),0)</f>
        <v>0</v>
      </c>
      <c r="J38" s="154">
        <f>IFERROR(VLOOKUP($A$3:$A$116,'[1]NOV-2026'!$A$4:$ADL$124,MATCH('FY-(26-27)Q3'!$I$2:$J$2,'[1]NOV-2026'!$A$2:$DM$2,0),0),0)</f>
        <v>0</v>
      </c>
      <c r="K38" s="152">
        <f>IFERROR(VLOOKUP($A$3:$A$116,'[2]DEC-2026'!$A$4:$AEE$125,MATCH('FY-(26-27)Q3'!$K$2:$L$2,'[2]DEC-2026'!$A$2:$EF$2,0),0),0)</f>
        <v>0</v>
      </c>
      <c r="L38" s="154">
        <f>IFERROR(VLOOKUP($A$3:$A$116,'[2]DEC-2026'!$A$4:$AEE$125,MATCH('FY-(26-27)Q3'!$K$2:$L$2,'[2]DEC-2026'!$A$2:$EF$2,0),0),0)</f>
        <v>0</v>
      </c>
      <c r="M38" s="71">
        <f t="shared" si="0"/>
        <v>-191569</v>
      </c>
      <c r="N38" s="165">
        <f t="shared" si="0"/>
        <v>-19.1569</v>
      </c>
    </row>
    <row r="39" spans="1:14" x14ac:dyDescent="0.25">
      <c r="A39" s="141" t="s">
        <v>132</v>
      </c>
      <c r="B39" s="142" t="s">
        <v>129</v>
      </c>
      <c r="C39" s="141" t="s">
        <v>17</v>
      </c>
      <c r="D39" s="141" t="s">
        <v>267</v>
      </c>
      <c r="E39" s="37" t="s">
        <v>256</v>
      </c>
      <c r="F39" s="155">
        <v>1</v>
      </c>
      <c r="G39" s="152">
        <f>IFERROR(VLOOKUP($A$3:$A$116,'OCT-2026'!$A$4:$ADI$120,MATCH('FY-(26-27)Q3'!$G$2:$H$2,'OCT-2026'!$A$2:$DJ$2,0),0),0)</f>
        <v>75358</v>
      </c>
      <c r="H39" s="154">
        <f>IFERROR(VLOOKUP($A$3:$A$116,'OCT-2026'!$A$4:$ADI$120,MATCH('FY-(26-27)Q3'!$G$2:$H$2,'OCT-2026'!$A$2:$DJ$2,0),0),0)</f>
        <v>1.5071600000000001</v>
      </c>
      <c r="I39" s="152">
        <f>IFERROR(VLOOKUP($A$3:$A$116,'[1]NOV-2026'!$A$4:$ADL$124,MATCH('FY-(26-27)Q3'!$I$2:$J$2,'[1]NOV-2026'!$A$2:$DM$2,0),0),0)</f>
        <v>0</v>
      </c>
      <c r="J39" s="154">
        <f>IFERROR(VLOOKUP($A$3:$A$116,'[1]NOV-2026'!$A$4:$ADL$124,MATCH('FY-(26-27)Q3'!$I$2:$J$2,'[1]NOV-2026'!$A$2:$DM$2,0),0),0)</f>
        <v>0</v>
      </c>
      <c r="K39" s="152">
        <f>IFERROR(VLOOKUP($A$3:$A$116,'[2]DEC-2026'!$A$4:$AEE$125,MATCH('FY-(26-27)Q3'!$K$2:$L$2,'[2]DEC-2026'!$A$2:$EF$2,0),0),0)</f>
        <v>0</v>
      </c>
      <c r="L39" s="154">
        <f>IFERROR(VLOOKUP($A$3:$A$116,'[2]DEC-2026'!$A$4:$AEE$125,MATCH('FY-(26-27)Q3'!$K$2:$L$2,'[2]DEC-2026'!$A$2:$EF$2,0),0),0)</f>
        <v>0</v>
      </c>
      <c r="M39" s="71">
        <f t="shared" si="0"/>
        <v>75358</v>
      </c>
      <c r="N39" s="165">
        <f t="shared" si="0"/>
        <v>1.5071600000000001</v>
      </c>
    </row>
    <row r="40" spans="1:14" x14ac:dyDescent="0.25">
      <c r="A40" s="141" t="s">
        <v>48</v>
      </c>
      <c r="B40" s="140" t="s">
        <v>95</v>
      </c>
      <c r="C40" s="141" t="s">
        <v>50</v>
      </c>
      <c r="D40" s="40" t="s">
        <v>107</v>
      </c>
      <c r="E40" s="40" t="s">
        <v>107</v>
      </c>
      <c r="F40" s="118">
        <v>1</v>
      </c>
      <c r="G40" s="152">
        <f>IFERROR(VLOOKUP($A$3:$A$116,'OCT-2026'!$A$4:$ADI$120,MATCH('FY-(26-27)Q3'!$G$2:$H$2,'OCT-2026'!$A$2:$DJ$2,0),0),0)</f>
        <v>-747613</v>
      </c>
      <c r="H40" s="154">
        <f>IFERROR(VLOOKUP($A$3:$A$116,'OCT-2026'!$A$4:$ADI$120,MATCH('FY-(26-27)Q3'!$G$2:$H$2,'OCT-2026'!$A$2:$DJ$2,0),0),0)</f>
        <v>-7.4761300000000004</v>
      </c>
      <c r="I40" s="152">
        <f>IFERROR(VLOOKUP($A$3:$A$116,'[1]NOV-2026'!$A$4:$ADL$124,MATCH('FY-(26-27)Q3'!$I$2:$J$2,'[1]NOV-2026'!$A$2:$DM$2,0),0),0)</f>
        <v>0</v>
      </c>
      <c r="J40" s="154">
        <f>IFERROR(VLOOKUP($A$3:$A$116,'[1]NOV-2026'!$A$4:$ADL$124,MATCH('FY-(26-27)Q3'!$I$2:$J$2,'[1]NOV-2026'!$A$2:$DM$2,0),0),0)</f>
        <v>0</v>
      </c>
      <c r="K40" s="152">
        <f>IFERROR(VLOOKUP($A$3:$A$116,'[2]DEC-2026'!$A$4:$AEE$125,MATCH('FY-(26-27)Q3'!$K$2:$L$2,'[2]DEC-2026'!$A$2:$EF$2,0),0),0)</f>
        <v>0</v>
      </c>
      <c r="L40" s="154">
        <f>IFERROR(VLOOKUP($A$3:$A$116,'[2]DEC-2026'!$A$4:$AEE$125,MATCH('FY-(26-27)Q3'!$K$2:$L$2,'[2]DEC-2026'!$A$2:$EF$2,0),0),0)</f>
        <v>0</v>
      </c>
      <c r="M40" s="71">
        <f t="shared" si="0"/>
        <v>-747613</v>
      </c>
      <c r="N40" s="165">
        <f t="shared" si="0"/>
        <v>-7.4761300000000004</v>
      </c>
    </row>
    <row r="41" spans="1:14" x14ac:dyDescent="0.25">
      <c r="A41" s="141" t="s">
        <v>336</v>
      </c>
      <c r="B41" s="140" t="s">
        <v>95</v>
      </c>
      <c r="C41" s="141" t="s">
        <v>337</v>
      </c>
      <c r="D41" s="162" t="s">
        <v>334</v>
      </c>
      <c r="E41" s="141" t="s">
        <v>256</v>
      </c>
      <c r="F41" s="163">
        <v>0.5</v>
      </c>
      <c r="G41" s="152">
        <f>IFERROR(VLOOKUP($A$3:$A$116,'OCT-2026'!$A$4:$ADI$120,MATCH('FY-(26-27)Q3'!$G$2:$H$2,'OCT-2026'!$A$2:$DJ$2,0),0),0)</f>
        <v>547590</v>
      </c>
      <c r="H41" s="154">
        <f>IFERROR(VLOOKUP($A$3:$A$116,'OCT-2026'!$A$4:$ADI$120,MATCH('FY-(26-27)Q3'!$G$2:$H$2,'OCT-2026'!$A$2:$DJ$2,0),0),0)</f>
        <v>10.9518</v>
      </c>
      <c r="I41" s="152">
        <f>IFERROR(VLOOKUP($A$3:$A$116,'[1]NOV-2026'!$A$4:$ADL$124,MATCH('FY-(26-27)Q3'!$I$2:$J$2,'[1]NOV-2026'!$A$2:$DM$2,0),0),0)</f>
        <v>0</v>
      </c>
      <c r="J41" s="154">
        <f>IFERROR(VLOOKUP($A$3:$A$116,'[1]NOV-2026'!$A$4:$ADL$124,MATCH('FY-(26-27)Q3'!$I$2:$J$2,'[1]NOV-2026'!$A$2:$DM$2,0),0),0)</f>
        <v>0</v>
      </c>
      <c r="K41" s="152">
        <f>IFERROR(VLOOKUP($A$3:$A$116,'[2]DEC-2026'!$A$4:$AEE$125,MATCH('FY-(26-27)Q3'!$K$2:$L$2,'[2]DEC-2026'!$A$2:$EF$2,0),0),0)</f>
        <v>0</v>
      </c>
      <c r="L41" s="154">
        <f>IFERROR(VLOOKUP($A$3:$A$116,'[2]DEC-2026'!$A$4:$AEE$125,MATCH('FY-(26-27)Q3'!$K$2:$L$2,'[2]DEC-2026'!$A$2:$EF$2,0),0),0)</f>
        <v>0</v>
      </c>
      <c r="M41" s="71">
        <f t="shared" ref="M41" si="5">G41+I41+K41</f>
        <v>547590</v>
      </c>
      <c r="N41" s="165">
        <f t="shared" ref="N41" si="6">H41+J41+L41</f>
        <v>10.9518</v>
      </c>
    </row>
    <row r="42" spans="1:14" x14ac:dyDescent="0.25">
      <c r="A42" s="141" t="s">
        <v>301</v>
      </c>
      <c r="B42" s="140" t="s">
        <v>295</v>
      </c>
      <c r="C42" s="162" t="s">
        <v>296</v>
      </c>
      <c r="D42" s="162"/>
      <c r="E42" s="162" t="s">
        <v>256</v>
      </c>
      <c r="F42" s="163">
        <v>0.1</v>
      </c>
      <c r="G42" s="152">
        <f>IFERROR(VLOOKUP($A$3:$A$116,'OCT-2026'!$A$4:$ADI$120,MATCH('FY-(26-27)Q3'!$G$2:$H$2,'OCT-2026'!$A$2:$DJ$2,0),0),0)</f>
        <v>-30785</v>
      </c>
      <c r="H42" s="154">
        <f>IFERROR(VLOOKUP($A$3:$A$116,'OCT-2026'!$A$4:$ADI$120,MATCH('FY-(26-27)Q3'!$G$2:$H$2,'OCT-2026'!$A$2:$DJ$2,0),0),0)</f>
        <v>-0.61570000000000003</v>
      </c>
      <c r="I42" s="152">
        <f>IFERROR(VLOOKUP($A$3:$A$116,'[1]NOV-2026'!$A$4:$ADL$124,MATCH('FY-(26-27)Q3'!$I$2:$J$2,'[1]NOV-2026'!$A$2:$DM$2,0),0),0)</f>
        <v>0</v>
      </c>
      <c r="J42" s="154">
        <f>IFERROR(VLOOKUP($A$3:$A$116,'[1]NOV-2026'!$A$4:$ADL$124,MATCH('FY-(26-27)Q3'!$I$2:$J$2,'[1]NOV-2026'!$A$2:$DM$2,0),0),0)</f>
        <v>0</v>
      </c>
      <c r="K42" s="152">
        <f>IFERROR(VLOOKUP($A$3:$A$116,'[2]DEC-2026'!$A$4:$AEE$125,MATCH('FY-(26-27)Q3'!$K$2:$L$2,'[2]DEC-2026'!$A$2:$EF$2,0),0),0)</f>
        <v>0</v>
      </c>
      <c r="L42" s="154">
        <f>IFERROR(VLOOKUP($A$3:$A$116,'[2]DEC-2026'!$A$4:$AEE$125,MATCH('FY-(26-27)Q3'!$K$2:$L$2,'[2]DEC-2026'!$A$2:$EF$2,0),0),0)</f>
        <v>0</v>
      </c>
      <c r="M42" s="71">
        <f t="shared" si="0"/>
        <v>-30785</v>
      </c>
      <c r="N42" s="165">
        <f t="shared" si="0"/>
        <v>-0.61570000000000003</v>
      </c>
    </row>
    <row r="43" spans="1:14" x14ac:dyDescent="0.25">
      <c r="A43" s="142" t="s">
        <v>33</v>
      </c>
      <c r="B43" s="140" t="s">
        <v>14</v>
      </c>
      <c r="C43" s="142" t="s">
        <v>13</v>
      </c>
      <c r="D43" s="140" t="s">
        <v>14</v>
      </c>
      <c r="E43" s="37" t="s">
        <v>256</v>
      </c>
      <c r="F43" s="118">
        <v>1</v>
      </c>
      <c r="G43" s="152">
        <f>IFERROR(VLOOKUP($A$3:$A$116,'OCT-2026'!$A$4:$ADI$120,MATCH('FY-(26-27)Q3'!$G$2:$H$2,'OCT-2026'!$A$2:$DJ$2,0),0),0)</f>
        <v>1105039</v>
      </c>
      <c r="H43" s="154">
        <f>IFERROR(VLOOKUP($A$3:$A$116,'OCT-2026'!$A$4:$ADI$120,MATCH('FY-(26-27)Q3'!$G$2:$H$2,'OCT-2026'!$A$2:$DJ$2,0),0),0)</f>
        <v>3.6834633333333326</v>
      </c>
      <c r="I43" s="152">
        <f>IFERROR(VLOOKUP($A$3:$A$116,'[1]NOV-2026'!$A$4:$ADL$124,MATCH('FY-(26-27)Q3'!$I$2:$J$2,'[1]NOV-2026'!$A$2:$DM$2,0),0),0)</f>
        <v>0</v>
      </c>
      <c r="J43" s="154">
        <f>IFERROR(VLOOKUP($A$3:$A$116,'[1]NOV-2026'!$A$4:$ADL$124,MATCH('FY-(26-27)Q3'!$I$2:$J$2,'[1]NOV-2026'!$A$2:$DM$2,0),0),0)</f>
        <v>0</v>
      </c>
      <c r="K43" s="152">
        <f>IFERROR(VLOOKUP($A$3:$A$116,'[2]DEC-2026'!$A$4:$AEE$125,MATCH('FY-(26-27)Q3'!$K$2:$L$2,'[2]DEC-2026'!$A$2:$EF$2,0),0),0)</f>
        <v>0</v>
      </c>
      <c r="L43" s="154">
        <f>IFERROR(VLOOKUP($A$3:$A$116,'[2]DEC-2026'!$A$4:$AEE$125,MATCH('FY-(26-27)Q3'!$K$2:$L$2,'[2]DEC-2026'!$A$2:$EF$2,0),0),0)</f>
        <v>0</v>
      </c>
      <c r="M43" s="71">
        <f t="shared" si="0"/>
        <v>1105039</v>
      </c>
      <c r="N43" s="165">
        <f t="shared" si="0"/>
        <v>3.6834633333333326</v>
      </c>
    </row>
    <row r="44" spans="1:14" x14ac:dyDescent="0.25">
      <c r="A44" s="141" t="s">
        <v>201</v>
      </c>
      <c r="B44" s="140" t="s">
        <v>169</v>
      </c>
      <c r="C44" s="142"/>
      <c r="D44" s="62"/>
      <c r="E44" s="60"/>
      <c r="F44" s="114">
        <v>1</v>
      </c>
      <c r="G44" s="152">
        <f>IFERROR(VLOOKUP($A$3:$A$116,'OCT-2026'!$A$4:$ADI$120,MATCH('FY-(26-27)Q3'!$G$2:$H$2,'OCT-2026'!$A$2:$DJ$2,0),0),0)</f>
        <v>0</v>
      </c>
      <c r="H44" s="154">
        <f>IFERROR(VLOOKUP($A$3:$A$116,'OCT-2026'!$A$4:$ADI$120,MATCH('FY-(26-27)Q3'!$G$2:$H$2,'OCT-2026'!$A$2:$DJ$2,0),0),0)</f>
        <v>0</v>
      </c>
      <c r="I44" s="152">
        <f>IFERROR(VLOOKUP($A$3:$A$116,'[1]NOV-2026'!$A$4:$ADL$124,MATCH('FY-(26-27)Q3'!$I$2:$J$2,'[1]NOV-2026'!$A$2:$DM$2,0),0),0)</f>
        <v>0</v>
      </c>
      <c r="J44" s="154">
        <f>IFERROR(VLOOKUP($A$3:$A$116,'[1]NOV-2026'!$A$4:$ADL$124,MATCH('FY-(26-27)Q3'!$I$2:$J$2,'[1]NOV-2026'!$A$2:$DM$2,0),0),0)</f>
        <v>0</v>
      </c>
      <c r="K44" s="152">
        <f>IFERROR(VLOOKUP($A$3:$A$116,'[2]DEC-2026'!$A$4:$AEE$125,MATCH('FY-(26-27)Q3'!$K$2:$L$2,'[2]DEC-2026'!$A$2:$EF$2,0),0),0)</f>
        <v>0</v>
      </c>
      <c r="L44" s="154">
        <f>IFERROR(VLOOKUP($A$3:$A$116,'[2]DEC-2026'!$A$4:$AEE$125,MATCH('FY-(26-27)Q3'!$K$2:$L$2,'[2]DEC-2026'!$A$2:$EF$2,0),0),0)</f>
        <v>0</v>
      </c>
      <c r="M44" s="71">
        <f t="shared" si="0"/>
        <v>0</v>
      </c>
      <c r="N44" s="165">
        <f t="shared" si="0"/>
        <v>0</v>
      </c>
    </row>
    <row r="45" spans="1:14" x14ac:dyDescent="0.25">
      <c r="A45" s="142" t="s">
        <v>168</v>
      </c>
      <c r="B45" s="140" t="s">
        <v>169</v>
      </c>
      <c r="C45" s="132" t="s">
        <v>255</v>
      </c>
      <c r="D45" s="162" t="s">
        <v>253</v>
      </c>
      <c r="E45" s="162" t="s">
        <v>253</v>
      </c>
      <c r="F45" s="114">
        <v>4</v>
      </c>
      <c r="G45" s="152">
        <f>IFERROR(VLOOKUP($A$3:$A$116,'OCT-2026'!$A$4:$ADI$120,MATCH('FY-(26-27)Q3'!$G$2:$H$2,'OCT-2026'!$A$2:$DJ$2,0),0),0)</f>
        <v>85710</v>
      </c>
      <c r="H45" s="154">
        <f>IFERROR(VLOOKUP($A$3:$A$116,'OCT-2026'!$A$4:$ADI$120,MATCH('FY-(26-27)Q3'!$G$2:$H$2,'OCT-2026'!$A$2:$DJ$2,0),0),0)</f>
        <v>0.21427499999999999</v>
      </c>
      <c r="I45" s="152">
        <f>IFERROR(VLOOKUP($A$3:$A$116,'[1]NOV-2026'!$A$4:$ADL$124,MATCH('FY-(26-27)Q3'!$I$2:$J$2,'[1]NOV-2026'!$A$2:$DM$2,0),0),0)</f>
        <v>0</v>
      </c>
      <c r="J45" s="154">
        <f>IFERROR(VLOOKUP($A$3:$A$116,'[1]NOV-2026'!$A$4:$ADL$124,MATCH('FY-(26-27)Q3'!$I$2:$J$2,'[1]NOV-2026'!$A$2:$DM$2,0),0),0)</f>
        <v>0</v>
      </c>
      <c r="K45" s="152">
        <f>IFERROR(VLOOKUP($A$3:$A$116,'[2]DEC-2026'!$A$4:$AEE$125,MATCH('FY-(26-27)Q3'!$K$2:$L$2,'[2]DEC-2026'!$A$2:$EF$2,0),0),0)</f>
        <v>0</v>
      </c>
      <c r="L45" s="154">
        <f>IFERROR(VLOOKUP($A$3:$A$116,'[2]DEC-2026'!$A$4:$AEE$125,MATCH('FY-(26-27)Q3'!$K$2:$L$2,'[2]DEC-2026'!$A$2:$EF$2,0),0),0)</f>
        <v>0</v>
      </c>
      <c r="M45" s="71">
        <f t="shared" si="0"/>
        <v>85710</v>
      </c>
      <c r="N45" s="165">
        <f t="shared" si="0"/>
        <v>0.21427499999999999</v>
      </c>
    </row>
    <row r="46" spans="1:14" x14ac:dyDescent="0.25">
      <c r="A46" s="142" t="s">
        <v>202</v>
      </c>
      <c r="B46" s="140" t="s">
        <v>169</v>
      </c>
      <c r="C46" s="59" t="s">
        <v>255</v>
      </c>
      <c r="D46" s="162" t="s">
        <v>116</v>
      </c>
      <c r="E46" s="162" t="s">
        <v>256</v>
      </c>
      <c r="F46" s="114">
        <v>4</v>
      </c>
      <c r="G46" s="152">
        <f>IFERROR(VLOOKUP($A$3:$A$116,'OCT-2026'!$A$4:$ADI$120,MATCH('FY-(26-27)Q3'!$G$2:$H$2,'OCT-2026'!$A$2:$DJ$2,0),0),0)</f>
        <v>204861</v>
      </c>
      <c r="H46" s="154">
        <f>IFERROR(VLOOKUP($A$3:$A$116,'OCT-2026'!$A$4:$ADI$120,MATCH('FY-(26-27)Q3'!$G$2:$H$2,'OCT-2026'!$A$2:$DJ$2,0),0),0)</f>
        <v>0.51215250000000001</v>
      </c>
      <c r="I46" s="152">
        <f>IFERROR(VLOOKUP($A$3:$A$116,'[1]NOV-2026'!$A$4:$ADL$124,MATCH('FY-(26-27)Q3'!$I$2:$J$2,'[1]NOV-2026'!$A$2:$DM$2,0),0),0)</f>
        <v>0</v>
      </c>
      <c r="J46" s="154">
        <f>IFERROR(VLOOKUP($A$3:$A$116,'[1]NOV-2026'!$A$4:$ADL$124,MATCH('FY-(26-27)Q3'!$I$2:$J$2,'[1]NOV-2026'!$A$2:$DM$2,0),0),0)</f>
        <v>0</v>
      </c>
      <c r="K46" s="152">
        <f>IFERROR(VLOOKUP($A$3:$A$116,'[2]DEC-2026'!$A$4:$AEE$125,MATCH('FY-(26-27)Q3'!$K$2:$L$2,'[2]DEC-2026'!$A$2:$EF$2,0),0),0)</f>
        <v>0</v>
      </c>
      <c r="L46" s="154">
        <f>IFERROR(VLOOKUP($A$3:$A$116,'[2]DEC-2026'!$A$4:$AEE$125,MATCH('FY-(26-27)Q3'!$K$2:$L$2,'[2]DEC-2026'!$A$2:$EF$2,0),0),0)</f>
        <v>0</v>
      </c>
      <c r="M46" s="71">
        <f t="shared" si="0"/>
        <v>204861</v>
      </c>
      <c r="N46" s="165">
        <f t="shared" si="0"/>
        <v>0.51215250000000001</v>
      </c>
    </row>
    <row r="47" spans="1:14" x14ac:dyDescent="0.25">
      <c r="A47" s="59" t="s">
        <v>306</v>
      </c>
      <c r="B47" s="62" t="s">
        <v>304</v>
      </c>
      <c r="C47" s="59" t="s">
        <v>128</v>
      </c>
      <c r="D47" s="140"/>
      <c r="E47" s="140" t="s">
        <v>256</v>
      </c>
      <c r="F47" s="114">
        <v>0.1</v>
      </c>
      <c r="G47" s="152">
        <f>IFERROR(VLOOKUP($A$3:$A$116,'OCT-2026'!$A$4:$ADI$120,MATCH('FY-(26-27)Q3'!$G$2:$H$2,'OCT-2026'!$A$2:$DJ$2,0),0),0)</f>
        <v>-2957840</v>
      </c>
      <c r="H47" s="154">
        <f>IFERROR(VLOOKUP($A$3:$A$116,'OCT-2026'!$A$4:$ADI$120,MATCH('FY-(26-27)Q3'!$G$2:$H$2,'OCT-2026'!$A$2:$DJ$2,0),0),0)</f>
        <v>-2.95784</v>
      </c>
      <c r="I47" s="152">
        <f>IFERROR(VLOOKUP($A$3:$A$116,'[1]NOV-2026'!$A$4:$ADL$124,MATCH('FY-(26-27)Q3'!$I$2:$J$2,'[1]NOV-2026'!$A$2:$DM$2,0),0),0)</f>
        <v>0</v>
      </c>
      <c r="J47" s="154">
        <f>IFERROR(VLOOKUP($A$3:$A$116,'[1]NOV-2026'!$A$4:$ADL$124,MATCH('FY-(26-27)Q3'!$I$2:$J$2,'[1]NOV-2026'!$A$2:$DM$2,0),0),0)</f>
        <v>0</v>
      </c>
      <c r="K47" s="152">
        <f>IFERROR(VLOOKUP($A$3:$A$116,'[2]DEC-2026'!$A$4:$AEE$125,MATCH('FY-(26-27)Q3'!$K$2:$L$2,'[2]DEC-2026'!$A$2:$EF$2,0),0),0)</f>
        <v>0</v>
      </c>
      <c r="L47" s="154">
        <f>IFERROR(VLOOKUP($A$3:$A$116,'[2]DEC-2026'!$A$4:$AEE$125,MATCH('FY-(26-27)Q3'!$K$2:$L$2,'[2]DEC-2026'!$A$2:$EF$2,0),0),0)</f>
        <v>0</v>
      </c>
      <c r="M47" s="71">
        <f t="shared" si="0"/>
        <v>-2957840</v>
      </c>
      <c r="N47" s="165">
        <f t="shared" si="0"/>
        <v>-2.95784</v>
      </c>
    </row>
    <row r="48" spans="1:14" x14ac:dyDescent="0.25">
      <c r="A48" s="59"/>
      <c r="B48" s="62" t="s">
        <v>304</v>
      </c>
      <c r="C48" s="59" t="s">
        <v>274</v>
      </c>
      <c r="D48" s="140"/>
      <c r="E48" s="140" t="s">
        <v>256</v>
      </c>
      <c r="F48" s="114"/>
      <c r="G48" s="152">
        <f>IFERROR(VLOOKUP($A$3:$A$116,'OCT-2026'!$A$4:$ADI$120,MATCH('FY-(26-27)Q3'!$G$2:$H$2,'OCT-2026'!$A$2:$DJ$2,0),0),0)</f>
        <v>0</v>
      </c>
      <c r="H48" s="154">
        <f>IFERROR(VLOOKUP($A$3:$A$116,'OCT-2026'!$A$4:$ADI$120,MATCH('FY-(26-27)Q3'!$G$2:$H$2,'OCT-2026'!$A$2:$DJ$2,0),0),0)</f>
        <v>0</v>
      </c>
      <c r="I48" s="152">
        <f>IFERROR(VLOOKUP($A$3:$A$116,'[1]NOV-2026'!$A$4:$ADL$124,MATCH('FY-(26-27)Q3'!$I$2:$J$2,'[1]NOV-2026'!$A$2:$DM$2,0),0),0)</f>
        <v>0</v>
      </c>
      <c r="J48" s="154">
        <f>IFERROR(VLOOKUP($A$3:$A$116,'[1]NOV-2026'!$A$4:$ADL$124,MATCH('FY-(26-27)Q3'!$I$2:$J$2,'[1]NOV-2026'!$A$2:$DM$2,0),0),0)</f>
        <v>0</v>
      </c>
      <c r="K48" s="152">
        <f>IFERROR(VLOOKUP($A$3:$A$116,'[2]DEC-2026'!$A$4:$AEE$125,MATCH('FY-(26-27)Q3'!$K$2:$L$2,'[2]DEC-2026'!$A$2:$EF$2,0),0),0)</f>
        <v>0</v>
      </c>
      <c r="L48" s="154">
        <f>IFERROR(VLOOKUP($A$3:$A$116,'[2]DEC-2026'!$A$4:$AEE$125,MATCH('FY-(26-27)Q3'!$K$2:$L$2,'[2]DEC-2026'!$A$2:$EF$2,0),0),0)</f>
        <v>0</v>
      </c>
      <c r="M48" s="71">
        <f t="shared" si="0"/>
        <v>0</v>
      </c>
      <c r="N48" s="165">
        <f t="shared" si="0"/>
        <v>0</v>
      </c>
    </row>
    <row r="49" spans="1:14" x14ac:dyDescent="0.25">
      <c r="A49" s="59" t="s">
        <v>197</v>
      </c>
      <c r="B49" s="62" t="s">
        <v>195</v>
      </c>
      <c r="C49" s="59" t="s">
        <v>196</v>
      </c>
      <c r="D49" s="62" t="s">
        <v>195</v>
      </c>
      <c r="E49" s="162" t="s">
        <v>256</v>
      </c>
      <c r="F49" s="114">
        <v>0.5</v>
      </c>
      <c r="G49" s="152">
        <f>IFERROR(VLOOKUP($A$3:$A$116,'OCT-2026'!$A$4:$ADI$120,MATCH('FY-(26-27)Q3'!$G$2:$H$2,'OCT-2026'!$A$2:$DJ$2,0),0),0)</f>
        <v>61459</v>
      </c>
      <c r="H49" s="154">
        <f>IFERROR(VLOOKUP($A$3:$A$116,'OCT-2026'!$A$4:$ADI$120,MATCH('FY-(26-27)Q3'!$G$2:$H$2,'OCT-2026'!$A$2:$DJ$2,0),0),0)</f>
        <v>1.2291799999999999</v>
      </c>
      <c r="I49" s="152">
        <f>IFERROR(VLOOKUP($A$3:$A$116,'[1]NOV-2026'!$A$4:$ADL$124,MATCH('FY-(26-27)Q3'!$I$2:$J$2,'[1]NOV-2026'!$A$2:$DM$2,0),0),0)</f>
        <v>0</v>
      </c>
      <c r="J49" s="154">
        <f>IFERROR(VLOOKUP($A$3:$A$116,'[1]NOV-2026'!$A$4:$ADL$124,MATCH('FY-(26-27)Q3'!$I$2:$J$2,'[1]NOV-2026'!$A$2:$DM$2,0),0),0)</f>
        <v>0</v>
      </c>
      <c r="K49" s="152">
        <f>IFERROR(VLOOKUP($A$3:$A$116,'[2]DEC-2026'!$A$4:$AEE$125,MATCH('FY-(26-27)Q3'!$K$2:$L$2,'[2]DEC-2026'!$A$2:$EF$2,0),0),0)</f>
        <v>0</v>
      </c>
      <c r="L49" s="154">
        <f>IFERROR(VLOOKUP($A$3:$A$116,'[2]DEC-2026'!$A$4:$AEE$125,MATCH('FY-(26-27)Q3'!$K$2:$L$2,'[2]DEC-2026'!$A$2:$EF$2,0),0),0)</f>
        <v>0</v>
      </c>
      <c r="M49" s="71">
        <f t="shared" si="0"/>
        <v>61459</v>
      </c>
      <c r="N49" s="165">
        <f t="shared" si="0"/>
        <v>1.2291799999999999</v>
      </c>
    </row>
    <row r="50" spans="1:14" x14ac:dyDescent="0.25">
      <c r="A50" s="59" t="s">
        <v>213</v>
      </c>
      <c r="B50" s="62" t="s">
        <v>209</v>
      </c>
      <c r="C50" s="59" t="s">
        <v>210</v>
      </c>
      <c r="D50" s="62" t="s">
        <v>209</v>
      </c>
      <c r="E50" s="162" t="s">
        <v>256</v>
      </c>
      <c r="F50" s="114">
        <v>5</v>
      </c>
      <c r="G50" s="152">
        <f>IFERROR(VLOOKUP($A$3:$A$116,'OCT-2026'!$A$4:$ADI$120,MATCH('FY-(26-27)Q3'!$G$2:$H$2,'OCT-2026'!$A$2:$DJ$2,0),0),0)</f>
        <v>369643</v>
      </c>
      <c r="H50" s="154">
        <f>IFERROR(VLOOKUP($A$3:$A$116,'OCT-2026'!$A$4:$ADI$120,MATCH('FY-(26-27)Q3'!$G$2:$H$2,'OCT-2026'!$A$2:$DJ$2,0),0),0)</f>
        <v>0.56868153846153835</v>
      </c>
      <c r="I50" s="152">
        <f>IFERROR(VLOOKUP($A$3:$A$116,'[1]NOV-2026'!$A$4:$ADL$124,MATCH('FY-(26-27)Q3'!$I$2:$J$2,'[1]NOV-2026'!$A$2:$DM$2,0),0),0)</f>
        <v>0</v>
      </c>
      <c r="J50" s="154">
        <f>IFERROR(VLOOKUP($A$3:$A$116,'[1]NOV-2026'!$A$4:$ADL$124,MATCH('FY-(26-27)Q3'!$I$2:$J$2,'[1]NOV-2026'!$A$2:$DM$2,0),0),0)</f>
        <v>0</v>
      </c>
      <c r="K50" s="152">
        <f>IFERROR(VLOOKUP($A$3:$A$116,'[2]DEC-2026'!$A$4:$AEE$125,MATCH('FY-(26-27)Q3'!$K$2:$L$2,'[2]DEC-2026'!$A$2:$EF$2,0),0),0)</f>
        <v>0</v>
      </c>
      <c r="L50" s="154">
        <f>IFERROR(VLOOKUP($A$3:$A$116,'[2]DEC-2026'!$A$4:$AEE$125,MATCH('FY-(26-27)Q3'!$K$2:$L$2,'[2]DEC-2026'!$A$2:$EF$2,0),0),0)</f>
        <v>0</v>
      </c>
      <c r="M50" s="71">
        <f t="shared" si="0"/>
        <v>369643</v>
      </c>
      <c r="N50" s="165">
        <f t="shared" si="0"/>
        <v>0.56868153846153835</v>
      </c>
    </row>
    <row r="51" spans="1:14" x14ac:dyDescent="0.25">
      <c r="A51" s="59" t="s">
        <v>214</v>
      </c>
      <c r="B51" s="62" t="s">
        <v>209</v>
      </c>
      <c r="C51" s="59" t="s">
        <v>211</v>
      </c>
      <c r="D51" s="62" t="s">
        <v>209</v>
      </c>
      <c r="E51" s="162" t="s">
        <v>256</v>
      </c>
      <c r="F51" s="114">
        <v>1</v>
      </c>
      <c r="G51" s="152">
        <f>IFERROR(VLOOKUP($A$3:$A$116,'OCT-2026'!$A$4:$ADI$120,MATCH('FY-(26-27)Q3'!$G$2:$H$2,'OCT-2026'!$A$2:$DJ$2,0),0),0)</f>
        <v>0</v>
      </c>
      <c r="H51" s="154">
        <f>IFERROR(VLOOKUP($A$3:$A$116,'OCT-2026'!$A$4:$ADI$120,MATCH('FY-(26-27)Q3'!$G$2:$H$2,'OCT-2026'!$A$2:$DJ$2,0),0),0)</f>
        <v>0</v>
      </c>
      <c r="I51" s="152">
        <f>IFERROR(VLOOKUP($A$3:$A$116,'[1]NOV-2026'!$A$4:$ADL$124,MATCH('FY-(26-27)Q3'!$I$2:$J$2,'[1]NOV-2026'!$A$2:$DM$2,0),0),0)</f>
        <v>0</v>
      </c>
      <c r="J51" s="154">
        <f>IFERROR(VLOOKUP($A$3:$A$116,'[1]NOV-2026'!$A$4:$ADL$124,MATCH('FY-(26-27)Q3'!$I$2:$J$2,'[1]NOV-2026'!$A$2:$DM$2,0),0),0)</f>
        <v>0</v>
      </c>
      <c r="K51" s="152">
        <f>IFERROR(VLOOKUP($A$3:$A$116,'[2]DEC-2026'!$A$4:$AEE$125,MATCH('FY-(26-27)Q3'!$K$2:$L$2,'[2]DEC-2026'!$A$2:$EF$2,0),0),0)</f>
        <v>0</v>
      </c>
      <c r="L51" s="154">
        <f>IFERROR(VLOOKUP($A$3:$A$116,'[2]DEC-2026'!$A$4:$AEE$125,MATCH('FY-(26-27)Q3'!$K$2:$L$2,'[2]DEC-2026'!$A$2:$EF$2,0),0),0)</f>
        <v>0</v>
      </c>
      <c r="M51" s="71">
        <f t="shared" si="0"/>
        <v>0</v>
      </c>
      <c r="N51" s="165">
        <f t="shared" si="0"/>
        <v>0</v>
      </c>
    </row>
    <row r="52" spans="1:14" x14ac:dyDescent="0.25">
      <c r="A52" s="59" t="s">
        <v>49</v>
      </c>
      <c r="B52" s="59" t="s">
        <v>99</v>
      </c>
      <c r="C52" s="59" t="s">
        <v>100</v>
      </c>
      <c r="D52" s="59" t="s">
        <v>99</v>
      </c>
      <c r="E52" s="59" t="s">
        <v>256</v>
      </c>
      <c r="F52" s="114">
        <v>2.5</v>
      </c>
      <c r="G52" s="152">
        <f>IFERROR(VLOOKUP($A$3:$A$116,'OCT-2026'!$A$4:$ADI$120,MATCH('FY-(26-27)Q3'!$G$2:$H$2,'OCT-2026'!$A$2:$DJ$2,0),0),0)</f>
        <v>311687</v>
      </c>
      <c r="H52" s="154">
        <f>IFERROR(VLOOKUP($A$3:$A$116,'OCT-2026'!$A$4:$ADI$120,MATCH('FY-(26-27)Q3'!$G$2:$H$2,'OCT-2026'!$A$2:$DJ$2,0),0),0)</f>
        <v>1.0389566666666668</v>
      </c>
      <c r="I52" s="152">
        <f>IFERROR(VLOOKUP($A$3:$A$116,'[1]NOV-2026'!$A$4:$ADL$124,MATCH('FY-(26-27)Q3'!$I$2:$J$2,'[1]NOV-2026'!$A$2:$DM$2,0),0),0)</f>
        <v>0</v>
      </c>
      <c r="J52" s="154">
        <f>IFERROR(VLOOKUP($A$3:$A$116,'[1]NOV-2026'!$A$4:$ADL$124,MATCH('FY-(26-27)Q3'!$I$2:$J$2,'[1]NOV-2026'!$A$2:$DM$2,0),0),0)</f>
        <v>0</v>
      </c>
      <c r="K52" s="152">
        <f>IFERROR(VLOOKUP($A$3:$A$116,'[2]DEC-2026'!$A$4:$AEE$125,MATCH('FY-(26-27)Q3'!$K$2:$L$2,'[2]DEC-2026'!$A$2:$EF$2,0),0),0)</f>
        <v>0</v>
      </c>
      <c r="L52" s="154">
        <f>IFERROR(VLOOKUP($A$3:$A$116,'[2]DEC-2026'!$A$4:$AEE$125,MATCH('FY-(26-27)Q3'!$K$2:$L$2,'[2]DEC-2026'!$A$2:$EF$2,0),0),0)</f>
        <v>0</v>
      </c>
      <c r="M52" s="71">
        <f t="shared" si="0"/>
        <v>311687</v>
      </c>
      <c r="N52" s="165">
        <f t="shared" si="0"/>
        <v>1.0389566666666668</v>
      </c>
    </row>
    <row r="53" spans="1:14" x14ac:dyDescent="0.25">
      <c r="A53" s="59" t="s">
        <v>331</v>
      </c>
      <c r="B53" s="59" t="s">
        <v>286</v>
      </c>
      <c r="C53" s="59" t="s">
        <v>324</v>
      </c>
      <c r="D53" s="59" t="s">
        <v>286</v>
      </c>
      <c r="E53" s="59" t="s">
        <v>256</v>
      </c>
      <c r="F53" s="114">
        <v>0.25</v>
      </c>
      <c r="G53" s="152">
        <f>IFERROR(VLOOKUP($A$3:$A$116,'OCT-2026'!$A$4:$ADI$120,MATCH('FY-(26-27)Q3'!$G$2:$H$2,'OCT-2026'!$A$2:$DJ$2,0),0),0)</f>
        <v>51734</v>
      </c>
      <c r="H53" s="154">
        <f>IFERROR(VLOOKUP($A$3:$A$116,'OCT-2026'!$A$4:$ADI$120,MATCH('FY-(26-27)Q3'!$G$2:$H$2,'OCT-2026'!$A$2:$DJ$2,0),0),0)</f>
        <v>0.51734000000000002</v>
      </c>
      <c r="I53" s="152">
        <f>IFERROR(VLOOKUP($A$3:$A$116,'[1]NOV-2026'!$A$4:$ADL$124,MATCH('FY-(26-27)Q3'!$I$2:$J$2,'[1]NOV-2026'!$A$2:$DM$2,0),0),0)</f>
        <v>0</v>
      </c>
      <c r="J53" s="154">
        <f>IFERROR(VLOOKUP($A$3:$A$116,'[1]NOV-2026'!$A$4:$ADL$124,MATCH('FY-(26-27)Q3'!$I$2:$J$2,'[1]NOV-2026'!$A$2:$DM$2,0),0),0)</f>
        <v>0</v>
      </c>
      <c r="K53" s="152">
        <f>IFERROR(VLOOKUP($A$3:$A$116,'[2]DEC-2026'!$A$4:$AEE$125,MATCH('FY-(26-27)Q3'!$K$2:$L$2,'[2]DEC-2026'!$A$2:$EF$2,0),0),0)</f>
        <v>0</v>
      </c>
      <c r="L53" s="154">
        <f>IFERROR(VLOOKUP($A$3:$A$116,'[2]DEC-2026'!$A$4:$AEE$125,MATCH('FY-(26-27)Q3'!$K$2:$L$2,'[2]DEC-2026'!$A$2:$EF$2,0),0),0)</f>
        <v>0</v>
      </c>
      <c r="M53" s="71">
        <f t="shared" ref="M53:N54" si="7">G53+I53+K53</f>
        <v>51734</v>
      </c>
      <c r="N53" s="165">
        <f t="shared" si="7"/>
        <v>0.51734000000000002</v>
      </c>
    </row>
    <row r="54" spans="1:14" x14ac:dyDescent="0.25">
      <c r="A54" s="59" t="s">
        <v>288</v>
      </c>
      <c r="B54" s="59" t="s">
        <v>286</v>
      </c>
      <c r="C54" s="59" t="s">
        <v>285</v>
      </c>
      <c r="D54" s="59" t="s">
        <v>286</v>
      </c>
      <c r="E54" s="59" t="s">
        <v>287</v>
      </c>
      <c r="F54" s="114">
        <v>5</v>
      </c>
      <c r="G54" s="152">
        <f>IFERROR(VLOOKUP($A$3:$A$116,'OCT-2026'!$A$4:$ADI$120,MATCH('FY-(26-27)Q3'!$G$2:$H$2,'OCT-2026'!$A$2:$DJ$2,0),0),0)</f>
        <v>1067523</v>
      </c>
      <c r="H54" s="154">
        <f>IFERROR(VLOOKUP($A$3:$A$116,'OCT-2026'!$A$4:$ADI$120,MATCH('FY-(26-27)Q3'!$G$2:$H$2,'OCT-2026'!$A$2:$DJ$2,0),0),0)</f>
        <v>1.067523</v>
      </c>
      <c r="I54" s="152">
        <f>IFERROR(VLOOKUP($A$3:$A$116,'[1]NOV-2026'!$A$4:$ADL$124,MATCH('FY-(26-27)Q3'!$I$2:$J$2,'[1]NOV-2026'!$A$2:$DM$2,0),0),0)</f>
        <v>0</v>
      </c>
      <c r="J54" s="154">
        <f>IFERROR(VLOOKUP($A$3:$A$116,'[1]NOV-2026'!$A$4:$ADL$124,MATCH('FY-(26-27)Q3'!$I$2:$J$2,'[1]NOV-2026'!$A$2:$DM$2,0),0),0)</f>
        <v>0</v>
      </c>
      <c r="K54" s="152">
        <f>IFERROR(VLOOKUP($A$3:$A$116,'[2]DEC-2026'!$A$4:$AEE$125,MATCH('FY-(26-27)Q3'!$K$2:$L$2,'[2]DEC-2026'!$A$2:$EF$2,0),0),0)</f>
        <v>0</v>
      </c>
      <c r="L54" s="154">
        <f>IFERROR(VLOOKUP($A$3:$A$116,'[2]DEC-2026'!$A$4:$AEE$125,MATCH('FY-(26-27)Q3'!$K$2:$L$2,'[2]DEC-2026'!$A$2:$EF$2,0),0),0)</f>
        <v>0</v>
      </c>
      <c r="M54" s="71">
        <f t="shared" si="7"/>
        <v>1067523</v>
      </c>
      <c r="N54" s="165">
        <f t="shared" si="7"/>
        <v>1.067523</v>
      </c>
    </row>
    <row r="55" spans="1:14" x14ac:dyDescent="0.25">
      <c r="A55" s="186"/>
      <c r="B55" s="231"/>
      <c r="C55" s="186"/>
      <c r="D55" s="232"/>
      <c r="E55" s="232"/>
      <c r="F55" s="233"/>
      <c r="G55" s="230">
        <f>SUM(G4:G54)</f>
        <v>6995756</v>
      </c>
      <c r="H55" s="90"/>
      <c r="I55" s="230">
        <f>SUM(I4:I54)</f>
        <v>0</v>
      </c>
      <c r="J55" s="100"/>
      <c r="K55" s="230">
        <f>SUM(K4:K54)</f>
        <v>0</v>
      </c>
      <c r="L55" s="109"/>
      <c r="M55" s="230">
        <f>SUM(M4:M54)</f>
        <v>6995756</v>
      </c>
      <c r="N55" s="234"/>
    </row>
    <row r="56" spans="1:14" ht="15.75" thickBot="1" x14ac:dyDescent="0.3">
      <c r="G56" s="91"/>
      <c r="H56" s="92"/>
      <c r="I56" s="101"/>
      <c r="J56" s="102"/>
      <c r="K56" s="110"/>
      <c r="L56" s="111"/>
      <c r="M56" s="111"/>
      <c r="N56" s="111"/>
    </row>
    <row r="57" spans="1:14" ht="15.75" x14ac:dyDescent="0.25">
      <c r="G57" s="84" t="s">
        <v>149</v>
      </c>
      <c r="H57" s="85" t="s">
        <v>150</v>
      </c>
      <c r="I57" s="95" t="s">
        <v>159</v>
      </c>
      <c r="J57" s="96" t="s">
        <v>160</v>
      </c>
      <c r="K57" s="105" t="s">
        <v>161</v>
      </c>
      <c r="L57" s="106" t="s">
        <v>162</v>
      </c>
      <c r="M57" s="126" t="s">
        <v>101</v>
      </c>
      <c r="N57" s="68" t="s">
        <v>127</v>
      </c>
    </row>
    <row r="58" spans="1:14" ht="15.75" x14ac:dyDescent="0.25">
      <c r="G58" s="222"/>
      <c r="H58" s="223"/>
      <c r="I58" s="224"/>
      <c r="J58" s="225"/>
      <c r="K58" s="226"/>
      <c r="L58" s="227"/>
      <c r="M58" s="228"/>
      <c r="N58" s="229"/>
    </row>
    <row r="59" spans="1:14" x14ac:dyDescent="0.25">
      <c r="A59" s="79" t="s">
        <v>241</v>
      </c>
      <c r="B59" s="140" t="s">
        <v>240</v>
      </c>
      <c r="C59" s="140" t="s">
        <v>57</v>
      </c>
      <c r="D59" s="140"/>
      <c r="E59" s="208"/>
      <c r="F59" s="206"/>
      <c r="G59" s="152">
        <f>IFERROR(VLOOKUP($A$3:$A$116,'OCT-2026'!$A$4:$ADI$120,MATCH('FY-(26-27)Q3'!$G$2:$H$2,'OCT-2026'!$A$2:$DJ$2,0),0),0)</f>
        <v>537920</v>
      </c>
      <c r="H59" s="154">
        <f>IFERROR(VLOOKUP($A$3:$A$116,'OCT-2026'!$A$4:$ADI$120,MATCH('FY-(26-27)Q3'!$G$2:$H$2,'OCT-2026'!$A$2:$DJ$2,0),0),0)</f>
        <v>1.7930666666666664</v>
      </c>
      <c r="I59" s="152">
        <f>IFERROR(VLOOKUP($A$3:$A$116,'[1]NOV-2026'!$A$4:$ADL$124,MATCH('FY-(26-27)Q3'!$I$2:$J$2,'[1]NOV-2026'!$A$2:$DM$2,0),0),0)</f>
        <v>0</v>
      </c>
      <c r="J59" s="154">
        <f>IFERROR(VLOOKUP($A$3:$A$116,'[1]NOV-2026'!$A$4:$ADL$124,MATCH('FY-(26-27)Q3'!$I$2:$J$2,'[1]NOV-2026'!$A$2:$DM$2,0),0),0)</f>
        <v>0</v>
      </c>
      <c r="K59" s="152">
        <f>IFERROR(VLOOKUP($A$3:$A$116,'[2]DEC-2026'!$A$4:$AEE$125,MATCH('FY-(26-27)Q3'!$K$2:$L$2,'[2]DEC-2026'!$A$2:$EF$2,0),0),0)</f>
        <v>0</v>
      </c>
      <c r="L59" s="154">
        <f>IFERROR(VLOOKUP($A$3:$A$116,'[2]DEC-2026'!$A$4:$AEE$125,MATCH('FY-(26-27)Q3'!$K$2:$L$2,'[2]DEC-2026'!$A$2:$EF$2,0),0),0)</f>
        <v>0</v>
      </c>
      <c r="M59" s="152">
        <f t="shared" ref="M59:N60" si="8">G59+I59+K59</f>
        <v>537920</v>
      </c>
      <c r="N59" s="166">
        <f t="shared" si="8"/>
        <v>1.7930666666666664</v>
      </c>
    </row>
    <row r="60" spans="1:14" x14ac:dyDescent="0.25">
      <c r="A60" s="201" t="s">
        <v>273</v>
      </c>
      <c r="B60" s="202" t="s">
        <v>272</v>
      </c>
      <c r="C60" s="202" t="s">
        <v>57</v>
      </c>
      <c r="D60" s="202" t="s">
        <v>87</v>
      </c>
      <c r="E60" s="202" t="s">
        <v>256</v>
      </c>
      <c r="F60" s="237"/>
      <c r="G60" s="152">
        <f>IFERROR(VLOOKUP($A$3:$A$116,'OCT-2026'!$A$4:$ADI$120,MATCH('FY-(26-27)Q3'!$G$2:$H$2,'OCT-2026'!$A$2:$DJ$2,0),0),0)</f>
        <v>-25994</v>
      </c>
      <c r="H60" s="154">
        <f>IFERROR(VLOOKUP($A$3:$A$116,'OCT-2026'!$A$4:$ADI$120,MATCH('FY-(26-27)Q3'!$G$2:$H$2,'OCT-2026'!$A$2:$DJ$2,0),0),0)</f>
        <v>0</v>
      </c>
      <c r="I60" s="152">
        <f>IFERROR(VLOOKUP($A$3:$A$116,'[1]NOV-2026'!$A$4:$ADL$124,MATCH('FY-(26-27)Q3'!$I$2:$J$2,'[1]NOV-2026'!$A$2:$DM$2,0),0),0)</f>
        <v>0</v>
      </c>
      <c r="J60" s="154">
        <f>IFERROR(VLOOKUP($A$3:$A$116,'[1]NOV-2026'!$A$4:$ADL$124,MATCH('FY-(26-27)Q3'!$I$2:$J$2,'[1]NOV-2026'!$A$2:$DM$2,0),0),0)</f>
        <v>0</v>
      </c>
      <c r="K60" s="152">
        <f>IFERROR(VLOOKUP($A$3:$A$116,'[2]DEC-2026'!$A$4:$AEE$125,MATCH('FY-(26-27)Q3'!$K$2:$L$2,'[2]DEC-2026'!$A$2:$EF$2,0),0),0)</f>
        <v>0</v>
      </c>
      <c r="L60" s="154">
        <f>IFERROR(VLOOKUP($A$3:$A$116,'[2]DEC-2026'!$A$4:$AEE$125,MATCH('FY-(26-27)Q3'!$K$2:$L$2,'[2]DEC-2026'!$A$2:$EF$2,0),0),0)</f>
        <v>0</v>
      </c>
      <c r="M60" s="152">
        <f t="shared" si="8"/>
        <v>-25994</v>
      </c>
      <c r="N60" s="166">
        <f t="shared" si="8"/>
        <v>0</v>
      </c>
    </row>
    <row r="61" spans="1:14" ht="15.75" thickBot="1" x14ac:dyDescent="0.3">
      <c r="G61" s="93">
        <f>SUM(G59:G60)</f>
        <v>511926</v>
      </c>
      <c r="H61" s="94"/>
      <c r="I61" s="93">
        <f>SUM(I59:I60)</f>
        <v>0</v>
      </c>
      <c r="J61" s="104"/>
      <c r="K61" s="93">
        <f>SUM(K59:K60)</f>
        <v>0</v>
      </c>
      <c r="L61" s="113"/>
      <c r="M61" s="93">
        <f>SUM(M59:M60)</f>
        <v>511926</v>
      </c>
      <c r="N61" s="235"/>
    </row>
  </sheetData>
  <conditionalFormatting sqref="A37:C37 A10:C10 A3:F3 L2:L3 A33:C33 F10 F34:F35 F37 A52:C52 E33:F33 A40:F40 A21 A32:F32 A46:F46 F50:F52 E52 A22:F23 A55:E55 C44:F44 M21:N23 A26:F27 A43:F43 F47:F48 M26:N27 M10:N11 M45:N47 A16:F17 M16:N18 M59:N60 G61:N61 M5:N8 D5:F6 A29:F30 D28:F28 M29:N34 M36:N40 A13:F14 M13:N14 G4:L4 M49:N53 I29:L40 I25:L27 I42:L54 M42:N43 I41:N41 I5:L23 G5:H54 G55:N56">
    <cfRule type="expression" dxfId="532" priority="108">
      <formula>MOD(ROW(),2)=0</formula>
    </cfRule>
  </conditionalFormatting>
  <conditionalFormatting sqref="G2:I3">
    <cfRule type="expression" dxfId="531" priority="107">
      <formula>MOD(ROW(),2)=0</formula>
    </cfRule>
  </conditionalFormatting>
  <conditionalFormatting sqref="J2:J3">
    <cfRule type="expression" dxfId="530" priority="106">
      <formula>MOD(ROW(),2)=0</formula>
    </cfRule>
  </conditionalFormatting>
  <conditionalFormatting sqref="K2:K3">
    <cfRule type="expression" dxfId="529" priority="105">
      <formula>MOD(ROW(),2)=0</formula>
    </cfRule>
  </conditionalFormatting>
  <conditionalFormatting sqref="A34:C34 E34 A35">
    <cfRule type="expression" dxfId="528" priority="104">
      <formula>MOD(ROW(),2)=0</formula>
    </cfRule>
  </conditionalFormatting>
  <conditionalFormatting sqref="E37">
    <cfRule type="expression" dxfId="527" priority="103">
      <formula>MOD(ROW(),2)=0</formula>
    </cfRule>
  </conditionalFormatting>
  <conditionalFormatting sqref="A18:F18">
    <cfRule type="expression" dxfId="526" priority="102">
      <formula>MOD(ROW(),2)=0</formula>
    </cfRule>
  </conditionalFormatting>
  <conditionalFormatting sqref="M22:N22">
    <cfRule type="expression" dxfId="525" priority="98">
      <formula>MOD(ROW(),2)=0</formula>
    </cfRule>
  </conditionalFormatting>
  <conditionalFormatting sqref="A11:C11 E11:F11">
    <cfRule type="expression" dxfId="524" priority="100">
      <formula>MOD(ROW(),2)=0</formula>
    </cfRule>
  </conditionalFormatting>
  <conditionalFormatting sqref="N22">
    <cfRule type="expression" dxfId="523" priority="99">
      <formula>MOD(ROW(),2)=0</formula>
    </cfRule>
  </conditionalFormatting>
  <conditionalFormatting sqref="M11:N11">
    <cfRule type="expression" dxfId="522" priority="96">
      <formula>MOD(ROW(),2)=0</formula>
    </cfRule>
  </conditionalFormatting>
  <conditionalFormatting sqref="B21:C21 E21:F21">
    <cfRule type="expression" dxfId="521" priority="95">
      <formula>MOD(ROW(),2)=0</formula>
    </cfRule>
  </conditionalFormatting>
  <conditionalFormatting sqref="N11">
    <cfRule type="expression" dxfId="520" priority="97">
      <formula>MOD(ROW(),2)=0</formula>
    </cfRule>
  </conditionalFormatting>
  <conditionalFormatting sqref="A7:C7 E7:F7 A8:F8 A9:B9 D9:F9">
    <cfRule type="expression" dxfId="519" priority="94">
      <formula>MOD(ROW(),2)=0</formula>
    </cfRule>
  </conditionalFormatting>
  <conditionalFormatting sqref="N7:N8">
    <cfRule type="expression" dxfId="518" priority="93">
      <formula>MOD(ROW(),2)=0</formula>
    </cfRule>
  </conditionalFormatting>
  <conditionalFormatting sqref="M7:N8">
    <cfRule type="expression" dxfId="517" priority="92">
      <formula>MOD(ROW(),2)=0</formula>
    </cfRule>
  </conditionalFormatting>
  <conditionalFormatting sqref="A31:C31 E31:F31">
    <cfRule type="expression" dxfId="516" priority="91">
      <formula>MOD(ROW(),2)=0</formula>
    </cfRule>
  </conditionalFormatting>
  <conditionalFormatting sqref="M31:N31">
    <cfRule type="expression" dxfId="515" priority="89">
      <formula>MOD(ROW(),2)=0</formula>
    </cfRule>
  </conditionalFormatting>
  <conditionalFormatting sqref="N31">
    <cfRule type="expression" dxfId="514" priority="90">
      <formula>MOD(ROW(),2)=0</formula>
    </cfRule>
  </conditionalFormatting>
  <conditionalFormatting sqref="A39:C39 E39:F39">
    <cfRule type="expression" dxfId="513" priority="88">
      <formula>MOD(ROW(),2)=0</formula>
    </cfRule>
  </conditionalFormatting>
  <conditionalFormatting sqref="N21">
    <cfRule type="expression" dxfId="512" priority="87">
      <formula>MOD(ROW(),2)=0</formula>
    </cfRule>
  </conditionalFormatting>
  <conditionalFormatting sqref="M21:N21">
    <cfRule type="expression" dxfId="511" priority="86">
      <formula>MOD(ROW(),2)=0</formula>
    </cfRule>
  </conditionalFormatting>
  <conditionalFormatting sqref="A49:C49 E49:F49">
    <cfRule type="expression" dxfId="510" priority="85">
      <formula>MOD(ROW(),2)=0</formula>
    </cfRule>
  </conditionalFormatting>
  <conditionalFormatting sqref="L57:L58">
    <cfRule type="expression" dxfId="509" priority="84">
      <formula>MOD(ROW(),2)=0</formula>
    </cfRule>
  </conditionalFormatting>
  <conditionalFormatting sqref="G57:I58">
    <cfRule type="expression" dxfId="508" priority="83">
      <formula>MOD(ROW(),2)=0</formula>
    </cfRule>
  </conditionalFormatting>
  <conditionalFormatting sqref="J57:J58">
    <cfRule type="expression" dxfId="507" priority="82">
      <formula>MOD(ROW(),2)=0</formula>
    </cfRule>
  </conditionalFormatting>
  <conditionalFormatting sqref="K57:K58">
    <cfRule type="expression" dxfId="506" priority="81">
      <formula>MOD(ROW(),2)=0</formula>
    </cfRule>
  </conditionalFormatting>
  <conditionalFormatting sqref="D10:E10">
    <cfRule type="expression" dxfId="505" priority="77">
      <formula>MOD(ROW(),2)=0</formula>
    </cfRule>
  </conditionalFormatting>
  <conditionalFormatting sqref="A50:C51 E50:E51">
    <cfRule type="expression" dxfId="504" priority="76">
      <formula>MOD(ROW(),2)=0</formula>
    </cfRule>
  </conditionalFormatting>
  <conditionalFormatting sqref="M50:N51">
    <cfRule type="expression" dxfId="503" priority="75">
      <formula>MOD(ROW(),2)=0</formula>
    </cfRule>
  </conditionalFormatting>
  <conditionalFormatting sqref="A45:B45">
    <cfRule type="expression" dxfId="502" priority="73">
      <formula>MOD(ROW(),2)=0</formula>
    </cfRule>
  </conditionalFormatting>
  <conditionalFormatting sqref="A4:C4 E4:F4">
    <cfRule type="expression" dxfId="501" priority="72">
      <formula>MOD(ROW(),2)=0</formula>
    </cfRule>
  </conditionalFormatting>
  <conditionalFormatting sqref="M4:N4">
    <cfRule type="expression" dxfId="500" priority="71">
      <formula>MOD(ROW(),2)=0</formula>
    </cfRule>
  </conditionalFormatting>
  <conditionalFormatting sqref="M4:N4">
    <cfRule type="expression" dxfId="499" priority="69">
      <formula>MOD(ROW(),2)=0</formula>
    </cfRule>
  </conditionalFormatting>
  <conditionalFormatting sqref="N4">
    <cfRule type="expression" dxfId="498" priority="70">
      <formula>MOD(ROW(),2)=0</formula>
    </cfRule>
  </conditionalFormatting>
  <conditionalFormatting sqref="A36:C36 E36:F36">
    <cfRule type="expression" dxfId="497" priority="68">
      <formula>MOD(ROW(),2)=0</formula>
    </cfRule>
  </conditionalFormatting>
  <conditionalFormatting sqref="A59:F59 F60">
    <cfRule type="expression" dxfId="496" priority="67">
      <formula>MOD(ROW(),2)=0</formula>
    </cfRule>
  </conditionalFormatting>
  <conditionalFormatting sqref="A12:F12">
    <cfRule type="expression" dxfId="495" priority="66">
      <formula>MOD(ROW(),2)=0</formula>
    </cfRule>
  </conditionalFormatting>
  <conditionalFormatting sqref="M12:N12">
    <cfRule type="expression" dxfId="494" priority="65">
      <formula>MOD(ROW(),2)=0</formula>
    </cfRule>
  </conditionalFormatting>
  <conditionalFormatting sqref="M12:N12">
    <cfRule type="expression" dxfId="493" priority="63">
      <formula>MOD(ROW(),2)=0</formula>
    </cfRule>
  </conditionalFormatting>
  <conditionalFormatting sqref="N12">
    <cfRule type="expression" dxfId="492" priority="64">
      <formula>MOD(ROW(),2)=0</formula>
    </cfRule>
  </conditionalFormatting>
  <conditionalFormatting sqref="F45">
    <cfRule type="expression" dxfId="491" priority="62">
      <formula>MOD(ROW(),2)=0</formula>
    </cfRule>
  </conditionalFormatting>
  <conditionalFormatting sqref="D45:E45">
    <cfRule type="expression" dxfId="490" priority="61">
      <formula>MOD(ROW(),2)=0</formula>
    </cfRule>
  </conditionalFormatting>
  <conditionalFormatting sqref="D7">
    <cfRule type="expression" dxfId="489" priority="60">
      <formula>MOD(ROW(),2)=0</formula>
    </cfRule>
  </conditionalFormatting>
  <conditionalFormatting sqref="D4">
    <cfRule type="expression" dxfId="488" priority="59">
      <formula>MOD(ROW(),2)=0</formula>
    </cfRule>
  </conditionalFormatting>
  <conditionalFormatting sqref="D11">
    <cfRule type="expression" dxfId="487" priority="58">
      <formula>MOD(ROW(),2)=0</formula>
    </cfRule>
  </conditionalFormatting>
  <conditionalFormatting sqref="D21">
    <cfRule type="expression" dxfId="486" priority="57">
      <formula>MOD(ROW(),2)=0</formula>
    </cfRule>
  </conditionalFormatting>
  <conditionalFormatting sqref="D50:D51">
    <cfRule type="expression" dxfId="485" priority="47">
      <formula>MOD(ROW(),2)=0</formula>
    </cfRule>
  </conditionalFormatting>
  <conditionalFormatting sqref="D31">
    <cfRule type="expression" dxfId="484" priority="56">
      <formula>MOD(ROW(),2)=0</formula>
    </cfRule>
  </conditionalFormatting>
  <conditionalFormatting sqref="D34 D36">
    <cfRule type="expression" dxfId="483" priority="55">
      <formula>MOD(ROW(),2)=0</formula>
    </cfRule>
  </conditionalFormatting>
  <conditionalFormatting sqref="D33">
    <cfRule type="expression" dxfId="482" priority="54">
      <formula>MOD(ROW(),2)=0</formula>
    </cfRule>
  </conditionalFormatting>
  <conditionalFormatting sqref="D37">
    <cfRule type="expression" dxfId="481" priority="53">
      <formula>MOD(ROW(),2)=0</formula>
    </cfRule>
  </conditionalFormatting>
  <conditionalFormatting sqref="D39">
    <cfRule type="expression" dxfId="480" priority="50">
      <formula>MOD(ROW(),2)=0</formula>
    </cfRule>
  </conditionalFormatting>
  <conditionalFormatting sqref="D52">
    <cfRule type="expression" dxfId="479" priority="49">
      <formula>MOD(ROW(),2)=0</formula>
    </cfRule>
  </conditionalFormatting>
  <conditionalFormatting sqref="D49">
    <cfRule type="expression" dxfId="478" priority="48">
      <formula>MOD(ROW(),2)=0</formula>
    </cfRule>
  </conditionalFormatting>
  <conditionalFormatting sqref="A54:C54 E54:F54">
    <cfRule type="expression" dxfId="477" priority="42">
      <formula>MOD(ROW(),2)=0</formula>
    </cfRule>
  </conditionalFormatting>
  <conditionalFormatting sqref="M54:N54">
    <cfRule type="expression" dxfId="476" priority="41">
      <formula>MOD(ROW(),2)=0</formula>
    </cfRule>
  </conditionalFormatting>
  <conditionalFormatting sqref="A44:B44">
    <cfRule type="expression" dxfId="475" priority="40">
      <formula>MOD(ROW(),2)=0</formula>
    </cfRule>
  </conditionalFormatting>
  <conditionalFormatting sqref="M44:N44">
    <cfRule type="expression" dxfId="474" priority="39">
      <formula>MOD(ROW(),2)=0</formula>
    </cfRule>
  </conditionalFormatting>
  <conditionalFormatting sqref="A38:F38">
    <cfRule type="expression" dxfId="473" priority="36">
      <formula>MOD(ROW(),2)=0</formula>
    </cfRule>
  </conditionalFormatting>
  <conditionalFormatting sqref="A15:F15">
    <cfRule type="expression" dxfId="472" priority="35">
      <formula>MOD(ROW(),2)=0</formula>
    </cfRule>
  </conditionalFormatting>
  <conditionalFormatting sqref="M15:N15">
    <cfRule type="expression" dxfId="471" priority="34">
      <formula>MOD(ROW(),2)=0</formula>
    </cfRule>
  </conditionalFormatting>
  <conditionalFormatting sqref="B20:F20 C19:F19">
    <cfRule type="expression" dxfId="470" priority="33">
      <formula>MOD(ROW(),2)=0</formula>
    </cfRule>
  </conditionalFormatting>
  <conditionalFormatting sqref="M19:N20">
    <cfRule type="expression" dxfId="469" priority="32">
      <formula>MOD(ROW(),2)=0</formula>
    </cfRule>
  </conditionalFormatting>
  <conditionalFormatting sqref="M25:N25">
    <cfRule type="expression" dxfId="468" priority="28">
      <formula>MOD(ROW(),2)=0</formula>
    </cfRule>
  </conditionalFormatting>
  <conditionalFormatting sqref="A25:F25">
    <cfRule type="expression" dxfId="467" priority="31">
      <formula>MOD(ROW(),2)=0</formula>
    </cfRule>
  </conditionalFormatting>
  <conditionalFormatting sqref="A42:F42">
    <cfRule type="expression" dxfId="466" priority="30">
      <formula>MOD(ROW(),2)=0</formula>
    </cfRule>
  </conditionalFormatting>
  <conditionalFormatting sqref="A53:C53 E53:F53">
    <cfRule type="expression" dxfId="465" priority="29">
      <formula>MOD(ROW(),2)=0</formula>
    </cfRule>
  </conditionalFormatting>
  <conditionalFormatting sqref="A60:E60">
    <cfRule type="expression" dxfId="464" priority="27">
      <formula>MOD(ROW(),2)=0</formula>
    </cfRule>
  </conditionalFormatting>
  <conditionalFormatting sqref="A47:E47 A48">
    <cfRule type="expression" dxfId="463" priority="26">
      <formula>MOD(ROW(),2)=0</formula>
    </cfRule>
  </conditionalFormatting>
  <conditionalFormatting sqref="B48:E48">
    <cfRule type="expression" dxfId="462" priority="23">
      <formula>MOD(ROW(),2)=0</formula>
    </cfRule>
  </conditionalFormatting>
  <conditionalFormatting sqref="C9">
    <cfRule type="expression" dxfId="461" priority="21">
      <formula>MOD(ROW(),2)=0</formula>
    </cfRule>
  </conditionalFormatting>
  <conditionalFormatting sqref="M9:N9">
    <cfRule type="expression" dxfId="460" priority="20">
      <formula>MOD(ROW(),2)=0</formula>
    </cfRule>
  </conditionalFormatting>
  <conditionalFormatting sqref="N9">
    <cfRule type="expression" dxfId="459" priority="19">
      <formula>MOD(ROW(),2)=0</formula>
    </cfRule>
  </conditionalFormatting>
  <conditionalFormatting sqref="M9:N9">
    <cfRule type="expression" dxfId="458" priority="18">
      <formula>MOD(ROW(),2)=0</formula>
    </cfRule>
  </conditionalFormatting>
  <conditionalFormatting sqref="B35">
    <cfRule type="expression" dxfId="457" priority="17">
      <formula>MOD(ROW(),2)=0</formula>
    </cfRule>
  </conditionalFormatting>
  <conditionalFormatting sqref="C35">
    <cfRule type="expression" dxfId="456" priority="16">
      <formula>MOD(ROW(),2)=0</formula>
    </cfRule>
  </conditionalFormatting>
  <conditionalFormatting sqref="D35:E35">
    <cfRule type="expression" dxfId="455" priority="15">
      <formula>MOD(ROW(),2)=0</formula>
    </cfRule>
  </conditionalFormatting>
  <conditionalFormatting sqref="M35:N35">
    <cfRule type="expression" dxfId="454" priority="14">
      <formula>MOD(ROW(),2)=0</formula>
    </cfRule>
  </conditionalFormatting>
  <conditionalFormatting sqref="B19">
    <cfRule type="expression" dxfId="453" priority="13">
      <formula>MOD(ROW(),2)=0</formula>
    </cfRule>
  </conditionalFormatting>
  <conditionalFormatting sqref="A19:A20">
    <cfRule type="expression" dxfId="452" priority="12">
      <formula>MOD(ROW(),2)=0</formula>
    </cfRule>
  </conditionalFormatting>
  <conditionalFormatting sqref="M48:N48">
    <cfRule type="expression" dxfId="451" priority="11">
      <formula>MOD(ROW(),2)=0</formula>
    </cfRule>
  </conditionalFormatting>
  <conditionalFormatting sqref="G59:L60">
    <cfRule type="expression" dxfId="450" priority="9">
      <formula>MOD(ROW(),2)=0</formula>
    </cfRule>
  </conditionalFormatting>
  <conditionalFormatting sqref="D54">
    <cfRule type="expression" dxfId="449" priority="8">
      <formula>MOD(ROW(),2)=0</formula>
    </cfRule>
  </conditionalFormatting>
  <conditionalFormatting sqref="D53">
    <cfRule type="expression" dxfId="448" priority="7">
      <formula>MOD(ROW(),2)=0</formula>
    </cfRule>
  </conditionalFormatting>
  <conditionalFormatting sqref="A28:C28">
    <cfRule type="expression" dxfId="447" priority="6">
      <formula>MOD(ROW(),2)=0</formula>
    </cfRule>
  </conditionalFormatting>
  <conditionalFormatting sqref="I28:N28">
    <cfRule type="expression" dxfId="446" priority="5">
      <formula>MOD(ROW(),2)=0</formula>
    </cfRule>
  </conditionalFormatting>
  <conditionalFormatting sqref="A24:F24">
    <cfRule type="expression" dxfId="445" priority="4">
      <formula>MOD(ROW(),2)=0</formula>
    </cfRule>
  </conditionalFormatting>
  <conditionalFormatting sqref="I24:N24">
    <cfRule type="expression" dxfId="444" priority="3">
      <formula>MOD(ROW(),2)=0</formula>
    </cfRule>
  </conditionalFormatting>
  <conditionalFormatting sqref="A41:F41">
    <cfRule type="expression" dxfId="443" priority="2">
      <formula>MOD(ROW(),2)=0</formula>
    </cfRule>
  </conditionalFormatting>
  <conditionalFormatting sqref="A5:C6">
    <cfRule type="expression" dxfId="442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7"/>
  <sheetViews>
    <sheetView topLeftCell="A22" workbookViewId="0">
      <selection activeCell="F32" sqref="F32"/>
    </sheetView>
  </sheetViews>
  <sheetFormatPr defaultRowHeight="15" outlineLevelCol="1" x14ac:dyDescent="0.25"/>
  <cols>
    <col min="1" max="1" width="10.140625" style="132" customWidth="1" outlineLevel="1"/>
    <col min="2" max="2" width="18.7109375" style="132" customWidth="1" outlineLevel="1"/>
    <col min="3" max="3" width="14.28515625" style="132" customWidth="1"/>
    <col min="4" max="4" width="18" style="132" customWidth="1"/>
    <col min="5" max="5" width="9.42578125" style="132" customWidth="1"/>
    <col min="6" max="6" width="6.5703125" style="132" customWidth="1"/>
    <col min="7" max="7" width="1.7109375" style="132" customWidth="1"/>
    <col min="8" max="17" width="13.42578125" style="132" hidden="1" customWidth="1" outlineLevel="1"/>
    <col min="18" max="18" width="13.42578125" style="132" customWidth="1" collapsed="1"/>
    <col min="19" max="27" width="13.42578125" style="132" customWidth="1"/>
    <col min="28" max="28" width="11.28515625" style="132" customWidth="1"/>
    <col min="29" max="29" width="10.42578125" style="132" customWidth="1" outlineLevel="1"/>
    <col min="30" max="30" width="10.7109375" style="132" customWidth="1" outlineLevel="1"/>
    <col min="31" max="36" width="9.140625" style="132"/>
    <col min="37" max="37" width="14.140625" style="132" customWidth="1"/>
    <col min="38" max="38" width="12" style="132" customWidth="1"/>
    <col min="39" max="39" width="15.85546875" style="132" customWidth="1"/>
    <col min="40" max="16384" width="9.140625" style="132"/>
  </cols>
  <sheetData>
    <row r="1" spans="1:38" ht="15.75" thickBot="1" x14ac:dyDescent="0.3"/>
    <row r="2" spans="1:38" ht="15.75" thickBot="1" x14ac:dyDescent="0.3">
      <c r="G2" s="220"/>
      <c r="H2" s="221">
        <v>46266</v>
      </c>
      <c r="I2" s="255">
        <v>46267</v>
      </c>
      <c r="J2" s="255">
        <v>46268</v>
      </c>
      <c r="K2" s="255">
        <v>46269</v>
      </c>
      <c r="L2" s="255">
        <v>46272</v>
      </c>
      <c r="M2" s="255">
        <v>46273</v>
      </c>
      <c r="N2" s="255">
        <v>46274</v>
      </c>
      <c r="O2" s="255">
        <v>46275</v>
      </c>
      <c r="P2" s="255">
        <v>46276</v>
      </c>
      <c r="Q2" s="255">
        <v>46280</v>
      </c>
      <c r="R2" s="255">
        <v>46281</v>
      </c>
      <c r="S2" s="255">
        <v>46282</v>
      </c>
      <c r="T2" s="255">
        <v>46283</v>
      </c>
      <c r="U2" s="255">
        <v>46286</v>
      </c>
      <c r="V2" s="255">
        <v>46287</v>
      </c>
      <c r="W2" s="255">
        <v>46288</v>
      </c>
      <c r="X2" s="255">
        <v>46289</v>
      </c>
      <c r="Y2" s="255">
        <v>46290</v>
      </c>
      <c r="Z2" s="255">
        <v>46293</v>
      </c>
      <c r="AA2" s="255">
        <v>46294</v>
      </c>
      <c r="AB2" s="182">
        <v>46295</v>
      </c>
      <c r="AC2" s="183" t="s">
        <v>281</v>
      </c>
      <c r="AD2" s="184" t="s">
        <v>280</v>
      </c>
    </row>
    <row r="3" spans="1:38" x14ac:dyDescent="0.25">
      <c r="A3" s="185" t="s">
        <v>54</v>
      </c>
      <c r="B3" s="185" t="s">
        <v>69</v>
      </c>
      <c r="C3" s="185" t="s">
        <v>70</v>
      </c>
      <c r="D3" s="185" t="s">
        <v>2</v>
      </c>
      <c r="E3" s="185" t="s">
        <v>257</v>
      </c>
      <c r="F3" s="186" t="s">
        <v>9</v>
      </c>
      <c r="G3" s="187"/>
      <c r="H3" s="178" t="s">
        <v>233</v>
      </c>
      <c r="I3" s="178" t="s">
        <v>237</v>
      </c>
      <c r="J3" s="178" t="s">
        <v>236</v>
      </c>
      <c r="K3" s="178" t="s">
        <v>235</v>
      </c>
      <c r="L3" s="178" t="s">
        <v>234</v>
      </c>
      <c r="M3" s="178" t="s">
        <v>233</v>
      </c>
      <c r="N3" s="178" t="s">
        <v>237</v>
      </c>
      <c r="O3" s="178" t="s">
        <v>236</v>
      </c>
      <c r="P3" s="178" t="s">
        <v>322</v>
      </c>
      <c r="Q3" s="178" t="s">
        <v>233</v>
      </c>
      <c r="R3" s="178" t="s">
        <v>237</v>
      </c>
      <c r="S3" s="178" t="s">
        <v>236</v>
      </c>
      <c r="T3" s="178" t="s">
        <v>235</v>
      </c>
      <c r="U3" s="178" t="s">
        <v>234</v>
      </c>
      <c r="V3" s="178" t="s">
        <v>233</v>
      </c>
      <c r="W3" s="178" t="s">
        <v>237</v>
      </c>
      <c r="X3" s="178" t="s">
        <v>236</v>
      </c>
      <c r="Y3" s="178" t="s">
        <v>235</v>
      </c>
      <c r="Z3" s="178" t="s">
        <v>234</v>
      </c>
      <c r="AA3" s="178" t="s">
        <v>233</v>
      </c>
      <c r="AB3" s="179" t="s">
        <v>237</v>
      </c>
      <c r="AC3" s="188"/>
      <c r="AD3" s="179"/>
      <c r="AK3" s="132" t="s">
        <v>198</v>
      </c>
      <c r="AL3" s="132">
        <v>13780</v>
      </c>
    </row>
    <row r="4" spans="1:38" x14ac:dyDescent="0.25">
      <c r="A4" s="141" t="s">
        <v>216</v>
      </c>
      <c r="B4" s="44" t="s">
        <v>215</v>
      </c>
      <c r="C4" s="141" t="s">
        <v>11</v>
      </c>
      <c r="D4" s="141" t="s">
        <v>260</v>
      </c>
      <c r="E4" s="141" t="s">
        <v>256</v>
      </c>
      <c r="F4" s="155">
        <v>0.5</v>
      </c>
      <c r="G4" s="189"/>
      <c r="H4" s="157">
        <v>0</v>
      </c>
      <c r="I4" s="157">
        <v>-13362</v>
      </c>
      <c r="J4" s="157">
        <v>1600</v>
      </c>
      <c r="K4" s="157">
        <v>-649</v>
      </c>
      <c r="L4" s="157">
        <v>8090</v>
      </c>
      <c r="M4" s="157">
        <v>5321</v>
      </c>
      <c r="N4" s="157">
        <v>-27681</v>
      </c>
      <c r="O4" s="157">
        <v>-22117</v>
      </c>
      <c r="P4" s="157">
        <v>-1063</v>
      </c>
      <c r="Q4" s="157">
        <v>9212</v>
      </c>
      <c r="R4" s="157">
        <v>-149</v>
      </c>
      <c r="S4" s="157">
        <v>-21850</v>
      </c>
      <c r="T4" s="157">
        <v>-420855</v>
      </c>
      <c r="U4" s="157">
        <v>34091</v>
      </c>
      <c r="V4" s="157">
        <v>-25668</v>
      </c>
      <c r="W4" s="157">
        <v>-1331</v>
      </c>
      <c r="X4" s="157">
        <v>-14264</v>
      </c>
      <c r="Y4" s="157">
        <v>-17150</v>
      </c>
      <c r="Z4" s="157">
        <v>53417</v>
      </c>
      <c r="AA4" s="157">
        <v>3780</v>
      </c>
      <c r="AB4" s="210">
        <v>-26466</v>
      </c>
      <c r="AC4" s="170">
        <f t="shared" ref="AC4:AC30" si="0">SUM(H4:AB4)</f>
        <v>-477094</v>
      </c>
      <c r="AD4" s="148">
        <f t="shared" ref="AD4:AD30" si="1">IFERROR(AC4/F4*100,0)/10000000</f>
        <v>-9.5418800000000008</v>
      </c>
      <c r="AK4" s="132" t="s">
        <v>170</v>
      </c>
      <c r="AL4" s="132">
        <v>2865</v>
      </c>
    </row>
    <row r="5" spans="1:38" x14ac:dyDescent="0.25">
      <c r="A5" s="141" t="s">
        <v>30</v>
      </c>
      <c r="B5" s="140" t="s">
        <v>309</v>
      </c>
      <c r="C5" s="140" t="s">
        <v>6</v>
      </c>
      <c r="D5" s="159" t="s">
        <v>138</v>
      </c>
      <c r="E5" s="159" t="s">
        <v>256</v>
      </c>
      <c r="F5" s="155">
        <v>3</v>
      </c>
      <c r="G5" s="190"/>
      <c r="H5" s="146">
        <v>-170827</v>
      </c>
      <c r="I5" s="146">
        <v>31407</v>
      </c>
      <c r="J5" s="146">
        <v>31240</v>
      </c>
      <c r="K5" s="146">
        <v>73349</v>
      </c>
      <c r="L5" s="146">
        <v>38045</v>
      </c>
      <c r="M5" s="146">
        <v>22400</v>
      </c>
      <c r="N5" s="146">
        <v>-11568</v>
      </c>
      <c r="O5" s="146">
        <v>80488</v>
      </c>
      <c r="P5" s="146">
        <v>-190900</v>
      </c>
      <c r="Q5" s="146">
        <v>182819</v>
      </c>
      <c r="R5" s="146">
        <v>81831</v>
      </c>
      <c r="S5" s="146">
        <v>-92500</v>
      </c>
      <c r="T5" s="146">
        <v>144762</v>
      </c>
      <c r="U5" s="146">
        <v>32233</v>
      </c>
      <c r="V5" s="146">
        <v>-100079</v>
      </c>
      <c r="W5" s="146">
        <v>59283</v>
      </c>
      <c r="X5" s="146">
        <v>-163262</v>
      </c>
      <c r="Y5" s="146">
        <v>14537</v>
      </c>
      <c r="Z5" s="146">
        <v>225020</v>
      </c>
      <c r="AA5" s="146">
        <v>0</v>
      </c>
      <c r="AB5" s="173">
        <v>-129367</v>
      </c>
      <c r="AC5" s="170">
        <f t="shared" si="0"/>
        <v>158911</v>
      </c>
      <c r="AD5" s="148">
        <f t="shared" si="1"/>
        <v>0.52970333333333341</v>
      </c>
    </row>
    <row r="6" spans="1:38" x14ac:dyDescent="0.25">
      <c r="A6" s="141" t="s">
        <v>177</v>
      </c>
      <c r="B6" s="140" t="s">
        <v>309</v>
      </c>
      <c r="C6" s="140" t="s">
        <v>310</v>
      </c>
      <c r="D6" s="159" t="s">
        <v>138</v>
      </c>
      <c r="E6" s="159" t="s">
        <v>256</v>
      </c>
      <c r="F6" s="155">
        <v>1</v>
      </c>
      <c r="G6" s="190"/>
      <c r="H6" s="146">
        <v>0</v>
      </c>
      <c r="I6" s="146">
        <v>0</v>
      </c>
      <c r="J6" s="146">
        <v>0</v>
      </c>
      <c r="K6" s="146">
        <v>0</v>
      </c>
      <c r="L6" s="146">
        <v>11900</v>
      </c>
      <c r="M6" s="146">
        <v>0</v>
      </c>
      <c r="N6" s="146">
        <v>-18730</v>
      </c>
      <c r="O6" s="146">
        <v>0</v>
      </c>
      <c r="P6" s="146">
        <v>0</v>
      </c>
      <c r="Q6" s="146">
        <v>0</v>
      </c>
      <c r="R6" s="146">
        <v>0</v>
      </c>
      <c r="S6" s="146">
        <v>0</v>
      </c>
      <c r="T6" s="146">
        <v>0</v>
      </c>
      <c r="U6" s="146">
        <v>0</v>
      </c>
      <c r="V6" s="146">
        <v>0</v>
      </c>
      <c r="W6" s="146">
        <v>0</v>
      </c>
      <c r="X6" s="146">
        <v>0</v>
      </c>
      <c r="Y6" s="146">
        <v>0</v>
      </c>
      <c r="Z6" s="146">
        <v>0</v>
      </c>
      <c r="AA6" s="146">
        <v>0</v>
      </c>
      <c r="AB6" s="173">
        <v>0</v>
      </c>
      <c r="AC6" s="170">
        <f t="shared" si="0"/>
        <v>-6830</v>
      </c>
      <c r="AD6" s="148">
        <f t="shared" si="1"/>
        <v>-6.83E-2</v>
      </c>
    </row>
    <row r="7" spans="1:38" x14ac:dyDescent="0.25">
      <c r="A7" s="141" t="s">
        <v>323</v>
      </c>
      <c r="B7" s="140" t="s">
        <v>309</v>
      </c>
      <c r="C7" s="140" t="s">
        <v>312</v>
      </c>
      <c r="D7" s="159" t="s">
        <v>311</v>
      </c>
      <c r="E7" s="159" t="s">
        <v>256</v>
      </c>
      <c r="F7" s="155">
        <v>1</v>
      </c>
      <c r="G7" s="190"/>
      <c r="H7" s="146">
        <v>-63700</v>
      </c>
      <c r="I7" s="146">
        <v>13000</v>
      </c>
      <c r="J7" s="146">
        <v>0</v>
      </c>
      <c r="K7" s="146">
        <v>37000</v>
      </c>
      <c r="L7" s="146">
        <v>31000</v>
      </c>
      <c r="M7" s="146">
        <v>0</v>
      </c>
      <c r="N7" s="146">
        <v>6500</v>
      </c>
      <c r="O7" s="146">
        <v>28500</v>
      </c>
      <c r="P7" s="146">
        <v>447</v>
      </c>
      <c r="Q7" s="146">
        <v>29500</v>
      </c>
      <c r="R7" s="146">
        <v>23300</v>
      </c>
      <c r="S7" s="146">
        <v>-85900</v>
      </c>
      <c r="T7" s="146">
        <v>56700</v>
      </c>
      <c r="U7" s="146">
        <v>-13800</v>
      </c>
      <c r="V7" s="146">
        <v>1560</v>
      </c>
      <c r="W7" s="146">
        <v>23000</v>
      </c>
      <c r="X7" s="146">
        <v>27122</v>
      </c>
      <c r="Y7" s="146">
        <v>-38700</v>
      </c>
      <c r="Z7" s="146">
        <v>0</v>
      </c>
      <c r="AA7" s="146">
        <v>0</v>
      </c>
      <c r="AB7" s="173">
        <v>-182925</v>
      </c>
      <c r="AC7" s="170">
        <f t="shared" si="0"/>
        <v>-107396</v>
      </c>
      <c r="AD7" s="148">
        <f t="shared" si="1"/>
        <v>-1.07396</v>
      </c>
    </row>
    <row r="8" spans="1:38" ht="15.75" customHeight="1" x14ac:dyDescent="0.25">
      <c r="A8" s="141" t="s">
        <v>134</v>
      </c>
      <c r="B8" s="140" t="s">
        <v>133</v>
      </c>
      <c r="C8" s="140" t="s">
        <v>135</v>
      </c>
      <c r="D8" s="159" t="s">
        <v>258</v>
      </c>
      <c r="E8" s="159" t="s">
        <v>290</v>
      </c>
      <c r="F8" s="155">
        <v>3</v>
      </c>
      <c r="G8" s="190"/>
      <c r="H8" s="146">
        <v>179600</v>
      </c>
      <c r="I8" s="146">
        <v>-26565</v>
      </c>
      <c r="J8" s="146">
        <v>-45278</v>
      </c>
      <c r="K8" s="146">
        <v>-46000</v>
      </c>
      <c r="L8" s="146">
        <v>-59835</v>
      </c>
      <c r="M8" s="146">
        <v>25445</v>
      </c>
      <c r="N8" s="146">
        <v>-46828</v>
      </c>
      <c r="O8" s="146">
        <v>94220</v>
      </c>
      <c r="P8" s="146">
        <v>-131800</v>
      </c>
      <c r="Q8" s="146">
        <v>121400</v>
      </c>
      <c r="R8" s="146">
        <v>-30125</v>
      </c>
      <c r="S8" s="146">
        <v>-78630</v>
      </c>
      <c r="T8" s="146">
        <v>3450</v>
      </c>
      <c r="U8" s="146">
        <v>81400</v>
      </c>
      <c r="V8" s="146">
        <v>17000</v>
      </c>
      <c r="W8" s="146">
        <v>13000</v>
      </c>
      <c r="X8" s="146">
        <v>65900</v>
      </c>
      <c r="Y8" s="146">
        <v>-123415</v>
      </c>
      <c r="Z8" s="146">
        <v>-196500</v>
      </c>
      <c r="AA8" s="146">
        <v>-21135</v>
      </c>
      <c r="AB8" s="173">
        <v>-157365</v>
      </c>
      <c r="AC8" s="170">
        <f t="shared" si="0"/>
        <v>-362061</v>
      </c>
      <c r="AD8" s="148">
        <f t="shared" si="1"/>
        <v>-1.2068700000000001</v>
      </c>
      <c r="AF8" s="5"/>
      <c r="AG8" s="133">
        <v>-119642</v>
      </c>
    </row>
    <row r="9" spans="1:38" x14ac:dyDescent="0.25">
      <c r="A9" s="141" t="s">
        <v>217</v>
      </c>
      <c r="B9" s="140" t="s">
        <v>133</v>
      </c>
      <c r="C9" s="140" t="s">
        <v>96</v>
      </c>
      <c r="D9" s="159" t="s">
        <v>116</v>
      </c>
      <c r="E9" s="159" t="s">
        <v>256</v>
      </c>
      <c r="F9" s="155">
        <v>1.5</v>
      </c>
      <c r="G9" s="190"/>
      <c r="H9" s="146">
        <v>59398</v>
      </c>
      <c r="I9" s="146">
        <v>-14500</v>
      </c>
      <c r="J9" s="146">
        <v>36650</v>
      </c>
      <c r="K9" s="146">
        <v>-5025</v>
      </c>
      <c r="L9" s="146">
        <v>18806</v>
      </c>
      <c r="M9" s="146">
        <v>-500</v>
      </c>
      <c r="N9" s="146">
        <v>-34321</v>
      </c>
      <c r="O9" s="146">
        <v>4630</v>
      </c>
      <c r="P9" s="146">
        <v>17255</v>
      </c>
      <c r="Q9" s="146">
        <v>30940</v>
      </c>
      <c r="R9" s="146">
        <v>-63430</v>
      </c>
      <c r="S9" s="146">
        <v>-31200</v>
      </c>
      <c r="T9" s="146">
        <v>-20828</v>
      </c>
      <c r="U9" s="146">
        <v>32323</v>
      </c>
      <c r="V9" s="146">
        <v>34000</v>
      </c>
      <c r="W9" s="146">
        <v>-5914</v>
      </c>
      <c r="X9" s="146">
        <v>18458</v>
      </c>
      <c r="Y9" s="146">
        <v>-12117</v>
      </c>
      <c r="Z9" s="146">
        <v>11354</v>
      </c>
      <c r="AA9" s="146">
        <v>0</v>
      </c>
      <c r="AB9" s="173">
        <v>-8756</v>
      </c>
      <c r="AC9" s="170">
        <f t="shared" si="0"/>
        <v>67223</v>
      </c>
      <c r="AD9" s="148">
        <f t="shared" si="1"/>
        <v>0.4481533333333334</v>
      </c>
      <c r="AF9" s="133">
        <v>3588406</v>
      </c>
      <c r="AG9" s="133"/>
    </row>
    <row r="10" spans="1:38" x14ac:dyDescent="0.25">
      <c r="A10" s="141" t="s">
        <v>313</v>
      </c>
      <c r="B10" s="140" t="s">
        <v>133</v>
      </c>
      <c r="C10" s="140" t="s">
        <v>294</v>
      </c>
      <c r="D10" s="159" t="s">
        <v>116</v>
      </c>
      <c r="E10" s="159"/>
      <c r="F10" s="155">
        <v>0.6</v>
      </c>
      <c r="G10" s="190"/>
      <c r="H10" s="146">
        <v>8234</v>
      </c>
      <c r="I10" s="146">
        <v>-21600</v>
      </c>
      <c r="J10" s="146">
        <v>21640</v>
      </c>
      <c r="K10" s="146">
        <v>2000</v>
      </c>
      <c r="L10" s="146">
        <v>8920</v>
      </c>
      <c r="M10" s="146">
        <v>2577</v>
      </c>
      <c r="N10" s="146">
        <v>-1822</v>
      </c>
      <c r="O10" s="146">
        <v>2900</v>
      </c>
      <c r="P10" s="146">
        <v>8888</v>
      </c>
      <c r="Q10" s="146">
        <v>9100</v>
      </c>
      <c r="R10" s="146">
        <v>-31500</v>
      </c>
      <c r="S10" s="146">
        <v>-900</v>
      </c>
      <c r="T10" s="146">
        <v>-18262</v>
      </c>
      <c r="U10" s="146">
        <v>43007</v>
      </c>
      <c r="V10" s="146">
        <v>19188</v>
      </c>
      <c r="W10" s="146">
        <v>-19806</v>
      </c>
      <c r="X10" s="146">
        <v>26000</v>
      </c>
      <c r="Y10" s="146">
        <v>25600</v>
      </c>
      <c r="Z10" s="146">
        <v>0</v>
      </c>
      <c r="AA10" s="146">
        <v>0</v>
      </c>
      <c r="AB10" s="173">
        <v>18156</v>
      </c>
      <c r="AC10" s="170">
        <f t="shared" si="0"/>
        <v>102320</v>
      </c>
      <c r="AD10" s="148">
        <f t="shared" si="1"/>
        <v>1.7053333333333336</v>
      </c>
      <c r="AF10" s="133">
        <v>3468764</v>
      </c>
      <c r="AG10" s="133">
        <f>(AF10+AF9)/10000000*13780</f>
        <v>9724.7802600000014</v>
      </c>
    </row>
    <row r="11" spans="1:38" x14ac:dyDescent="0.25">
      <c r="A11" s="142" t="s">
        <v>35</v>
      </c>
      <c r="B11" s="140" t="s">
        <v>55</v>
      </c>
      <c r="C11" s="140" t="s">
        <v>79</v>
      </c>
      <c r="D11" s="142" t="s">
        <v>112</v>
      </c>
      <c r="E11" s="142" t="s">
        <v>256</v>
      </c>
      <c r="F11" s="156">
        <v>15</v>
      </c>
      <c r="G11" s="191"/>
      <c r="H11" s="146">
        <v>-413740</v>
      </c>
      <c r="I11" s="146">
        <v>0</v>
      </c>
      <c r="J11" s="146">
        <v>0</v>
      </c>
      <c r="K11" s="146">
        <v>27700</v>
      </c>
      <c r="L11" s="146">
        <v>59800</v>
      </c>
      <c r="M11" s="146">
        <v>87600</v>
      </c>
      <c r="N11" s="146">
        <v>0</v>
      </c>
      <c r="O11" s="146">
        <v>-8276</v>
      </c>
      <c r="P11" s="146">
        <v>-182170</v>
      </c>
      <c r="Q11" s="146">
        <v>-335162</v>
      </c>
      <c r="R11" s="146">
        <v>0</v>
      </c>
      <c r="S11" s="146">
        <v>4326</v>
      </c>
      <c r="T11" s="146">
        <v>0</v>
      </c>
      <c r="U11" s="146">
        <v>40700</v>
      </c>
      <c r="V11" s="146">
        <v>56788</v>
      </c>
      <c r="W11" s="146">
        <v>0</v>
      </c>
      <c r="X11" s="146">
        <v>0</v>
      </c>
      <c r="Y11" s="146">
        <v>17500</v>
      </c>
      <c r="Z11" s="146">
        <v>0</v>
      </c>
      <c r="AA11" s="146">
        <v>45000</v>
      </c>
      <c r="AB11" s="173">
        <v>16600</v>
      </c>
      <c r="AC11" s="170">
        <f t="shared" si="0"/>
        <v>-583334</v>
      </c>
      <c r="AD11" s="148">
        <f t="shared" si="1"/>
        <v>-0.38888933333333336</v>
      </c>
      <c r="AF11" s="133"/>
      <c r="AG11" s="133"/>
    </row>
    <row r="12" spans="1:38" x14ac:dyDescent="0.25">
      <c r="A12" s="142" t="s">
        <v>137</v>
      </c>
      <c r="B12" s="140" t="s">
        <v>122</v>
      </c>
      <c r="C12" s="140" t="s">
        <v>136</v>
      </c>
      <c r="D12" s="142" t="s">
        <v>259</v>
      </c>
      <c r="E12" s="142" t="s">
        <v>256</v>
      </c>
      <c r="F12" s="156">
        <v>6</v>
      </c>
      <c r="G12" s="191"/>
      <c r="H12" s="146">
        <v>-61243</v>
      </c>
      <c r="I12" s="146">
        <v>50</v>
      </c>
      <c r="J12" s="146">
        <v>-50942</v>
      </c>
      <c r="K12" s="146">
        <v>0</v>
      </c>
      <c r="L12" s="146">
        <v>80</v>
      </c>
      <c r="M12" s="146">
        <v>-7456</v>
      </c>
      <c r="N12" s="146">
        <v>0</v>
      </c>
      <c r="O12" s="146">
        <v>-400</v>
      </c>
      <c r="P12" s="146">
        <v>50</v>
      </c>
      <c r="Q12" s="146">
        <v>145167</v>
      </c>
      <c r="R12" s="146">
        <v>-100</v>
      </c>
      <c r="S12" s="146">
        <v>-35135</v>
      </c>
      <c r="T12" s="146">
        <v>0</v>
      </c>
      <c r="U12" s="146">
        <v>19322</v>
      </c>
      <c r="V12" s="146">
        <v>4272</v>
      </c>
      <c r="W12" s="146">
        <v>0</v>
      </c>
      <c r="X12" s="146">
        <v>-30000</v>
      </c>
      <c r="Y12" s="146">
        <v>50</v>
      </c>
      <c r="Z12" s="146">
        <v>-4973</v>
      </c>
      <c r="AA12" s="146">
        <v>8864</v>
      </c>
      <c r="AB12" s="173">
        <v>0</v>
      </c>
      <c r="AC12" s="170">
        <f t="shared" si="0"/>
        <v>-12394</v>
      </c>
      <c r="AD12" s="148">
        <f t="shared" si="1"/>
        <v>-2.0656666666666667E-2</v>
      </c>
      <c r="AF12" s="133"/>
      <c r="AG12" s="133"/>
    </row>
    <row r="13" spans="1:38" x14ac:dyDescent="0.25">
      <c r="A13" s="142" t="s">
        <v>42</v>
      </c>
      <c r="B13" s="140" t="s">
        <v>230</v>
      </c>
      <c r="C13" s="140" t="s">
        <v>85</v>
      </c>
      <c r="D13" s="142" t="s">
        <v>106</v>
      </c>
      <c r="E13" s="142" t="s">
        <v>107</v>
      </c>
      <c r="F13" s="156">
        <v>1</v>
      </c>
      <c r="G13" s="191"/>
      <c r="H13" s="146">
        <v>-4458</v>
      </c>
      <c r="I13" s="146">
        <v>-2649</v>
      </c>
      <c r="J13" s="146">
        <v>3000</v>
      </c>
      <c r="K13" s="146">
        <v>1467</v>
      </c>
      <c r="L13" s="146">
        <v>-2290</v>
      </c>
      <c r="M13" s="146">
        <v>365</v>
      </c>
      <c r="N13" s="146">
        <v>-161</v>
      </c>
      <c r="O13" s="146">
        <v>190</v>
      </c>
      <c r="P13" s="146">
        <v>-2915</v>
      </c>
      <c r="Q13" s="146">
        <v>-2745</v>
      </c>
      <c r="R13" s="146">
        <v>2399</v>
      </c>
      <c r="S13" s="146">
        <v>0</v>
      </c>
      <c r="T13" s="146">
        <v>3861</v>
      </c>
      <c r="U13" s="146">
        <v>-1101</v>
      </c>
      <c r="V13" s="146">
        <v>-1410</v>
      </c>
      <c r="W13" s="146">
        <v>50</v>
      </c>
      <c r="X13" s="146">
        <v>-3513</v>
      </c>
      <c r="Y13" s="146">
        <v>1746</v>
      </c>
      <c r="Z13" s="146">
        <v>-5989</v>
      </c>
      <c r="AA13" s="146">
        <v>-1061</v>
      </c>
      <c r="AB13" s="173">
        <v>694</v>
      </c>
      <c r="AC13" s="170">
        <f t="shared" si="0"/>
        <v>-14520</v>
      </c>
      <c r="AD13" s="148">
        <f t="shared" si="1"/>
        <v>-0.1452</v>
      </c>
      <c r="AF13" s="133"/>
      <c r="AG13" s="133"/>
    </row>
    <row r="14" spans="1:38" x14ac:dyDescent="0.25">
      <c r="A14" s="141" t="s">
        <v>212</v>
      </c>
      <c r="B14" s="140" t="s">
        <v>230</v>
      </c>
      <c r="C14" s="141" t="s">
        <v>12</v>
      </c>
      <c r="D14" s="141" t="s">
        <v>39</v>
      </c>
      <c r="E14" s="141" t="s">
        <v>256</v>
      </c>
      <c r="F14" s="155">
        <v>2.5</v>
      </c>
      <c r="G14" s="193"/>
      <c r="H14" s="146">
        <v>724</v>
      </c>
      <c r="I14" s="146">
        <v>0</v>
      </c>
      <c r="J14" s="146">
        <v>-3828</v>
      </c>
      <c r="K14" s="146">
        <v>8298</v>
      </c>
      <c r="L14" s="146">
        <v>3141</v>
      </c>
      <c r="M14" s="146">
        <v>5219</v>
      </c>
      <c r="N14" s="146">
        <v>0</v>
      </c>
      <c r="O14" s="146">
        <v>9114</v>
      </c>
      <c r="P14" s="146">
        <v>0</v>
      </c>
      <c r="Q14" s="146">
        <v>-8766</v>
      </c>
      <c r="R14" s="146">
        <v>-10140</v>
      </c>
      <c r="S14" s="146">
        <v>-16054</v>
      </c>
      <c r="T14" s="146">
        <v>10240</v>
      </c>
      <c r="U14" s="146">
        <v>-6096</v>
      </c>
      <c r="V14" s="146">
        <v>-15426</v>
      </c>
      <c r="W14" s="146">
        <v>6772</v>
      </c>
      <c r="X14" s="146">
        <v>0</v>
      </c>
      <c r="Y14" s="146">
        <v>25406</v>
      </c>
      <c r="Z14" s="146">
        <v>-4158</v>
      </c>
      <c r="AA14" s="146">
        <v>-2781</v>
      </c>
      <c r="AB14" s="173">
        <v>-30351</v>
      </c>
      <c r="AC14" s="170">
        <f t="shared" si="0"/>
        <v>-28686</v>
      </c>
      <c r="AD14" s="148">
        <f t="shared" si="1"/>
        <v>-0.114744</v>
      </c>
      <c r="AF14" s="133"/>
      <c r="AG14" s="133"/>
    </row>
    <row r="15" spans="1:38" x14ac:dyDescent="0.25">
      <c r="A15" s="141" t="s">
        <v>51</v>
      </c>
      <c r="B15" s="140" t="s">
        <v>84</v>
      </c>
      <c r="C15" s="141" t="s">
        <v>289</v>
      </c>
      <c r="D15" s="141" t="s">
        <v>39</v>
      </c>
      <c r="E15" s="141" t="s">
        <v>256</v>
      </c>
      <c r="F15" s="155">
        <v>2.2000000000000002</v>
      </c>
      <c r="G15" s="193"/>
      <c r="H15" s="146">
        <v>-4897</v>
      </c>
      <c r="I15" s="146">
        <v>0</v>
      </c>
      <c r="J15" s="146">
        <v>-100</v>
      </c>
      <c r="K15" s="146">
        <v>11194</v>
      </c>
      <c r="L15" s="146">
        <v>3225</v>
      </c>
      <c r="M15" s="146">
        <v>3927</v>
      </c>
      <c r="N15" s="146">
        <v>0</v>
      </c>
      <c r="O15" s="146">
        <v>8417</v>
      </c>
      <c r="P15" s="146">
        <v>0</v>
      </c>
      <c r="Q15" s="146">
        <v>-8566</v>
      </c>
      <c r="R15" s="146">
        <v>-6220</v>
      </c>
      <c r="S15" s="146">
        <v>-17616</v>
      </c>
      <c r="T15" s="146">
        <v>10247</v>
      </c>
      <c r="U15" s="146">
        <v>-3845</v>
      </c>
      <c r="V15" s="146">
        <v>-16614</v>
      </c>
      <c r="W15" s="146">
        <v>7234</v>
      </c>
      <c r="X15" s="146">
        <v>0</v>
      </c>
      <c r="Y15" s="146">
        <v>29112</v>
      </c>
      <c r="Z15" s="146">
        <v>-4184</v>
      </c>
      <c r="AA15" s="146">
        <v>-3146</v>
      </c>
      <c r="AB15" s="173">
        <v>-34983</v>
      </c>
      <c r="AC15" s="170">
        <f t="shared" si="0"/>
        <v>-26815</v>
      </c>
      <c r="AD15" s="148">
        <f t="shared" si="1"/>
        <v>-0.12188636363636363</v>
      </c>
      <c r="AF15" s="133"/>
      <c r="AG15" s="192">
        <f>AG8-AG10</f>
        <v>-129366.78026</v>
      </c>
      <c r="AJ15" s="132">
        <v>116185</v>
      </c>
      <c r="AL15" s="132">
        <f>AJ15+AG15</f>
        <v>-13181.78026</v>
      </c>
    </row>
    <row r="16" spans="1:38" x14ac:dyDescent="0.25">
      <c r="A16" s="141" t="s">
        <v>43</v>
      </c>
      <c r="B16" s="140" t="s">
        <v>84</v>
      </c>
      <c r="C16" s="140" t="s">
        <v>85</v>
      </c>
      <c r="D16" s="141" t="s">
        <v>106</v>
      </c>
      <c r="E16" s="141" t="s">
        <v>107</v>
      </c>
      <c r="F16" s="156">
        <v>1</v>
      </c>
      <c r="G16" s="189"/>
      <c r="H16" s="146">
        <v>-11113</v>
      </c>
      <c r="I16" s="146">
        <v>-3245</v>
      </c>
      <c r="J16" s="146">
        <v>7937</v>
      </c>
      <c r="K16" s="146">
        <v>5065</v>
      </c>
      <c r="L16" s="146">
        <v>-7918</v>
      </c>
      <c r="M16" s="146">
        <v>6627</v>
      </c>
      <c r="N16" s="146">
        <v>-4941</v>
      </c>
      <c r="O16" s="146">
        <v>-4200</v>
      </c>
      <c r="P16" s="146">
        <v>7421</v>
      </c>
      <c r="Q16" s="146">
        <v>-27500</v>
      </c>
      <c r="R16" s="146">
        <v>5959</v>
      </c>
      <c r="S16" s="146">
        <v>7570</v>
      </c>
      <c r="T16" s="146">
        <v>21453</v>
      </c>
      <c r="U16" s="146">
        <v>250</v>
      </c>
      <c r="V16" s="146">
        <v>-8817</v>
      </c>
      <c r="W16" s="146">
        <v>9571</v>
      </c>
      <c r="X16" s="146">
        <v>-19300</v>
      </c>
      <c r="Y16" s="146">
        <v>5254</v>
      </c>
      <c r="Z16" s="146">
        <v>-26788</v>
      </c>
      <c r="AA16" s="146">
        <v>-4990</v>
      </c>
      <c r="AB16" s="173">
        <v>-866</v>
      </c>
      <c r="AC16" s="170">
        <f t="shared" si="0"/>
        <v>-42571</v>
      </c>
      <c r="AD16" s="148">
        <f t="shared" si="1"/>
        <v>-0.42570999999999998</v>
      </c>
    </row>
    <row r="17" spans="1:41" x14ac:dyDescent="0.25">
      <c r="A17" s="141" t="s">
        <v>24</v>
      </c>
      <c r="B17" s="140" t="s">
        <v>73</v>
      </c>
      <c r="C17" s="140" t="s">
        <v>58</v>
      </c>
      <c r="D17" s="141" t="s">
        <v>20</v>
      </c>
      <c r="E17" s="141" t="s">
        <v>256</v>
      </c>
      <c r="F17" s="155">
        <v>2.5</v>
      </c>
      <c r="G17" s="189"/>
      <c r="H17" s="146">
        <v>0</v>
      </c>
      <c r="I17" s="146">
        <v>0</v>
      </c>
      <c r="J17" s="146">
        <v>0</v>
      </c>
      <c r="K17" s="146">
        <v>0</v>
      </c>
      <c r="L17" s="146">
        <v>0</v>
      </c>
      <c r="M17" s="146">
        <v>0</v>
      </c>
      <c r="N17" s="146">
        <v>-32641</v>
      </c>
      <c r="O17" s="146">
        <v>0</v>
      </c>
      <c r="P17" s="146">
        <v>0</v>
      </c>
      <c r="Q17" s="146">
        <v>42220</v>
      </c>
      <c r="R17" s="146">
        <v>0</v>
      </c>
      <c r="S17" s="146">
        <v>-22321</v>
      </c>
      <c r="T17" s="146">
        <v>0</v>
      </c>
      <c r="U17" s="146">
        <v>0</v>
      </c>
      <c r="V17" s="146">
        <v>24714</v>
      </c>
      <c r="W17" s="146">
        <v>0</v>
      </c>
      <c r="X17" s="146">
        <v>72000</v>
      </c>
      <c r="Y17" s="146">
        <v>0</v>
      </c>
      <c r="Z17" s="146">
        <v>0</v>
      </c>
      <c r="AA17" s="146">
        <v>0</v>
      </c>
      <c r="AB17" s="173">
        <v>0</v>
      </c>
      <c r="AC17" s="170">
        <f t="shared" si="0"/>
        <v>83972</v>
      </c>
      <c r="AD17" s="148">
        <f t="shared" si="1"/>
        <v>0.33588800000000002</v>
      </c>
      <c r="AL17" s="132">
        <v>4000000</v>
      </c>
      <c r="AM17" s="132">
        <f>AL17*7/100</f>
        <v>280000</v>
      </c>
      <c r="AO17" s="132">
        <f>15*12</f>
        <v>180</v>
      </c>
    </row>
    <row r="18" spans="1:41" x14ac:dyDescent="0.25">
      <c r="A18" s="141" t="s">
        <v>23</v>
      </c>
      <c r="B18" s="140" t="s">
        <v>74</v>
      </c>
      <c r="C18" s="140" t="s">
        <v>59</v>
      </c>
      <c r="D18" s="141" t="s">
        <v>3</v>
      </c>
      <c r="E18" s="141" t="s">
        <v>256</v>
      </c>
      <c r="F18" s="155">
        <v>4</v>
      </c>
      <c r="G18" s="189"/>
      <c r="H18" s="146">
        <v>0</v>
      </c>
      <c r="I18" s="146">
        <v>0</v>
      </c>
      <c r="J18" s="146">
        <v>0</v>
      </c>
      <c r="K18" s="146">
        <v>0</v>
      </c>
      <c r="L18" s="146">
        <v>-1657</v>
      </c>
      <c r="M18" s="146">
        <v>1600</v>
      </c>
      <c r="N18" s="146">
        <v>-48000</v>
      </c>
      <c r="O18" s="146">
        <v>0</v>
      </c>
      <c r="P18" s="146">
        <v>0</v>
      </c>
      <c r="Q18" s="146">
        <v>61600</v>
      </c>
      <c r="R18" s="146">
        <v>0</v>
      </c>
      <c r="S18" s="146">
        <v>-38652</v>
      </c>
      <c r="T18" s="146">
        <v>0</v>
      </c>
      <c r="U18" s="146">
        <v>0</v>
      </c>
      <c r="V18" s="146">
        <v>-60116</v>
      </c>
      <c r="W18" s="146">
        <v>0</v>
      </c>
      <c r="X18" s="146">
        <v>26900</v>
      </c>
      <c r="Y18" s="146">
        <v>0</v>
      </c>
      <c r="Z18" s="146">
        <v>0</v>
      </c>
      <c r="AA18" s="146">
        <v>0</v>
      </c>
      <c r="AB18" s="173">
        <v>0</v>
      </c>
      <c r="AC18" s="170">
        <f t="shared" si="0"/>
        <v>-58325</v>
      </c>
      <c r="AD18" s="148">
        <f t="shared" si="1"/>
        <v>-0.14581250000000001</v>
      </c>
      <c r="AM18" s="132">
        <f>AM17/12</f>
        <v>23333.333333333332</v>
      </c>
    </row>
    <row r="19" spans="1:41" x14ac:dyDescent="0.25">
      <c r="A19" s="141" t="s">
        <v>165</v>
      </c>
      <c r="B19" s="140" t="s">
        <v>164</v>
      </c>
      <c r="C19" s="140" t="s">
        <v>223</v>
      </c>
      <c r="D19" s="141" t="s">
        <v>261</v>
      </c>
      <c r="E19" s="141" t="s">
        <v>256</v>
      </c>
      <c r="F19" s="155">
        <v>1.5</v>
      </c>
      <c r="G19" s="189"/>
      <c r="H19" s="146">
        <v>17500</v>
      </c>
      <c r="I19" s="146">
        <v>-31966</v>
      </c>
      <c r="J19" s="146">
        <v>17400</v>
      </c>
      <c r="K19" s="146">
        <v>7586</v>
      </c>
      <c r="L19" s="146">
        <v>40075</v>
      </c>
      <c r="M19" s="146">
        <v>-1738</v>
      </c>
      <c r="N19" s="146">
        <v>-62019</v>
      </c>
      <c r="O19" s="146">
        <v>13500</v>
      </c>
      <c r="P19" s="146">
        <v>-140844</v>
      </c>
      <c r="Q19" s="146">
        <v>13508</v>
      </c>
      <c r="R19" s="146">
        <v>-73400</v>
      </c>
      <c r="S19" s="146">
        <v>-81145</v>
      </c>
      <c r="T19" s="146">
        <v>42700</v>
      </c>
      <c r="U19" s="146">
        <v>-9354</v>
      </c>
      <c r="V19" s="146">
        <v>170513</v>
      </c>
      <c r="W19" s="146">
        <v>28425</v>
      </c>
      <c r="X19" s="146">
        <v>-22515</v>
      </c>
      <c r="Y19" s="146">
        <v>-72925</v>
      </c>
      <c r="Z19" s="146">
        <v>48100</v>
      </c>
      <c r="AA19" s="146">
        <v>0</v>
      </c>
      <c r="AB19" s="173">
        <v>650</v>
      </c>
      <c r="AC19" s="170">
        <f t="shared" si="0"/>
        <v>-95949</v>
      </c>
      <c r="AD19" s="148">
        <f t="shared" si="1"/>
        <v>-0.63966000000000001</v>
      </c>
    </row>
    <row r="20" spans="1:41" x14ac:dyDescent="0.25">
      <c r="A20" s="141" t="s">
        <v>110</v>
      </c>
      <c r="B20" s="140" t="s">
        <v>111</v>
      </c>
      <c r="C20" s="140" t="s">
        <v>109</v>
      </c>
      <c r="D20" s="141" t="s">
        <v>152</v>
      </c>
      <c r="E20" s="141" t="s">
        <v>256</v>
      </c>
      <c r="F20" s="155">
        <v>1.1000000000000001</v>
      </c>
      <c r="G20" s="189"/>
      <c r="H20" s="146">
        <v>9433</v>
      </c>
      <c r="I20" s="146">
        <v>0</v>
      </c>
      <c r="J20" s="146">
        <v>-11491</v>
      </c>
      <c r="K20" s="146">
        <v>0</v>
      </c>
      <c r="L20" s="146">
        <v>1670</v>
      </c>
      <c r="M20" s="146">
        <v>700</v>
      </c>
      <c r="N20" s="146">
        <v>10000</v>
      </c>
      <c r="O20" s="146">
        <v>25655</v>
      </c>
      <c r="P20" s="146">
        <v>-28662</v>
      </c>
      <c r="Q20" s="146">
        <v>-29599</v>
      </c>
      <c r="R20" s="146">
        <v>-52025</v>
      </c>
      <c r="S20" s="146">
        <v>0</v>
      </c>
      <c r="T20" s="146">
        <v>0</v>
      </c>
      <c r="U20" s="146">
        <v>41261</v>
      </c>
      <c r="V20" s="146">
        <v>19635</v>
      </c>
      <c r="W20" s="146">
        <v>26807</v>
      </c>
      <c r="X20" s="146">
        <v>-73422</v>
      </c>
      <c r="Y20" s="146">
        <v>10361</v>
      </c>
      <c r="Z20" s="146">
        <v>-64520</v>
      </c>
      <c r="AA20" s="146">
        <v>0</v>
      </c>
      <c r="AB20" s="173">
        <v>84428</v>
      </c>
      <c r="AC20" s="170">
        <f t="shared" si="0"/>
        <v>-29769</v>
      </c>
      <c r="AD20" s="148">
        <f t="shared" si="1"/>
        <v>-0.27062727272727272</v>
      </c>
      <c r="AH20" s="132">
        <v>-132700</v>
      </c>
    </row>
    <row r="21" spans="1:41" x14ac:dyDescent="0.25">
      <c r="A21" s="141" t="s">
        <v>319</v>
      </c>
      <c r="B21" s="140" t="s">
        <v>318</v>
      </c>
      <c r="C21" s="140" t="s">
        <v>283</v>
      </c>
      <c r="D21" s="141" t="s">
        <v>152</v>
      </c>
      <c r="E21" s="141" t="s">
        <v>256</v>
      </c>
      <c r="F21" s="155">
        <v>0.25</v>
      </c>
      <c r="G21" s="189"/>
      <c r="H21" s="146">
        <v>4737</v>
      </c>
      <c r="I21" s="146">
        <v>-3466</v>
      </c>
      <c r="J21" s="146">
        <v>2500</v>
      </c>
      <c r="K21" s="146">
        <v>-8570</v>
      </c>
      <c r="L21" s="146">
        <v>4268</v>
      </c>
      <c r="M21" s="146">
        <v>6521</v>
      </c>
      <c r="N21" s="146">
        <v>0</v>
      </c>
      <c r="O21" s="146">
        <v>20992</v>
      </c>
      <c r="P21" s="146">
        <v>-23384</v>
      </c>
      <c r="Q21" s="146">
        <v>-23681</v>
      </c>
      <c r="R21" s="146">
        <v>580</v>
      </c>
      <c r="S21" s="146">
        <v>-13500</v>
      </c>
      <c r="T21" s="146">
        <v>7233</v>
      </c>
      <c r="U21" s="146">
        <v>18527</v>
      </c>
      <c r="V21" s="146">
        <v>37130</v>
      </c>
      <c r="W21" s="146">
        <v>-3785</v>
      </c>
      <c r="X21" s="146">
        <v>-4756</v>
      </c>
      <c r="Y21" s="146">
        <v>3174</v>
      </c>
      <c r="Z21" s="146">
        <v>0</v>
      </c>
      <c r="AA21" s="146">
        <v>-11007</v>
      </c>
      <c r="AB21" s="173">
        <v>5260</v>
      </c>
      <c r="AC21" s="170">
        <f t="shared" si="0"/>
        <v>18773</v>
      </c>
      <c r="AD21" s="148">
        <f t="shared" si="1"/>
        <v>0.75092000000000003</v>
      </c>
      <c r="AH21" s="132">
        <v>-52140</v>
      </c>
    </row>
    <row r="22" spans="1:41" x14ac:dyDescent="0.25">
      <c r="A22" s="141" t="s">
        <v>316</v>
      </c>
      <c r="B22" s="140" t="s">
        <v>282</v>
      </c>
      <c r="C22" s="140" t="s">
        <v>38</v>
      </c>
      <c r="D22" s="141" t="s">
        <v>152</v>
      </c>
      <c r="E22" s="141" t="s">
        <v>256</v>
      </c>
      <c r="F22" s="155">
        <v>2</v>
      </c>
      <c r="G22" s="189"/>
      <c r="H22" s="146">
        <v>-1048</v>
      </c>
      <c r="I22" s="146">
        <v>6953</v>
      </c>
      <c r="J22" s="146">
        <v>2574</v>
      </c>
      <c r="K22" s="146">
        <v>-1344</v>
      </c>
      <c r="L22" s="146">
        <v>-2921</v>
      </c>
      <c r="M22" s="146">
        <v>-3207</v>
      </c>
      <c r="N22" s="146">
        <v>0</v>
      </c>
      <c r="O22" s="146">
        <v>0</v>
      </c>
      <c r="P22" s="146">
        <v>0</v>
      </c>
      <c r="Q22" s="146">
        <v>0</v>
      </c>
      <c r="R22" s="146">
        <v>0</v>
      </c>
      <c r="S22" s="146">
        <v>0</v>
      </c>
      <c r="T22" s="146">
        <v>-714</v>
      </c>
      <c r="U22" s="146">
        <v>-6082</v>
      </c>
      <c r="V22" s="146">
        <v>-201</v>
      </c>
      <c r="W22" s="146">
        <v>-2500</v>
      </c>
      <c r="X22" s="146">
        <v>801</v>
      </c>
      <c r="Y22" s="146">
        <v>0</v>
      </c>
      <c r="Z22" s="146">
        <v>0</v>
      </c>
      <c r="AA22" s="146">
        <v>0</v>
      </c>
      <c r="AB22" s="173">
        <v>0</v>
      </c>
      <c r="AC22" s="170">
        <f t="shared" si="0"/>
        <v>-7689</v>
      </c>
      <c r="AD22" s="148">
        <f t="shared" si="1"/>
        <v>-3.8445E-2</v>
      </c>
      <c r="AH22" s="132">
        <v>0</v>
      </c>
    </row>
    <row r="23" spans="1:41" x14ac:dyDescent="0.25">
      <c r="A23" s="141" t="s">
        <v>317</v>
      </c>
      <c r="B23" s="140" t="s">
        <v>282</v>
      </c>
      <c r="C23" s="140" t="s">
        <v>17</v>
      </c>
      <c r="D23" s="141" t="s">
        <v>152</v>
      </c>
      <c r="E23" s="141" t="s">
        <v>256</v>
      </c>
      <c r="F23" s="155">
        <v>0.25</v>
      </c>
      <c r="G23" s="189"/>
      <c r="H23" s="146">
        <v>0</v>
      </c>
      <c r="I23" s="146">
        <v>0</v>
      </c>
      <c r="J23" s="146">
        <v>0</v>
      </c>
      <c r="K23" s="146">
        <v>260</v>
      </c>
      <c r="L23" s="146">
        <v>80</v>
      </c>
      <c r="M23" s="146">
        <v>0</v>
      </c>
      <c r="N23" s="146">
        <v>0</v>
      </c>
      <c r="O23" s="146">
        <v>0</v>
      </c>
      <c r="P23" s="146">
        <v>0</v>
      </c>
      <c r="Q23" s="146">
        <v>0</v>
      </c>
      <c r="R23" s="146">
        <v>0</v>
      </c>
      <c r="S23" s="146">
        <v>0</v>
      </c>
      <c r="T23" s="146">
        <v>0</v>
      </c>
      <c r="U23" s="146">
        <v>144</v>
      </c>
      <c r="V23" s="146">
        <v>497</v>
      </c>
      <c r="W23" s="146">
        <v>-900</v>
      </c>
      <c r="X23" s="146">
        <v>-100</v>
      </c>
      <c r="Y23" s="146">
        <v>0</v>
      </c>
      <c r="Z23" s="146">
        <v>0</v>
      </c>
      <c r="AA23" s="146">
        <v>0</v>
      </c>
      <c r="AB23" s="173">
        <v>0</v>
      </c>
      <c r="AC23" s="170">
        <f t="shared" si="0"/>
        <v>-19</v>
      </c>
      <c r="AD23" s="148">
        <f t="shared" si="1"/>
        <v>-7.6000000000000004E-4</v>
      </c>
    </row>
    <row r="24" spans="1:41" x14ac:dyDescent="0.25">
      <c r="A24" s="141" t="s">
        <v>32</v>
      </c>
      <c r="B24" s="140" t="s">
        <v>63</v>
      </c>
      <c r="C24" s="141" t="s">
        <v>21</v>
      </c>
      <c r="D24" s="141" t="s">
        <v>40</v>
      </c>
      <c r="E24" s="141" t="s">
        <v>256</v>
      </c>
      <c r="F24" s="155">
        <v>1.1000000000000001</v>
      </c>
      <c r="G24" s="190"/>
      <c r="H24" s="146">
        <v>9208</v>
      </c>
      <c r="I24" s="146">
        <v>700</v>
      </c>
      <c r="J24" s="146">
        <v>6060</v>
      </c>
      <c r="K24" s="146">
        <v>8477</v>
      </c>
      <c r="L24" s="146">
        <v>6822</v>
      </c>
      <c r="M24" s="146">
        <v>-1500</v>
      </c>
      <c r="N24" s="146">
        <v>18235</v>
      </c>
      <c r="O24" s="146">
        <v>19473</v>
      </c>
      <c r="P24" s="146">
        <v>-41546</v>
      </c>
      <c r="Q24" s="146">
        <v>-5250</v>
      </c>
      <c r="R24" s="146">
        <v>-32214</v>
      </c>
      <c r="S24" s="146">
        <v>9741</v>
      </c>
      <c r="T24" s="146">
        <v>0</v>
      </c>
      <c r="U24" s="146">
        <v>13962</v>
      </c>
      <c r="V24" s="146">
        <v>-24000</v>
      </c>
      <c r="W24" s="146">
        <v>10739</v>
      </c>
      <c r="X24" s="146">
        <v>-5516</v>
      </c>
      <c r="Y24" s="146">
        <v>-33155</v>
      </c>
      <c r="Z24" s="146">
        <v>12740</v>
      </c>
      <c r="AA24" s="146">
        <v>-500</v>
      </c>
      <c r="AB24" s="173">
        <v>-5867</v>
      </c>
      <c r="AC24" s="170">
        <f t="shared" si="0"/>
        <v>-33391</v>
      </c>
      <c r="AD24" s="148">
        <f t="shared" si="1"/>
        <v>-0.30355454545454547</v>
      </c>
    </row>
    <row r="25" spans="1:41" x14ac:dyDescent="0.25">
      <c r="A25" s="141" t="s">
        <v>97</v>
      </c>
      <c r="B25" s="140" t="s">
        <v>68</v>
      </c>
      <c r="C25" s="140" t="s">
        <v>206</v>
      </c>
      <c r="D25" s="141" t="s">
        <v>107</v>
      </c>
      <c r="E25" s="141" t="s">
        <v>107</v>
      </c>
      <c r="F25" s="155">
        <v>2.2999999999999998</v>
      </c>
      <c r="G25" s="190"/>
      <c r="H25" s="146">
        <v>-244000</v>
      </c>
      <c r="I25" s="146">
        <v>-162700</v>
      </c>
      <c r="J25" s="146">
        <v>-200</v>
      </c>
      <c r="K25" s="146">
        <v>-105800</v>
      </c>
      <c r="L25" s="146">
        <v>-169700</v>
      </c>
      <c r="M25" s="146">
        <v>-41112</v>
      </c>
      <c r="N25" s="146">
        <v>-132811</v>
      </c>
      <c r="O25" s="146">
        <v>-26800</v>
      </c>
      <c r="P25" s="146">
        <v>-144000</v>
      </c>
      <c r="Q25" s="146">
        <v>-470000</v>
      </c>
      <c r="R25" s="146">
        <v>48600</v>
      </c>
      <c r="S25" s="146">
        <v>181200</v>
      </c>
      <c r="T25" s="146">
        <v>184377</v>
      </c>
      <c r="U25" s="146">
        <v>27500</v>
      </c>
      <c r="V25" s="146">
        <v>-46788</v>
      </c>
      <c r="W25" s="146">
        <v>71808</v>
      </c>
      <c r="X25" s="146">
        <v>-242145</v>
      </c>
      <c r="Y25" s="146">
        <v>57426</v>
      </c>
      <c r="Z25" s="146">
        <v>-281400</v>
      </c>
      <c r="AA25" s="146">
        <v>-112701</v>
      </c>
      <c r="AB25" s="173">
        <v>-3292</v>
      </c>
      <c r="AC25" s="170">
        <f t="shared" si="0"/>
        <v>-1612538</v>
      </c>
      <c r="AD25" s="148">
        <f t="shared" si="1"/>
        <v>-7.0110347826086965</v>
      </c>
    </row>
    <row r="26" spans="1:41" x14ac:dyDescent="0.25">
      <c r="A26" s="141" t="s">
        <v>302</v>
      </c>
      <c r="B26" s="140" t="s">
        <v>297</v>
      </c>
      <c r="C26" s="140" t="s">
        <v>298</v>
      </c>
      <c r="D26" s="141"/>
      <c r="E26" s="141" t="s">
        <v>256</v>
      </c>
      <c r="F26" s="155">
        <v>0.2</v>
      </c>
      <c r="G26" s="190"/>
      <c r="H26" s="146">
        <v>1765</v>
      </c>
      <c r="I26" s="146">
        <v>2038</v>
      </c>
      <c r="J26" s="146">
        <v>1257</v>
      </c>
      <c r="K26" s="146">
        <v>-1640</v>
      </c>
      <c r="L26" s="146">
        <v>1580</v>
      </c>
      <c r="M26" s="146">
        <v>1768</v>
      </c>
      <c r="N26" s="146">
        <v>-4426</v>
      </c>
      <c r="O26" s="146">
        <v>2020</v>
      </c>
      <c r="P26" s="146">
        <v>1432</v>
      </c>
      <c r="Q26" s="146">
        <v>-1700</v>
      </c>
      <c r="R26" s="146">
        <v>1700</v>
      </c>
      <c r="S26" s="146">
        <v>1785</v>
      </c>
      <c r="T26" s="146">
        <v>-3200</v>
      </c>
      <c r="U26" s="146">
        <v>1623</v>
      </c>
      <c r="V26" s="146">
        <v>-6455</v>
      </c>
      <c r="W26" s="146">
        <v>663</v>
      </c>
      <c r="X26" s="146">
        <v>2287</v>
      </c>
      <c r="Y26" s="146">
        <v>-31655</v>
      </c>
      <c r="Z26" s="146">
        <v>2980</v>
      </c>
      <c r="AA26" s="146">
        <v>0</v>
      </c>
      <c r="AB26" s="173">
        <v>2808</v>
      </c>
      <c r="AC26" s="170">
        <f t="shared" si="0"/>
        <v>-23370</v>
      </c>
      <c r="AD26" s="148">
        <f t="shared" si="1"/>
        <v>-1.1685000000000001</v>
      </c>
    </row>
    <row r="27" spans="1:41" x14ac:dyDescent="0.25">
      <c r="A27" s="141" t="s">
        <v>29</v>
      </c>
      <c r="B27" s="140" t="s">
        <v>22</v>
      </c>
      <c r="C27" s="140" t="s">
        <v>151</v>
      </c>
      <c r="D27" s="141" t="s">
        <v>5</v>
      </c>
      <c r="E27" s="141" t="s">
        <v>256</v>
      </c>
      <c r="F27" s="155">
        <v>5</v>
      </c>
      <c r="G27" s="190"/>
      <c r="H27" s="146">
        <v>39000</v>
      </c>
      <c r="I27" s="146">
        <v>0</v>
      </c>
      <c r="J27" s="146">
        <v>0</v>
      </c>
      <c r="K27" s="146">
        <v>0</v>
      </c>
      <c r="L27" s="146">
        <v>7600</v>
      </c>
      <c r="M27" s="146">
        <v>1500</v>
      </c>
      <c r="N27" s="146">
        <v>-95100</v>
      </c>
      <c r="O27" s="146">
        <v>0</v>
      </c>
      <c r="P27" s="146">
        <v>0</v>
      </c>
      <c r="Q27" s="146">
        <v>81666</v>
      </c>
      <c r="R27" s="146">
        <v>0</v>
      </c>
      <c r="S27" s="146">
        <v>-65000</v>
      </c>
      <c r="T27" s="146">
        <v>0</v>
      </c>
      <c r="U27" s="146">
        <v>0</v>
      </c>
      <c r="V27" s="146">
        <v>-184000</v>
      </c>
      <c r="W27" s="146">
        <v>0</v>
      </c>
      <c r="X27" s="146">
        <v>-45000</v>
      </c>
      <c r="Y27" s="146">
        <v>0</v>
      </c>
      <c r="Z27" s="146">
        <v>-1100</v>
      </c>
      <c r="AA27" s="146">
        <v>0</v>
      </c>
      <c r="AB27" s="173">
        <v>0</v>
      </c>
      <c r="AC27" s="170">
        <f t="shared" si="0"/>
        <v>-260434</v>
      </c>
      <c r="AD27" s="148">
        <f t="shared" si="1"/>
        <v>-0.520868</v>
      </c>
    </row>
    <row r="28" spans="1:41" x14ac:dyDescent="0.25">
      <c r="A28" s="141" t="s">
        <v>28</v>
      </c>
      <c r="B28" s="140" t="s">
        <v>155</v>
      </c>
      <c r="C28" s="140" t="s">
        <v>121</v>
      </c>
      <c r="D28" s="141" t="s">
        <v>91</v>
      </c>
      <c r="E28" s="141" t="s">
        <v>256</v>
      </c>
      <c r="F28" s="155">
        <v>10</v>
      </c>
      <c r="G28" s="190"/>
      <c r="H28" s="146">
        <v>-9140</v>
      </c>
      <c r="I28" s="146">
        <v>-102505</v>
      </c>
      <c r="J28" s="146">
        <v>184400</v>
      </c>
      <c r="K28" s="146">
        <v>-205430</v>
      </c>
      <c r="L28" s="146">
        <v>22180</v>
      </c>
      <c r="M28" s="146">
        <v>84000</v>
      </c>
      <c r="N28" s="146">
        <v>-10651</v>
      </c>
      <c r="O28" s="146">
        <v>7930</v>
      </c>
      <c r="P28" s="146">
        <v>-431450</v>
      </c>
      <c r="Q28" s="146">
        <v>-290000</v>
      </c>
      <c r="R28" s="146">
        <v>-481200</v>
      </c>
      <c r="S28" s="146">
        <v>-443700</v>
      </c>
      <c r="T28" s="146">
        <v>0</v>
      </c>
      <c r="U28" s="146">
        <v>0</v>
      </c>
      <c r="V28" s="146">
        <v>-7365</v>
      </c>
      <c r="W28" s="146">
        <v>0</v>
      </c>
      <c r="X28" s="146">
        <v>-27500</v>
      </c>
      <c r="Y28" s="146">
        <v>0</v>
      </c>
      <c r="Z28" s="146">
        <v>3500</v>
      </c>
      <c r="AA28" s="146">
        <v>-73140</v>
      </c>
      <c r="AB28" s="173">
        <v>0</v>
      </c>
      <c r="AC28" s="170">
        <f t="shared" si="0"/>
        <v>-1780071</v>
      </c>
      <c r="AD28" s="148">
        <f t="shared" si="1"/>
        <v>-1.780071</v>
      </c>
    </row>
    <row r="29" spans="1:41" x14ac:dyDescent="0.25">
      <c r="A29" s="141" t="s">
        <v>65</v>
      </c>
      <c r="B29" s="140" t="s">
        <v>64</v>
      </c>
      <c r="C29" s="140" t="s">
        <v>7</v>
      </c>
      <c r="D29" s="141" t="s">
        <v>152</v>
      </c>
      <c r="E29" s="141" t="s">
        <v>256</v>
      </c>
      <c r="F29" s="155">
        <v>5</v>
      </c>
      <c r="G29" s="189"/>
      <c r="H29" s="146">
        <v>-455000</v>
      </c>
      <c r="I29" s="146">
        <v>0</v>
      </c>
      <c r="J29" s="146">
        <v>-20000</v>
      </c>
      <c r="K29" s="146">
        <v>0</v>
      </c>
      <c r="L29" s="146">
        <v>0</v>
      </c>
      <c r="M29" s="146">
        <v>256217</v>
      </c>
      <c r="N29" s="146">
        <v>2100</v>
      </c>
      <c r="O29" s="146">
        <v>-92200</v>
      </c>
      <c r="P29" s="146">
        <v>0</v>
      </c>
      <c r="Q29" s="146">
        <v>-33106</v>
      </c>
      <c r="R29" s="146">
        <v>0</v>
      </c>
      <c r="S29" s="146">
        <v>-33000</v>
      </c>
      <c r="T29" s="146">
        <v>0</v>
      </c>
      <c r="U29" s="146">
        <v>0</v>
      </c>
      <c r="V29" s="146">
        <v>-357652</v>
      </c>
      <c r="W29" s="146">
        <v>0</v>
      </c>
      <c r="X29" s="146">
        <v>-346151</v>
      </c>
      <c r="Y29" s="146">
        <v>0</v>
      </c>
      <c r="Z29" s="146">
        <v>0</v>
      </c>
      <c r="AA29" s="146">
        <v>262500</v>
      </c>
      <c r="AB29" s="173">
        <v>0</v>
      </c>
      <c r="AC29" s="170">
        <f t="shared" si="0"/>
        <v>-816292</v>
      </c>
      <c r="AD29" s="148">
        <f t="shared" si="1"/>
        <v>-1.632584</v>
      </c>
    </row>
    <row r="30" spans="1:41" x14ac:dyDescent="0.25">
      <c r="A30" s="140" t="s">
        <v>34</v>
      </c>
      <c r="B30" s="142" t="s">
        <v>18</v>
      </c>
      <c r="C30" s="140" t="s">
        <v>10</v>
      </c>
      <c r="D30" s="141" t="s">
        <v>152</v>
      </c>
      <c r="E30" s="141" t="s">
        <v>256</v>
      </c>
      <c r="F30" s="118">
        <v>5</v>
      </c>
      <c r="G30" s="196"/>
      <c r="H30" s="146">
        <v>-176663</v>
      </c>
      <c r="I30" s="146">
        <v>3891</v>
      </c>
      <c r="J30" s="146">
        <v>-135</v>
      </c>
      <c r="K30" s="146">
        <v>163183</v>
      </c>
      <c r="L30" s="146">
        <v>50598</v>
      </c>
      <c r="M30" s="146">
        <v>104979</v>
      </c>
      <c r="N30" s="146">
        <v>-138000</v>
      </c>
      <c r="O30" s="146">
        <v>102550</v>
      </c>
      <c r="P30" s="146">
        <v>37112</v>
      </c>
      <c r="Q30" s="146">
        <v>18328</v>
      </c>
      <c r="R30" s="146">
        <v>-100709</v>
      </c>
      <c r="S30" s="146">
        <v>-184894</v>
      </c>
      <c r="T30" s="146">
        <v>182425</v>
      </c>
      <c r="U30" s="146">
        <v>42524</v>
      </c>
      <c r="V30" s="146">
        <v>-107004</v>
      </c>
      <c r="W30" s="146">
        <v>574</v>
      </c>
      <c r="X30" s="146">
        <v>-42219</v>
      </c>
      <c r="Y30" s="146">
        <v>-32505</v>
      </c>
      <c r="Z30" s="146">
        <v>97228</v>
      </c>
      <c r="AA30" s="146">
        <v>76911</v>
      </c>
      <c r="AB30" s="173">
        <v>-304972</v>
      </c>
      <c r="AC30" s="170">
        <f t="shared" si="0"/>
        <v>-206798</v>
      </c>
      <c r="AD30" s="148">
        <f t="shared" si="1"/>
        <v>-0.41359600000000002</v>
      </c>
    </row>
    <row r="31" spans="1:41" x14ac:dyDescent="0.25">
      <c r="A31" s="140" t="s">
        <v>131</v>
      </c>
      <c r="B31" s="142" t="s">
        <v>130</v>
      </c>
      <c r="C31" s="140" t="s">
        <v>16</v>
      </c>
      <c r="D31" s="141" t="s">
        <v>262</v>
      </c>
      <c r="E31" s="141" t="s">
        <v>256</v>
      </c>
      <c r="F31" s="118">
        <v>1</v>
      </c>
      <c r="G31" s="196"/>
      <c r="H31" s="146">
        <v>-37540</v>
      </c>
      <c r="I31" s="146">
        <v>-42207</v>
      </c>
      <c r="J31" s="146">
        <v>-18371</v>
      </c>
      <c r="K31" s="146">
        <v>-5269</v>
      </c>
      <c r="L31" s="146">
        <v>14000</v>
      </c>
      <c r="M31" s="146">
        <v>16250</v>
      </c>
      <c r="N31" s="146">
        <v>-46322</v>
      </c>
      <c r="O31" s="146">
        <v>-4565</v>
      </c>
      <c r="P31" s="146">
        <v>-21920</v>
      </c>
      <c r="Q31" s="146">
        <v>15560</v>
      </c>
      <c r="R31" s="146">
        <v>-55712</v>
      </c>
      <c r="S31" s="146">
        <v>-11425</v>
      </c>
      <c r="T31" s="146">
        <v>22325</v>
      </c>
      <c r="U31" s="146">
        <v>37021</v>
      </c>
      <c r="V31" s="146">
        <v>-16264</v>
      </c>
      <c r="W31" s="146">
        <v>3874</v>
      </c>
      <c r="X31" s="146">
        <v>39831</v>
      </c>
      <c r="Y31" s="146">
        <v>-32000</v>
      </c>
      <c r="Z31" s="146">
        <v>51000</v>
      </c>
      <c r="AA31" s="146">
        <v>0</v>
      </c>
      <c r="AB31" s="173">
        <v>-24847</v>
      </c>
      <c r="AC31" s="170">
        <f t="shared" ref="AC31:AC57" si="2">SUM(H31:AB31)</f>
        <v>-116581</v>
      </c>
      <c r="AD31" s="148">
        <f t="shared" ref="AD31:AD57" si="3">IFERROR(AC31/F31*100,0)/10000000</f>
        <v>-1.16581</v>
      </c>
    </row>
    <row r="32" spans="1:41" x14ac:dyDescent="0.25">
      <c r="A32" s="43" t="s">
        <v>67</v>
      </c>
      <c r="B32" s="140" t="s">
        <v>154</v>
      </c>
      <c r="C32" s="140" t="s">
        <v>60</v>
      </c>
      <c r="D32" s="141" t="s">
        <v>4</v>
      </c>
      <c r="E32" s="141" t="s">
        <v>256</v>
      </c>
      <c r="F32" s="155">
        <v>0.4</v>
      </c>
      <c r="G32" s="190"/>
      <c r="H32" s="146">
        <v>0</v>
      </c>
      <c r="I32" s="146">
        <v>9510</v>
      </c>
      <c r="J32" s="146">
        <v>-924</v>
      </c>
      <c r="K32" s="146">
        <v>-9429</v>
      </c>
      <c r="L32" s="146">
        <v>-16229</v>
      </c>
      <c r="M32" s="146">
        <v>50168</v>
      </c>
      <c r="N32" s="146">
        <v>8433</v>
      </c>
      <c r="O32" s="146">
        <v>10192</v>
      </c>
      <c r="P32" s="146">
        <v>44092</v>
      </c>
      <c r="Q32" s="146">
        <v>44376</v>
      </c>
      <c r="R32" s="146">
        <v>-24900</v>
      </c>
      <c r="S32" s="146">
        <v>-6308</v>
      </c>
      <c r="T32" s="146">
        <v>14932</v>
      </c>
      <c r="U32" s="146">
        <v>-4676</v>
      </c>
      <c r="V32" s="146">
        <v>38600</v>
      </c>
      <c r="W32" s="146">
        <v>-10964</v>
      </c>
      <c r="X32" s="146">
        <v>25400</v>
      </c>
      <c r="Y32" s="146">
        <v>-40297</v>
      </c>
      <c r="Z32" s="146">
        <v>29288</v>
      </c>
      <c r="AA32" s="146">
        <v>0</v>
      </c>
      <c r="AB32" s="173">
        <v>-15646</v>
      </c>
      <c r="AC32" s="170">
        <f t="shared" si="2"/>
        <v>145618</v>
      </c>
      <c r="AD32" s="148">
        <f t="shared" si="3"/>
        <v>3.64045</v>
      </c>
      <c r="AG32" s="133"/>
    </row>
    <row r="33" spans="1:33" x14ac:dyDescent="0.25">
      <c r="A33" s="43" t="s">
        <v>143</v>
      </c>
      <c r="B33" s="140" t="s">
        <v>19</v>
      </c>
      <c r="C33" s="141" t="s">
        <v>251</v>
      </c>
      <c r="D33" s="141" t="s">
        <v>256</v>
      </c>
      <c r="E33" s="141" t="s">
        <v>284</v>
      </c>
      <c r="F33" s="155">
        <v>0.5</v>
      </c>
      <c r="G33" s="190"/>
      <c r="H33" s="146">
        <v>0</v>
      </c>
      <c r="I33" s="146">
        <v>0</v>
      </c>
      <c r="J33" s="146">
        <v>0</v>
      </c>
      <c r="K33" s="146">
        <v>0</v>
      </c>
      <c r="L33" s="146">
        <v>0</v>
      </c>
      <c r="M33" s="146">
        <v>0</v>
      </c>
      <c r="N33" s="146">
        <v>0</v>
      </c>
      <c r="O33" s="146">
        <v>0</v>
      </c>
      <c r="P33" s="146">
        <v>0</v>
      </c>
      <c r="Q33" s="146">
        <v>0</v>
      </c>
      <c r="R33" s="146">
        <v>0</v>
      </c>
      <c r="S33" s="146">
        <v>0</v>
      </c>
      <c r="T33" s="146">
        <v>0</v>
      </c>
      <c r="U33" s="146">
        <v>0</v>
      </c>
      <c r="V33" s="146">
        <v>0</v>
      </c>
      <c r="W33" s="146">
        <v>0</v>
      </c>
      <c r="X33" s="146">
        <v>0</v>
      </c>
      <c r="Y33" s="146">
        <v>0</v>
      </c>
      <c r="Z33" s="146">
        <v>0</v>
      </c>
      <c r="AA33" s="146">
        <v>0</v>
      </c>
      <c r="AB33" s="173">
        <v>0</v>
      </c>
      <c r="AC33" s="170">
        <f t="shared" si="2"/>
        <v>0</v>
      </c>
      <c r="AD33" s="148">
        <f t="shared" si="3"/>
        <v>0</v>
      </c>
      <c r="AF33" s="5"/>
      <c r="AG33" s="133">
        <v>-440165</v>
      </c>
    </row>
    <row r="34" spans="1:33" x14ac:dyDescent="0.25">
      <c r="A34" s="43" t="s">
        <v>144</v>
      </c>
      <c r="B34" s="140" t="s">
        <v>19</v>
      </c>
      <c r="C34" s="141" t="s">
        <v>250</v>
      </c>
      <c r="D34" s="141" t="s">
        <v>256</v>
      </c>
      <c r="E34" s="141" t="s">
        <v>256</v>
      </c>
      <c r="F34" s="155">
        <v>0.5</v>
      </c>
      <c r="G34" s="190"/>
      <c r="H34" s="146">
        <v>0</v>
      </c>
      <c r="I34" s="146">
        <v>0</v>
      </c>
      <c r="J34" s="146">
        <v>0</v>
      </c>
      <c r="K34" s="146">
        <v>0</v>
      </c>
      <c r="L34" s="146">
        <v>0</v>
      </c>
      <c r="M34" s="146">
        <v>0</v>
      </c>
      <c r="N34" s="146">
        <v>0</v>
      </c>
      <c r="O34" s="146">
        <v>0</v>
      </c>
      <c r="P34" s="146">
        <v>0</v>
      </c>
      <c r="Q34" s="146">
        <v>0</v>
      </c>
      <c r="R34" s="146">
        <v>0</v>
      </c>
      <c r="S34" s="146">
        <v>0</v>
      </c>
      <c r="T34" s="146">
        <v>0</v>
      </c>
      <c r="U34" s="146">
        <v>0</v>
      </c>
      <c r="V34" s="146">
        <v>0</v>
      </c>
      <c r="W34" s="146">
        <v>0</v>
      </c>
      <c r="X34" s="146">
        <v>0</v>
      </c>
      <c r="Y34" s="146">
        <v>0</v>
      </c>
      <c r="Z34" s="146">
        <v>0</v>
      </c>
      <c r="AA34" s="146">
        <v>0</v>
      </c>
      <c r="AB34" s="173">
        <v>0</v>
      </c>
      <c r="AC34" s="170">
        <f t="shared" si="2"/>
        <v>0</v>
      </c>
      <c r="AD34" s="148">
        <f t="shared" si="3"/>
        <v>0</v>
      </c>
      <c r="AF34" s="5"/>
      <c r="AG34" s="133"/>
    </row>
    <row r="35" spans="1:33" x14ac:dyDescent="0.25">
      <c r="A35" s="141" t="s">
        <v>31</v>
      </c>
      <c r="B35" s="142" t="s">
        <v>153</v>
      </c>
      <c r="C35" s="141" t="s">
        <v>222</v>
      </c>
      <c r="D35" s="141" t="s">
        <v>263</v>
      </c>
      <c r="E35" s="141" t="s">
        <v>256</v>
      </c>
      <c r="F35" s="155">
        <v>4</v>
      </c>
      <c r="G35" s="190"/>
      <c r="H35" s="146">
        <v>-45755</v>
      </c>
      <c r="I35" s="146">
        <v>-88146</v>
      </c>
      <c r="J35" s="146">
        <v>49649</v>
      </c>
      <c r="K35" s="146">
        <v>-54126</v>
      </c>
      <c r="L35" s="146">
        <v>49670</v>
      </c>
      <c r="M35" s="146">
        <v>11813</v>
      </c>
      <c r="N35" s="146">
        <v>-57818</v>
      </c>
      <c r="O35" s="146">
        <v>5239</v>
      </c>
      <c r="P35" s="146">
        <v>3072</v>
      </c>
      <c r="Q35" s="146">
        <v>9822</v>
      </c>
      <c r="R35" s="146">
        <v>-14983</v>
      </c>
      <c r="S35" s="146">
        <v>-31590</v>
      </c>
      <c r="T35" s="146">
        <v>6576</v>
      </c>
      <c r="U35" s="146">
        <v>-3230</v>
      </c>
      <c r="V35" s="146">
        <v>87301</v>
      </c>
      <c r="W35" s="146">
        <v>-90644</v>
      </c>
      <c r="X35" s="146">
        <v>30800</v>
      </c>
      <c r="Y35" s="146">
        <v>-32760</v>
      </c>
      <c r="Z35" s="146">
        <v>50400</v>
      </c>
      <c r="AA35" s="146">
        <v>0</v>
      </c>
      <c r="AB35" s="173">
        <v>-866</v>
      </c>
      <c r="AC35" s="170">
        <f t="shared" si="2"/>
        <v>-115576</v>
      </c>
      <c r="AD35" s="148">
        <f t="shared" si="3"/>
        <v>-0.28893999999999997</v>
      </c>
      <c r="AF35" s="133">
        <v>8851107</v>
      </c>
      <c r="AG35" s="133">
        <f>(AF36+AF35)/10000000*13780</f>
        <v>23773.323521999999</v>
      </c>
    </row>
    <row r="36" spans="1:33" x14ac:dyDescent="0.25">
      <c r="A36" s="141" t="s">
        <v>104</v>
      </c>
      <c r="B36" s="142" t="s">
        <v>105</v>
      </c>
      <c r="C36" s="141" t="s">
        <v>315</v>
      </c>
      <c r="D36" s="141" t="s">
        <v>106</v>
      </c>
      <c r="E36" s="141" t="s">
        <v>106</v>
      </c>
      <c r="F36" s="155">
        <v>1</v>
      </c>
      <c r="G36" s="190"/>
      <c r="H36" s="146">
        <v>-30970</v>
      </c>
      <c r="I36" s="146">
        <v>-23605</v>
      </c>
      <c r="J36" s="146">
        <v>47158</v>
      </c>
      <c r="K36" s="146">
        <v>3870</v>
      </c>
      <c r="L36" s="146">
        <v>-24318</v>
      </c>
      <c r="M36" s="146">
        <v>6866</v>
      </c>
      <c r="N36" s="146">
        <v>-29330</v>
      </c>
      <c r="O36" s="146">
        <v>-5138</v>
      </c>
      <c r="P36" s="146">
        <v>-32612</v>
      </c>
      <c r="Q36" s="146">
        <v>-120800</v>
      </c>
      <c r="R36" s="146">
        <v>17600</v>
      </c>
      <c r="S36" s="146">
        <v>30200</v>
      </c>
      <c r="T36" s="146">
        <v>80456</v>
      </c>
      <c r="U36" s="146">
        <v>-1381</v>
      </c>
      <c r="V36" s="146">
        <v>-23868</v>
      </c>
      <c r="W36" s="146">
        <v>43925</v>
      </c>
      <c r="X36" s="146">
        <v>-88681</v>
      </c>
      <c r="Y36" s="146">
        <v>4354</v>
      </c>
      <c r="Z36" s="146">
        <v>-98050</v>
      </c>
      <c r="AA36" s="146">
        <v>-34710</v>
      </c>
      <c r="AB36" s="173">
        <v>-10142</v>
      </c>
      <c r="AC36" s="170">
        <f t="shared" si="2"/>
        <v>-289176</v>
      </c>
      <c r="AD36" s="148">
        <f t="shared" si="3"/>
        <v>-2.8917600000000001</v>
      </c>
      <c r="AF36" s="133">
        <v>8400942</v>
      </c>
      <c r="AG36" s="133"/>
    </row>
    <row r="37" spans="1:33" x14ac:dyDescent="0.25">
      <c r="A37" s="141" t="s">
        <v>314</v>
      </c>
      <c r="B37" s="142" t="s">
        <v>105</v>
      </c>
      <c r="C37" s="141" t="s">
        <v>15</v>
      </c>
      <c r="D37" s="141" t="s">
        <v>256</v>
      </c>
      <c r="E37" s="141" t="s">
        <v>256</v>
      </c>
      <c r="F37" s="155"/>
      <c r="G37" s="190"/>
      <c r="H37" s="146">
        <v>0</v>
      </c>
      <c r="I37" s="146">
        <v>0</v>
      </c>
      <c r="J37" s="146">
        <v>0</v>
      </c>
      <c r="K37" s="146">
        <v>0</v>
      </c>
      <c r="L37" s="146">
        <v>0</v>
      </c>
      <c r="M37" s="146">
        <v>0</v>
      </c>
      <c r="N37" s="146">
        <v>0</v>
      </c>
      <c r="O37" s="146">
        <v>0</v>
      </c>
      <c r="P37" s="146">
        <v>0</v>
      </c>
      <c r="Q37" s="146">
        <v>0</v>
      </c>
      <c r="R37" s="146">
        <v>0</v>
      </c>
      <c r="S37" s="146">
        <v>0</v>
      </c>
      <c r="T37" s="146">
        <v>0</v>
      </c>
      <c r="U37" s="146">
        <v>0</v>
      </c>
      <c r="V37" s="146">
        <v>0</v>
      </c>
      <c r="W37" s="146">
        <v>0</v>
      </c>
      <c r="X37" s="146">
        <v>0</v>
      </c>
      <c r="Y37" s="146">
        <v>0</v>
      </c>
      <c r="Z37" s="146">
        <v>0</v>
      </c>
      <c r="AA37" s="146">
        <v>0</v>
      </c>
      <c r="AB37" s="173">
        <v>0</v>
      </c>
      <c r="AC37" s="170">
        <f t="shared" si="2"/>
        <v>0</v>
      </c>
      <c r="AD37" s="148">
        <f t="shared" si="3"/>
        <v>0</v>
      </c>
      <c r="AF37" s="133"/>
      <c r="AG37" s="133">
        <f>+AG33-AG35</f>
        <v>-463938.32352199999</v>
      </c>
    </row>
    <row r="38" spans="1:33" x14ac:dyDescent="0.25">
      <c r="A38" s="141" t="s">
        <v>229</v>
      </c>
      <c r="B38" s="142" t="s">
        <v>105</v>
      </c>
      <c r="C38" s="141" t="s">
        <v>218</v>
      </c>
      <c r="D38" s="141" t="s">
        <v>264</v>
      </c>
      <c r="E38" s="141" t="s">
        <v>256</v>
      </c>
      <c r="F38" s="155">
        <v>0.5</v>
      </c>
      <c r="G38" s="190"/>
      <c r="H38" s="146">
        <v>0</v>
      </c>
      <c r="I38" s="146">
        <v>-13160</v>
      </c>
      <c r="J38" s="146">
        <v>-15600</v>
      </c>
      <c r="K38" s="146">
        <v>-680</v>
      </c>
      <c r="L38" s="146">
        <v>12908</v>
      </c>
      <c r="M38" s="146">
        <v>11984</v>
      </c>
      <c r="N38" s="146">
        <v>-6200</v>
      </c>
      <c r="O38" s="146">
        <v>-9128</v>
      </c>
      <c r="P38" s="146">
        <v>3788</v>
      </c>
      <c r="Q38" s="146">
        <v>8133</v>
      </c>
      <c r="R38" s="146">
        <v>-5240</v>
      </c>
      <c r="S38" s="146">
        <v>52612</v>
      </c>
      <c r="T38" s="146">
        <v>-8156</v>
      </c>
      <c r="U38" s="146">
        <v>19040</v>
      </c>
      <c r="V38" s="146">
        <v>12587</v>
      </c>
      <c r="W38" s="146">
        <v>-3770</v>
      </c>
      <c r="X38" s="146">
        <v>-5817</v>
      </c>
      <c r="Y38" s="146">
        <v>-24425</v>
      </c>
      <c r="Z38" s="146">
        <v>33700</v>
      </c>
      <c r="AA38" s="146">
        <v>1560</v>
      </c>
      <c r="AB38" s="173">
        <v>-26000</v>
      </c>
      <c r="AC38" s="170">
        <f t="shared" si="2"/>
        <v>38136</v>
      </c>
      <c r="AD38" s="148">
        <f t="shared" si="3"/>
        <v>0.76271999999999995</v>
      </c>
      <c r="AF38" s="133"/>
      <c r="AG38" s="133"/>
    </row>
    <row r="39" spans="1:33" x14ac:dyDescent="0.25">
      <c r="A39" s="141" t="s">
        <v>52</v>
      </c>
      <c r="B39" s="142" t="s">
        <v>115</v>
      </c>
      <c r="C39" s="141" t="s">
        <v>219</v>
      </c>
      <c r="D39" s="141" t="s">
        <v>265</v>
      </c>
      <c r="E39" s="141" t="s">
        <v>256</v>
      </c>
      <c r="F39" s="155">
        <v>3</v>
      </c>
      <c r="G39" s="190"/>
      <c r="H39" s="146">
        <v>0</v>
      </c>
      <c r="I39" s="146">
        <v>0</v>
      </c>
      <c r="J39" s="146">
        <v>0</v>
      </c>
      <c r="K39" s="146">
        <v>0</v>
      </c>
      <c r="L39" s="146">
        <v>0</v>
      </c>
      <c r="M39" s="146">
        <v>0</v>
      </c>
      <c r="N39" s="146">
        <v>0</v>
      </c>
      <c r="O39" s="146">
        <v>0</v>
      </c>
      <c r="P39" s="146">
        <v>0</v>
      </c>
      <c r="Q39" s="146">
        <v>0</v>
      </c>
      <c r="R39" s="146">
        <v>0</v>
      </c>
      <c r="S39" s="146">
        <v>0</v>
      </c>
      <c r="T39" s="146">
        <v>0</v>
      </c>
      <c r="U39" s="146">
        <v>0</v>
      </c>
      <c r="V39" s="146">
        <v>0</v>
      </c>
      <c r="W39" s="146">
        <v>0</v>
      </c>
      <c r="X39" s="146">
        <v>0</v>
      </c>
      <c r="Y39" s="146">
        <v>0</v>
      </c>
      <c r="Z39" s="146">
        <v>0</v>
      </c>
      <c r="AA39" s="146">
        <v>0</v>
      </c>
      <c r="AB39" s="173">
        <v>0</v>
      </c>
      <c r="AC39" s="170">
        <f t="shared" si="2"/>
        <v>0</v>
      </c>
      <c r="AD39" s="148">
        <f t="shared" si="3"/>
        <v>0</v>
      </c>
      <c r="AF39" s="133"/>
      <c r="AG39" s="133"/>
    </row>
    <row r="40" spans="1:33" ht="16.5" customHeight="1" x14ac:dyDescent="0.25">
      <c r="A40" s="141" t="s">
        <v>45</v>
      </c>
      <c r="B40" s="142" t="s">
        <v>98</v>
      </c>
      <c r="C40" s="141" t="s">
        <v>220</v>
      </c>
      <c r="D40" s="141" t="s">
        <v>266</v>
      </c>
      <c r="E40" s="141" t="s">
        <v>256</v>
      </c>
      <c r="F40" s="155">
        <v>3</v>
      </c>
      <c r="G40" s="190"/>
      <c r="H40" s="146">
        <v>-71306</v>
      </c>
      <c r="I40" s="146">
        <v>12600</v>
      </c>
      <c r="J40" s="146">
        <v>2300</v>
      </c>
      <c r="K40" s="146">
        <v>-48027</v>
      </c>
      <c r="L40" s="146">
        <v>39050</v>
      </c>
      <c r="M40" s="146">
        <v>17728</v>
      </c>
      <c r="N40" s="146">
        <v>31677</v>
      </c>
      <c r="O40" s="146">
        <v>0</v>
      </c>
      <c r="P40" s="146">
        <v>13700</v>
      </c>
      <c r="Q40" s="146">
        <v>58211</v>
      </c>
      <c r="R40" s="146">
        <v>-83825</v>
      </c>
      <c r="S40" s="146">
        <v>-44514</v>
      </c>
      <c r="T40" s="146">
        <v>79156</v>
      </c>
      <c r="U40" s="146">
        <v>34906</v>
      </c>
      <c r="V40" s="146">
        <v>-30000</v>
      </c>
      <c r="W40" s="146">
        <v>5235</v>
      </c>
      <c r="X40" s="146">
        <v>26717</v>
      </c>
      <c r="Y40" s="146">
        <v>-11376</v>
      </c>
      <c r="Z40" s="146">
        <v>117000</v>
      </c>
      <c r="AA40" s="146">
        <v>0</v>
      </c>
      <c r="AB40" s="173">
        <v>6200</v>
      </c>
      <c r="AC40" s="170">
        <f t="shared" si="2"/>
        <v>155432</v>
      </c>
      <c r="AD40" s="148">
        <f t="shared" si="3"/>
        <v>0.5181066666666666</v>
      </c>
      <c r="AF40" s="133"/>
      <c r="AG40" s="133"/>
    </row>
    <row r="41" spans="1:33" x14ac:dyDescent="0.25">
      <c r="A41" s="141" t="s">
        <v>292</v>
      </c>
      <c r="B41" s="142" t="s">
        <v>291</v>
      </c>
      <c r="C41" s="141" t="s">
        <v>293</v>
      </c>
      <c r="D41" s="141"/>
      <c r="E41" s="141" t="s">
        <v>256</v>
      </c>
      <c r="F41" s="155">
        <v>0.1</v>
      </c>
      <c r="G41" s="190"/>
      <c r="H41" s="146">
        <v>30690</v>
      </c>
      <c r="I41" s="146">
        <v>-9266</v>
      </c>
      <c r="J41" s="146">
        <v>-1079</v>
      </c>
      <c r="K41" s="146">
        <v>14970</v>
      </c>
      <c r="L41" s="146">
        <v>-8091</v>
      </c>
      <c r="M41" s="146">
        <v>-30106</v>
      </c>
      <c r="N41" s="146">
        <v>-41487</v>
      </c>
      <c r="O41" s="146">
        <v>-20744</v>
      </c>
      <c r="P41" s="146">
        <v>25334</v>
      </c>
      <c r="Q41" s="146">
        <v>-21750</v>
      </c>
      <c r="R41" s="146">
        <v>0</v>
      </c>
      <c r="S41" s="146">
        <v>0</v>
      </c>
      <c r="T41" s="146">
        <v>0</v>
      </c>
      <c r="U41" s="146">
        <v>-5072</v>
      </c>
      <c r="V41" s="146">
        <v>21462</v>
      </c>
      <c r="W41" s="146">
        <v>8384</v>
      </c>
      <c r="X41" s="146">
        <v>425</v>
      </c>
      <c r="Y41" s="146">
        <v>24020</v>
      </c>
      <c r="Z41" s="146">
        <v>9121</v>
      </c>
      <c r="AA41" s="146">
        <v>0</v>
      </c>
      <c r="AB41" s="173">
        <v>0</v>
      </c>
      <c r="AC41" s="170">
        <f t="shared" si="2"/>
        <v>-3189</v>
      </c>
      <c r="AD41" s="148">
        <f t="shared" si="3"/>
        <v>-0.31890000000000002</v>
      </c>
      <c r="AF41" s="133"/>
    </row>
    <row r="42" spans="1:33" x14ac:dyDescent="0.25">
      <c r="A42" s="141" t="s">
        <v>132</v>
      </c>
      <c r="B42" s="142" t="s">
        <v>129</v>
      </c>
      <c r="C42" s="141" t="s">
        <v>307</v>
      </c>
      <c r="D42" s="141" t="s">
        <v>267</v>
      </c>
      <c r="E42" s="141" t="s">
        <v>256</v>
      </c>
      <c r="F42" s="155">
        <v>0.5</v>
      </c>
      <c r="G42" s="190"/>
      <c r="H42" s="146">
        <v>0</v>
      </c>
      <c r="I42" s="146">
        <v>-3990</v>
      </c>
      <c r="J42" s="146">
        <v>6275</v>
      </c>
      <c r="K42" s="146">
        <v>-1908</v>
      </c>
      <c r="L42" s="146">
        <v>-4245</v>
      </c>
      <c r="M42" s="146">
        <v>0</v>
      </c>
      <c r="N42" s="146">
        <v>-14900</v>
      </c>
      <c r="O42" s="146">
        <v>-1051</v>
      </c>
      <c r="P42" s="146">
        <v>8722</v>
      </c>
      <c r="Q42" s="146">
        <v>20519</v>
      </c>
      <c r="R42" s="146">
        <v>-15800</v>
      </c>
      <c r="S42" s="146">
        <v>-7355</v>
      </c>
      <c r="T42" s="146">
        <v>1034</v>
      </c>
      <c r="U42" s="146">
        <v>-14906</v>
      </c>
      <c r="V42" s="146">
        <v>12212</v>
      </c>
      <c r="W42" s="146">
        <v>4282</v>
      </c>
      <c r="X42" s="146">
        <v>2086</v>
      </c>
      <c r="Y42" s="146">
        <v>-31655</v>
      </c>
      <c r="Z42" s="146">
        <v>16800</v>
      </c>
      <c r="AA42" s="146">
        <v>0</v>
      </c>
      <c r="AB42" s="173">
        <v>-14480</v>
      </c>
      <c r="AC42" s="170">
        <f t="shared" si="2"/>
        <v>-38360</v>
      </c>
      <c r="AD42" s="148">
        <f t="shared" si="3"/>
        <v>-0.76719999999999999</v>
      </c>
    </row>
    <row r="43" spans="1:33" x14ac:dyDescent="0.25">
      <c r="A43" s="141" t="s">
        <v>48</v>
      </c>
      <c r="B43" s="140" t="s">
        <v>95</v>
      </c>
      <c r="C43" s="141" t="s">
        <v>228</v>
      </c>
      <c r="D43" s="141" t="s">
        <v>107</v>
      </c>
      <c r="E43" s="141" t="s">
        <v>107</v>
      </c>
      <c r="F43" s="155">
        <v>1</v>
      </c>
      <c r="G43" s="190"/>
      <c r="H43" s="146">
        <v>-49700</v>
      </c>
      <c r="I43" s="146">
        <v>-66367</v>
      </c>
      <c r="J43" s="146">
        <v>80500</v>
      </c>
      <c r="K43" s="146">
        <v>-34150</v>
      </c>
      <c r="L43" s="146">
        <v>15150</v>
      </c>
      <c r="M43" s="146">
        <v>45690</v>
      </c>
      <c r="N43" s="146">
        <v>-47330</v>
      </c>
      <c r="O43" s="146">
        <v>87600</v>
      </c>
      <c r="P43" s="146">
        <v>-165000</v>
      </c>
      <c r="Q43" s="146">
        <v>-316146</v>
      </c>
      <c r="R43" s="146">
        <v>-13600</v>
      </c>
      <c r="S43" s="146">
        <v>25400</v>
      </c>
      <c r="T43" s="146">
        <v>229212</v>
      </c>
      <c r="U43" s="146">
        <v>-12181</v>
      </c>
      <c r="V43" s="146">
        <v>-1022</v>
      </c>
      <c r="W43" s="146">
        <v>64900</v>
      </c>
      <c r="X43" s="146">
        <v>-187176</v>
      </c>
      <c r="Y43" s="146">
        <v>90722</v>
      </c>
      <c r="Z43" s="146">
        <v>-144280</v>
      </c>
      <c r="AA43" s="146">
        <v>-132700</v>
      </c>
      <c r="AB43" s="173">
        <v>-227350</v>
      </c>
      <c r="AC43" s="170">
        <f t="shared" si="2"/>
        <v>-757828</v>
      </c>
      <c r="AD43" s="148">
        <f t="shared" si="3"/>
        <v>-7.5782800000000003</v>
      </c>
    </row>
    <row r="44" spans="1:33" x14ac:dyDescent="0.25">
      <c r="A44" s="141" t="s">
        <v>301</v>
      </c>
      <c r="B44" s="140" t="s">
        <v>295</v>
      </c>
      <c r="C44" s="162" t="s">
        <v>296</v>
      </c>
      <c r="D44" s="162"/>
      <c r="E44" s="162" t="s">
        <v>256</v>
      </c>
      <c r="F44" s="163">
        <v>0.1</v>
      </c>
      <c r="G44" s="190"/>
      <c r="H44" s="146">
        <v>7256</v>
      </c>
      <c r="I44" s="146">
        <v>-4040</v>
      </c>
      <c r="J44" s="146">
        <v>3264</v>
      </c>
      <c r="K44" s="146">
        <v>974</v>
      </c>
      <c r="L44" s="146">
        <v>1303</v>
      </c>
      <c r="M44" s="146">
        <v>394</v>
      </c>
      <c r="N44" s="146">
        <v>-6453</v>
      </c>
      <c r="O44" s="146">
        <v>-500</v>
      </c>
      <c r="P44" s="146">
        <v>-1652</v>
      </c>
      <c r="Q44" s="146">
        <v>11400</v>
      </c>
      <c r="R44" s="146">
        <v>-4699</v>
      </c>
      <c r="S44" s="146">
        <v>534</v>
      </c>
      <c r="T44" s="146">
        <v>2268</v>
      </c>
      <c r="U44" s="146">
        <v>0</v>
      </c>
      <c r="V44" s="146">
        <v>8652</v>
      </c>
      <c r="W44" s="146">
        <v>-1612</v>
      </c>
      <c r="X44" s="146">
        <v>-712</v>
      </c>
      <c r="Y44" s="146">
        <v>-16400</v>
      </c>
      <c r="Z44" s="146">
        <v>4560</v>
      </c>
      <c r="AA44" s="146">
        <v>0</v>
      </c>
      <c r="AB44" s="173">
        <v>12300</v>
      </c>
      <c r="AC44" s="170">
        <f t="shared" si="2"/>
        <v>16837</v>
      </c>
      <c r="AD44" s="148">
        <f t="shared" si="3"/>
        <v>1.6837</v>
      </c>
    </row>
    <row r="45" spans="1:33" x14ac:dyDescent="0.25">
      <c r="A45" s="142" t="s">
        <v>168</v>
      </c>
      <c r="B45" s="140" t="s">
        <v>169</v>
      </c>
      <c r="C45" s="59" t="s">
        <v>252</v>
      </c>
      <c r="D45" s="162" t="s">
        <v>253</v>
      </c>
      <c r="E45" s="162" t="s">
        <v>253</v>
      </c>
      <c r="F45" s="114">
        <v>4</v>
      </c>
      <c r="G45" s="190"/>
      <c r="H45" s="146">
        <v>0</v>
      </c>
      <c r="I45" s="146">
        <v>5133</v>
      </c>
      <c r="J45" s="146">
        <v>-161258</v>
      </c>
      <c r="K45" s="146">
        <v>0</v>
      </c>
      <c r="L45" s="146">
        <v>0</v>
      </c>
      <c r="M45" s="146">
        <v>0</v>
      </c>
      <c r="N45" s="146">
        <v>0</v>
      </c>
      <c r="O45" s="146">
        <v>0</v>
      </c>
      <c r="P45" s="146">
        <v>0</v>
      </c>
      <c r="Q45" s="146">
        <v>0</v>
      </c>
      <c r="R45" s="146">
        <v>-29500</v>
      </c>
      <c r="S45" s="146">
        <v>-42504</v>
      </c>
      <c r="T45" s="146">
        <v>0</v>
      </c>
      <c r="U45" s="146">
        <v>0</v>
      </c>
      <c r="V45" s="146">
        <v>0</v>
      </c>
      <c r="W45" s="146">
        <v>0</v>
      </c>
      <c r="X45" s="146">
        <v>50800</v>
      </c>
      <c r="Y45" s="146">
        <v>0</v>
      </c>
      <c r="Z45" s="146">
        <v>0</v>
      </c>
      <c r="AA45" s="146">
        <v>0</v>
      </c>
      <c r="AB45" s="173">
        <v>-8000</v>
      </c>
      <c r="AC45" s="170">
        <f t="shared" si="2"/>
        <v>-185329</v>
      </c>
      <c r="AD45" s="148">
        <f t="shared" si="3"/>
        <v>-0.46332250000000003</v>
      </c>
    </row>
    <row r="46" spans="1:33" x14ac:dyDescent="0.25">
      <c r="A46" s="142" t="s">
        <v>202</v>
      </c>
      <c r="B46" s="140" t="s">
        <v>169</v>
      </c>
      <c r="C46" s="59" t="s">
        <v>252</v>
      </c>
      <c r="D46" s="162" t="s">
        <v>116</v>
      </c>
      <c r="E46" s="162" t="s">
        <v>256</v>
      </c>
      <c r="F46" s="114">
        <v>4</v>
      </c>
      <c r="G46" s="190"/>
      <c r="H46" s="146">
        <v>27000</v>
      </c>
      <c r="I46" s="146">
        <v>-1041</v>
      </c>
      <c r="J46" s="146">
        <v>5300</v>
      </c>
      <c r="K46" s="146">
        <v>8481</v>
      </c>
      <c r="L46" s="146">
        <v>0</v>
      </c>
      <c r="M46" s="146">
        <v>-106345</v>
      </c>
      <c r="N46" s="146">
        <v>0</v>
      </c>
      <c r="O46" s="146">
        <v>-6600</v>
      </c>
      <c r="P46" s="146">
        <v>0</v>
      </c>
      <c r="Q46" s="146">
        <v>-3600</v>
      </c>
      <c r="R46" s="146">
        <v>0</v>
      </c>
      <c r="S46" s="146">
        <v>0</v>
      </c>
      <c r="T46" s="146">
        <v>0</v>
      </c>
      <c r="U46" s="146">
        <v>0</v>
      </c>
      <c r="V46" s="146">
        <v>0</v>
      </c>
      <c r="W46" s="146">
        <v>0</v>
      </c>
      <c r="X46" s="146">
        <v>0</v>
      </c>
      <c r="Y46" s="146">
        <v>0</v>
      </c>
      <c r="Z46" s="146">
        <v>-6300</v>
      </c>
      <c r="AA46" s="146">
        <v>0</v>
      </c>
      <c r="AB46" s="173">
        <v>-800</v>
      </c>
      <c r="AC46" s="170">
        <f t="shared" si="2"/>
        <v>-83905</v>
      </c>
      <c r="AD46" s="148">
        <f t="shared" si="3"/>
        <v>-0.20976249999999999</v>
      </c>
    </row>
    <row r="47" spans="1:33" x14ac:dyDescent="0.25">
      <c r="A47" s="142" t="s">
        <v>33</v>
      </c>
      <c r="B47" s="140" t="s">
        <v>14</v>
      </c>
      <c r="C47" s="142" t="s">
        <v>13</v>
      </c>
      <c r="D47" s="140" t="s">
        <v>14</v>
      </c>
      <c r="E47" s="140" t="s">
        <v>256</v>
      </c>
      <c r="F47" s="118">
        <v>3</v>
      </c>
      <c r="G47" s="196"/>
      <c r="H47" s="146">
        <v>15088</v>
      </c>
      <c r="I47" s="146">
        <v>-61960</v>
      </c>
      <c r="J47" s="146">
        <v>79536</v>
      </c>
      <c r="K47" s="146">
        <v>-16640</v>
      </c>
      <c r="L47" s="146">
        <v>-15194</v>
      </c>
      <c r="M47" s="146">
        <v>28061</v>
      </c>
      <c r="N47" s="146">
        <v>-183866</v>
      </c>
      <c r="O47" s="146">
        <v>22209</v>
      </c>
      <c r="P47" s="146">
        <v>388268</v>
      </c>
      <c r="Q47" s="146">
        <v>416846</v>
      </c>
      <c r="R47" s="146">
        <v>-296157</v>
      </c>
      <c r="S47" s="146">
        <v>-211473</v>
      </c>
      <c r="T47" s="146">
        <v>70842</v>
      </c>
      <c r="U47" s="146">
        <v>26462</v>
      </c>
      <c r="V47" s="146">
        <v>-37612</v>
      </c>
      <c r="W47" s="146">
        <v>63808</v>
      </c>
      <c r="X47" s="146">
        <v>241500</v>
      </c>
      <c r="Y47" s="146">
        <v>-188394</v>
      </c>
      <c r="Z47" s="146">
        <v>204963</v>
      </c>
      <c r="AA47" s="146">
        <v>96636</v>
      </c>
      <c r="AB47" s="173">
        <v>-463938</v>
      </c>
      <c r="AC47" s="170">
        <f t="shared" si="2"/>
        <v>178985</v>
      </c>
      <c r="AD47" s="148">
        <f t="shared" si="3"/>
        <v>0.59661666666666657</v>
      </c>
    </row>
    <row r="48" spans="1:33" x14ac:dyDescent="0.25">
      <c r="A48" s="59" t="s">
        <v>306</v>
      </c>
      <c r="B48" s="62" t="s">
        <v>304</v>
      </c>
      <c r="C48" s="59" t="s">
        <v>308</v>
      </c>
      <c r="D48" s="140"/>
      <c r="E48" s="140" t="s">
        <v>256</v>
      </c>
      <c r="F48" s="114">
        <v>10</v>
      </c>
      <c r="G48" s="23"/>
      <c r="H48" s="150">
        <v>-405100</v>
      </c>
      <c r="I48" s="150">
        <v>64400</v>
      </c>
      <c r="J48" s="150">
        <v>-30800</v>
      </c>
      <c r="K48" s="150">
        <v>86600</v>
      </c>
      <c r="L48" s="150">
        <v>44400</v>
      </c>
      <c r="M48" s="150">
        <v>-152025</v>
      </c>
      <c r="N48" s="150">
        <v>83800</v>
      </c>
      <c r="O48" s="150">
        <v>-910511</v>
      </c>
      <c r="P48" s="150">
        <v>458900</v>
      </c>
      <c r="Q48" s="150">
        <v>52400</v>
      </c>
      <c r="R48" s="150">
        <v>54600</v>
      </c>
      <c r="S48" s="150">
        <v>219000</v>
      </c>
      <c r="T48" s="150">
        <v>571611</v>
      </c>
      <c r="U48" s="150">
        <v>268100</v>
      </c>
      <c r="V48" s="150">
        <v>-8000</v>
      </c>
      <c r="W48" s="150">
        <v>230000</v>
      </c>
      <c r="X48" s="150">
        <v>-26700</v>
      </c>
      <c r="Y48" s="150">
        <v>4232</v>
      </c>
      <c r="Z48" s="150">
        <v>-171400</v>
      </c>
      <c r="AA48" s="150">
        <v>306000</v>
      </c>
      <c r="AB48" s="173">
        <v>-667256</v>
      </c>
      <c r="AC48" s="170">
        <f t="shared" si="2"/>
        <v>72251</v>
      </c>
      <c r="AD48" s="148">
        <f t="shared" si="3"/>
        <v>7.2250999999999996E-2</v>
      </c>
    </row>
    <row r="49" spans="1:34" x14ac:dyDescent="0.25">
      <c r="A49" s="59" t="s">
        <v>320</v>
      </c>
      <c r="B49" s="62" t="s">
        <v>304</v>
      </c>
      <c r="C49" s="59" t="s">
        <v>274</v>
      </c>
      <c r="D49" s="140"/>
      <c r="E49" s="140" t="s">
        <v>256</v>
      </c>
      <c r="F49" s="114"/>
      <c r="G49" s="23"/>
      <c r="H49" s="150">
        <v>0</v>
      </c>
      <c r="I49" s="150">
        <v>0</v>
      </c>
      <c r="J49" s="150">
        <v>0</v>
      </c>
      <c r="K49" s="150">
        <v>0</v>
      </c>
      <c r="L49" s="150">
        <v>0</v>
      </c>
      <c r="M49" s="150">
        <v>0</v>
      </c>
      <c r="N49" s="150">
        <v>0</v>
      </c>
      <c r="O49" s="150">
        <v>0</v>
      </c>
      <c r="P49" s="150">
        <v>0</v>
      </c>
      <c r="Q49" s="150">
        <v>0</v>
      </c>
      <c r="R49" s="150">
        <v>0</v>
      </c>
      <c r="S49" s="150">
        <v>0</v>
      </c>
      <c r="T49" s="150">
        <v>0</v>
      </c>
      <c r="U49" s="150">
        <v>0</v>
      </c>
      <c r="V49" s="150">
        <v>0</v>
      </c>
      <c r="W49" s="150">
        <v>0</v>
      </c>
      <c r="X49" s="150">
        <v>0</v>
      </c>
      <c r="Y49" s="150">
        <v>0</v>
      </c>
      <c r="Z49" s="150">
        <v>0</v>
      </c>
      <c r="AA49" s="150">
        <v>0</v>
      </c>
      <c r="AB49" s="173">
        <v>0</v>
      </c>
      <c r="AC49" s="170">
        <f t="shared" si="2"/>
        <v>0</v>
      </c>
      <c r="AD49" s="148">
        <f t="shared" si="3"/>
        <v>0</v>
      </c>
    </row>
    <row r="50" spans="1:34" x14ac:dyDescent="0.25">
      <c r="A50" s="59" t="s">
        <v>197</v>
      </c>
      <c r="B50" s="62" t="s">
        <v>195</v>
      </c>
      <c r="C50" s="59" t="s">
        <v>196</v>
      </c>
      <c r="D50" s="141" t="s">
        <v>268</v>
      </c>
      <c r="E50" s="162" t="s">
        <v>256</v>
      </c>
      <c r="F50" s="114">
        <v>0.5</v>
      </c>
      <c r="G50" s="23"/>
      <c r="H50" s="150">
        <v>12773</v>
      </c>
      <c r="I50" s="150">
        <v>1824</v>
      </c>
      <c r="J50" s="150">
        <v>335</v>
      </c>
      <c r="K50" s="150">
        <v>-10394</v>
      </c>
      <c r="L50" s="150">
        <v>-4300</v>
      </c>
      <c r="M50" s="150">
        <v>18690</v>
      </c>
      <c r="N50" s="150">
        <v>5200</v>
      </c>
      <c r="O50" s="150">
        <v>14401</v>
      </c>
      <c r="P50" s="150">
        <v>-27401</v>
      </c>
      <c r="Q50" s="150">
        <v>19542</v>
      </c>
      <c r="R50" s="150">
        <v>-100</v>
      </c>
      <c r="S50" s="150">
        <v>4098</v>
      </c>
      <c r="T50" s="150">
        <v>0</v>
      </c>
      <c r="U50" s="150">
        <v>-6096</v>
      </c>
      <c r="V50" s="150">
        <v>-17353</v>
      </c>
      <c r="W50" s="150">
        <v>700</v>
      </c>
      <c r="X50" s="150">
        <v>-5675</v>
      </c>
      <c r="Y50" s="150">
        <v>0</v>
      </c>
      <c r="Z50" s="150">
        <v>5720</v>
      </c>
      <c r="AA50" s="150">
        <v>0</v>
      </c>
      <c r="AB50" s="173">
        <v>-900</v>
      </c>
      <c r="AC50" s="170">
        <f t="shared" si="2"/>
        <v>11064</v>
      </c>
      <c r="AD50" s="148">
        <f t="shared" si="3"/>
        <v>0.22128</v>
      </c>
    </row>
    <row r="51" spans="1:34" x14ac:dyDescent="0.25">
      <c r="A51" s="59" t="s">
        <v>213</v>
      </c>
      <c r="B51" s="62" t="s">
        <v>209</v>
      </c>
      <c r="C51" s="59" t="s">
        <v>210</v>
      </c>
      <c r="D51" s="62" t="s">
        <v>209</v>
      </c>
      <c r="E51" s="62" t="s">
        <v>256</v>
      </c>
      <c r="F51" s="114">
        <v>6.5</v>
      </c>
      <c r="G51" s="23"/>
      <c r="H51" s="150">
        <v>-152273</v>
      </c>
      <c r="I51" s="150">
        <v>0</v>
      </c>
      <c r="J51" s="150">
        <v>0</v>
      </c>
      <c r="K51" s="150">
        <v>0</v>
      </c>
      <c r="L51" s="150">
        <v>0</v>
      </c>
      <c r="M51" s="150">
        <v>40800</v>
      </c>
      <c r="N51" s="150">
        <v>-7308</v>
      </c>
      <c r="O51" s="150">
        <v>153270</v>
      </c>
      <c r="P51" s="150">
        <v>0</v>
      </c>
      <c r="Q51" s="150">
        <v>-652202</v>
      </c>
      <c r="R51" s="150">
        <v>-500</v>
      </c>
      <c r="S51" s="150">
        <v>36340</v>
      </c>
      <c r="T51" s="150">
        <v>0</v>
      </c>
      <c r="U51" s="150">
        <v>0</v>
      </c>
      <c r="V51" s="150">
        <v>-337539</v>
      </c>
      <c r="W51" s="150">
        <v>0</v>
      </c>
      <c r="X51" s="150">
        <v>-4718</v>
      </c>
      <c r="Y51" s="150">
        <v>0</v>
      </c>
      <c r="Z51" s="150">
        <v>6747</v>
      </c>
      <c r="AA51" s="150">
        <v>20560</v>
      </c>
      <c r="AB51" s="173">
        <v>0</v>
      </c>
      <c r="AC51" s="170">
        <f t="shared" si="2"/>
        <v>-896823</v>
      </c>
      <c r="AD51" s="148">
        <f t="shared" si="3"/>
        <v>-1.3797276923076922</v>
      </c>
    </row>
    <row r="52" spans="1:34" x14ac:dyDescent="0.25">
      <c r="A52" s="59" t="s">
        <v>214</v>
      </c>
      <c r="B52" s="62" t="s">
        <v>209</v>
      </c>
      <c r="C52" s="59" t="s">
        <v>211</v>
      </c>
      <c r="D52" s="62" t="s">
        <v>209</v>
      </c>
      <c r="E52" s="62" t="s">
        <v>256</v>
      </c>
      <c r="F52" s="114">
        <v>1.25</v>
      </c>
      <c r="G52" s="23"/>
      <c r="H52" s="150">
        <v>31488</v>
      </c>
      <c r="I52" s="150">
        <v>-28440</v>
      </c>
      <c r="J52" s="150">
        <v>-160784</v>
      </c>
      <c r="K52" s="150">
        <v>0</v>
      </c>
      <c r="L52" s="150">
        <v>0</v>
      </c>
      <c r="M52" s="150">
        <v>-540</v>
      </c>
      <c r="N52" s="150">
        <v>0</v>
      </c>
      <c r="O52" s="150">
        <v>0</v>
      </c>
      <c r="P52" s="150">
        <v>0</v>
      </c>
      <c r="Q52" s="150">
        <v>0</v>
      </c>
      <c r="R52" s="150">
        <v>0</v>
      </c>
      <c r="S52" s="150">
        <v>0</v>
      </c>
      <c r="T52" s="150">
        <v>0</v>
      </c>
      <c r="U52" s="150">
        <v>0</v>
      </c>
      <c r="V52" s="150">
        <v>0</v>
      </c>
      <c r="W52" s="150">
        <v>0</v>
      </c>
      <c r="X52" s="150">
        <v>0</v>
      </c>
      <c r="Y52" s="150">
        <v>0</v>
      </c>
      <c r="Z52" s="150">
        <v>0</v>
      </c>
      <c r="AA52" s="150">
        <v>0</v>
      </c>
      <c r="AB52" s="173">
        <v>0</v>
      </c>
      <c r="AC52" s="170">
        <f t="shared" si="2"/>
        <v>-158276</v>
      </c>
      <c r="AD52" s="148">
        <f t="shared" si="3"/>
        <v>-1.266208</v>
      </c>
    </row>
    <row r="53" spans="1:34" x14ac:dyDescent="0.25">
      <c r="A53" s="59" t="s">
        <v>49</v>
      </c>
      <c r="B53" s="59" t="s">
        <v>99</v>
      </c>
      <c r="C53" s="59" t="s">
        <v>100</v>
      </c>
      <c r="D53" s="59" t="s">
        <v>99</v>
      </c>
      <c r="E53" s="59" t="s">
        <v>256</v>
      </c>
      <c r="F53" s="114">
        <v>3</v>
      </c>
      <c r="G53" s="23"/>
      <c r="H53" s="150">
        <v>-121091</v>
      </c>
      <c r="I53" s="150">
        <v>0</v>
      </c>
      <c r="J53" s="150">
        <v>14450</v>
      </c>
      <c r="K53" s="150">
        <v>0</v>
      </c>
      <c r="L53" s="150">
        <v>0</v>
      </c>
      <c r="M53" s="150">
        <v>-30409</v>
      </c>
      <c r="N53" s="150">
        <v>0</v>
      </c>
      <c r="O53" s="150">
        <v>-41730</v>
      </c>
      <c r="P53" s="150">
        <v>0</v>
      </c>
      <c r="Q53" s="150">
        <v>4264</v>
      </c>
      <c r="R53" s="150">
        <v>0</v>
      </c>
      <c r="S53" s="150">
        <v>-42834</v>
      </c>
      <c r="T53" s="150">
        <v>0</v>
      </c>
      <c r="U53" s="150">
        <v>0</v>
      </c>
      <c r="V53" s="150">
        <v>6200</v>
      </c>
      <c r="W53" s="150">
        <v>0</v>
      </c>
      <c r="X53" s="150">
        <v>46763</v>
      </c>
      <c r="Y53" s="150">
        <v>0</v>
      </c>
      <c r="Z53" s="150">
        <v>0</v>
      </c>
      <c r="AA53" s="150">
        <v>0</v>
      </c>
      <c r="AB53" s="173">
        <v>0</v>
      </c>
      <c r="AC53" s="170">
        <f t="shared" si="2"/>
        <v>-164387</v>
      </c>
      <c r="AD53" s="148">
        <f t="shared" si="3"/>
        <v>-0.54795666666666665</v>
      </c>
    </row>
    <row r="54" spans="1:34" x14ac:dyDescent="0.25">
      <c r="A54" s="59" t="s">
        <v>300</v>
      </c>
      <c r="B54" s="59" t="s">
        <v>286</v>
      </c>
      <c r="C54" s="59" t="s">
        <v>299</v>
      </c>
      <c r="D54" s="59"/>
      <c r="E54" s="59" t="s">
        <v>256</v>
      </c>
      <c r="F54" s="114">
        <v>1.5</v>
      </c>
      <c r="G54" s="23"/>
      <c r="H54" s="150">
        <v>-14700</v>
      </c>
      <c r="I54" s="150">
        <v>9455</v>
      </c>
      <c r="J54" s="150">
        <v>13380</v>
      </c>
      <c r="K54" s="150">
        <v>0</v>
      </c>
      <c r="L54" s="150">
        <v>0</v>
      </c>
      <c r="M54" s="150">
        <v>3265</v>
      </c>
      <c r="N54" s="150">
        <v>0</v>
      </c>
      <c r="O54" s="150">
        <v>0</v>
      </c>
      <c r="P54" s="150">
        <v>0</v>
      </c>
      <c r="Q54" s="150">
        <v>0</v>
      </c>
      <c r="R54" s="150">
        <v>0</v>
      </c>
      <c r="S54" s="150">
        <v>0</v>
      </c>
      <c r="T54" s="150">
        <v>0</v>
      </c>
      <c r="U54" s="150">
        <v>0</v>
      </c>
      <c r="V54" s="150">
        <v>0</v>
      </c>
      <c r="W54" s="150">
        <v>0</v>
      </c>
      <c r="X54" s="150">
        <v>0</v>
      </c>
      <c r="Y54" s="150">
        <v>0</v>
      </c>
      <c r="Z54" s="150">
        <v>0</v>
      </c>
      <c r="AA54" s="150">
        <v>0</v>
      </c>
      <c r="AB54" s="173">
        <v>0</v>
      </c>
      <c r="AC54" s="170">
        <f t="shared" si="2"/>
        <v>11400</v>
      </c>
      <c r="AD54" s="148">
        <f t="shared" si="3"/>
        <v>7.5999999999999998E-2</v>
      </c>
    </row>
    <row r="55" spans="1:34" x14ac:dyDescent="0.25">
      <c r="A55" s="59"/>
      <c r="B55" s="59" t="s">
        <v>286</v>
      </c>
      <c r="C55" s="59" t="s">
        <v>324</v>
      </c>
      <c r="D55" s="59"/>
      <c r="E55" s="59" t="s">
        <v>256</v>
      </c>
      <c r="F55" s="114"/>
      <c r="G55" s="23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>
        <v>0</v>
      </c>
      <c r="X55" s="150">
        <v>5526</v>
      </c>
      <c r="Y55" s="150">
        <v>0</v>
      </c>
      <c r="Z55" s="150">
        <v>-360</v>
      </c>
      <c r="AA55" s="150">
        <v>0</v>
      </c>
      <c r="AB55" s="173">
        <v>-2106</v>
      </c>
      <c r="AC55" s="170">
        <f t="shared" ref="AC55" si="4">SUM(H55:AB55)</f>
        <v>3060</v>
      </c>
      <c r="AD55" s="148">
        <f t="shared" ref="AD55" si="5">IFERROR(AC55/F55*100,0)/10000000</f>
        <v>0</v>
      </c>
    </row>
    <row r="56" spans="1:34" ht="16.5" customHeight="1" thickBot="1" x14ac:dyDescent="0.3">
      <c r="A56" s="59" t="s">
        <v>288</v>
      </c>
      <c r="B56" s="59" t="s">
        <v>286</v>
      </c>
      <c r="C56" s="59" t="s">
        <v>285</v>
      </c>
      <c r="D56" s="59"/>
      <c r="E56" s="59" t="s">
        <v>256</v>
      </c>
      <c r="F56" s="114">
        <v>5</v>
      </c>
      <c r="G56" s="23"/>
      <c r="H56" s="150">
        <v>-34030</v>
      </c>
      <c r="I56" s="150">
        <v>32229</v>
      </c>
      <c r="J56" s="150">
        <v>43947</v>
      </c>
      <c r="K56" s="150">
        <v>6100</v>
      </c>
      <c r="L56" s="150">
        <v>28900</v>
      </c>
      <c r="M56" s="150">
        <v>14300</v>
      </c>
      <c r="N56" s="150">
        <v>-7772</v>
      </c>
      <c r="O56" s="150">
        <v>-89336</v>
      </c>
      <c r="P56" s="150">
        <v>9600</v>
      </c>
      <c r="Q56" s="150">
        <v>18190</v>
      </c>
      <c r="R56" s="150">
        <v>-13500</v>
      </c>
      <c r="S56" s="150">
        <v>14150</v>
      </c>
      <c r="T56" s="150">
        <v>51605</v>
      </c>
      <c r="U56" s="150">
        <v>-5500</v>
      </c>
      <c r="V56" s="150">
        <v>-15900</v>
      </c>
      <c r="W56" s="150">
        <v>10200</v>
      </c>
      <c r="X56" s="150">
        <v>5700</v>
      </c>
      <c r="Y56" s="150">
        <v>-54300</v>
      </c>
      <c r="Z56" s="150">
        <v>-8000</v>
      </c>
      <c r="AA56" s="150">
        <v>3600</v>
      </c>
      <c r="AB56" s="173">
        <v>-8735</v>
      </c>
      <c r="AC56" s="170">
        <f t="shared" si="2"/>
        <v>1448</v>
      </c>
      <c r="AD56" s="148">
        <f t="shared" si="3"/>
        <v>2.8960000000000006E-3</v>
      </c>
    </row>
    <row r="57" spans="1:34" ht="15.75" thickBot="1" x14ac:dyDescent="0.3">
      <c r="A57" s="24"/>
      <c r="B57" s="25"/>
      <c r="C57" s="26"/>
      <c r="D57" s="24"/>
      <c r="E57" s="24"/>
      <c r="F57" s="115"/>
      <c r="G57" s="16"/>
      <c r="H57" s="253">
        <f t="shared" ref="H57:AA57" si="6">SUM(H4:H56)</f>
        <v>-2124400</v>
      </c>
      <c r="I57" s="253">
        <f t="shared" si="6"/>
        <v>-531590</v>
      </c>
      <c r="J57" s="253">
        <f t="shared" si="6"/>
        <v>141562</v>
      </c>
      <c r="K57" s="253">
        <f t="shared" si="6"/>
        <v>-88507</v>
      </c>
      <c r="L57" s="253">
        <f t="shared" si="6"/>
        <v>206563</v>
      </c>
      <c r="M57" s="253">
        <f t="shared" si="6"/>
        <v>507837</v>
      </c>
      <c r="N57" s="253">
        <f t="shared" si="6"/>
        <v>-952541</v>
      </c>
      <c r="O57" s="253">
        <f t="shared" si="6"/>
        <v>-529806</v>
      </c>
      <c r="P57" s="253">
        <f t="shared" si="6"/>
        <v>-539238</v>
      </c>
      <c r="Q57" s="253">
        <f t="shared" si="6"/>
        <v>-925850</v>
      </c>
      <c r="R57" s="253">
        <f t="shared" si="6"/>
        <v>-1203159</v>
      </c>
      <c r="S57" s="253">
        <f t="shared" si="6"/>
        <v>-1073044</v>
      </c>
      <c r="T57" s="253">
        <f t="shared" si="6"/>
        <v>1325450</v>
      </c>
      <c r="U57" s="253">
        <f t="shared" si="6"/>
        <v>721076</v>
      </c>
      <c r="V57" s="253">
        <f t="shared" si="6"/>
        <v>-876842</v>
      </c>
      <c r="W57" s="253">
        <f t="shared" si="6"/>
        <v>552008</v>
      </c>
      <c r="X57" s="253">
        <f t="shared" si="6"/>
        <v>-644126</v>
      </c>
      <c r="Y57" s="253">
        <f t="shared" si="6"/>
        <v>-479735</v>
      </c>
      <c r="Z57" s="253">
        <f t="shared" si="6"/>
        <v>-34364</v>
      </c>
      <c r="AA57" s="253">
        <f t="shared" si="6"/>
        <v>427540</v>
      </c>
      <c r="AB57" s="253">
        <f>SUM(AB4:AB56)</f>
        <v>-2209180</v>
      </c>
      <c r="AC57" s="253">
        <f t="shared" si="2"/>
        <v>-8330346</v>
      </c>
      <c r="AD57" s="254">
        <f t="shared" si="3"/>
        <v>0</v>
      </c>
    </row>
    <row r="58" spans="1:34" s="248" customFormat="1" ht="15.75" thickBot="1" x14ac:dyDescent="0.3">
      <c r="A58" s="249"/>
      <c r="B58" s="249"/>
      <c r="C58" s="249"/>
      <c r="D58" s="249"/>
      <c r="E58" s="249"/>
      <c r="F58" s="250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249"/>
      <c r="W58" s="249"/>
      <c r="X58" s="249"/>
      <c r="Y58" s="249"/>
      <c r="Z58" s="249"/>
      <c r="AA58" s="249"/>
      <c r="AB58" s="249"/>
      <c r="AC58" s="249"/>
      <c r="AD58" s="251"/>
    </row>
    <row r="59" spans="1:34" x14ac:dyDescent="0.25">
      <c r="A59" s="201" t="s">
        <v>241</v>
      </c>
      <c r="B59" s="202" t="s">
        <v>240</v>
      </c>
      <c r="C59" s="202" t="s">
        <v>57</v>
      </c>
      <c r="D59" s="202" t="s">
        <v>87</v>
      </c>
      <c r="E59" s="202" t="s">
        <v>256</v>
      </c>
      <c r="F59" s="203">
        <v>3</v>
      </c>
      <c r="G59" s="204"/>
      <c r="H59" s="161">
        <v>-370080</v>
      </c>
      <c r="I59" s="161">
        <v>0</v>
      </c>
      <c r="J59" s="161">
        <v>-17480</v>
      </c>
      <c r="K59" s="161">
        <v>0</v>
      </c>
      <c r="L59" s="161">
        <v>2780</v>
      </c>
      <c r="M59" s="161">
        <v>77900</v>
      </c>
      <c r="N59" s="161">
        <v>19032</v>
      </c>
      <c r="O59" s="161">
        <v>53520</v>
      </c>
      <c r="P59" s="161">
        <v>-49300</v>
      </c>
      <c r="Q59" s="161">
        <v>-431925</v>
      </c>
      <c r="R59" s="161">
        <v>0</v>
      </c>
      <c r="S59" s="161">
        <v>-101150</v>
      </c>
      <c r="T59" s="161">
        <v>110</v>
      </c>
      <c r="U59" s="161">
        <v>-4072</v>
      </c>
      <c r="V59" s="161">
        <v>-118660</v>
      </c>
      <c r="W59" s="161">
        <v>50</v>
      </c>
      <c r="X59" s="161">
        <v>-13604</v>
      </c>
      <c r="Y59" s="161">
        <v>-5154</v>
      </c>
      <c r="Z59" s="161">
        <v>685</v>
      </c>
      <c r="AA59" s="161">
        <v>2321</v>
      </c>
      <c r="AB59" s="245">
        <v>-23654</v>
      </c>
      <c r="AC59" s="246">
        <f>SUM(H59:AB59)</f>
        <v>-978681</v>
      </c>
      <c r="AD59" s="247">
        <f>IFERROR(AC59/F59*100,0)/10000000</f>
        <v>-3.26227</v>
      </c>
      <c r="AG59" s="133"/>
    </row>
    <row r="60" spans="1:34" ht="15.75" thickBot="1" x14ac:dyDescent="0.3">
      <c r="A60" s="201" t="s">
        <v>273</v>
      </c>
      <c r="B60" s="202" t="s">
        <v>272</v>
      </c>
      <c r="C60" s="202" t="s">
        <v>57</v>
      </c>
      <c r="D60" s="202" t="s">
        <v>87</v>
      </c>
      <c r="E60" s="202" t="s">
        <v>256</v>
      </c>
      <c r="F60" s="203"/>
      <c r="G60" s="204"/>
      <c r="H60" s="161">
        <v>-246000</v>
      </c>
      <c r="I60" s="161">
        <v>0</v>
      </c>
      <c r="J60" s="161">
        <v>0</v>
      </c>
      <c r="K60" s="161">
        <v>0</v>
      </c>
      <c r="L60" s="161">
        <v>3816</v>
      </c>
      <c r="M60" s="161">
        <v>377300</v>
      </c>
      <c r="N60" s="161">
        <v>0</v>
      </c>
      <c r="O60" s="161">
        <v>0</v>
      </c>
      <c r="P60" s="161">
        <v>-500</v>
      </c>
      <c r="Q60" s="161">
        <v>-47350</v>
      </c>
      <c r="R60" s="161">
        <v>0</v>
      </c>
      <c r="S60" s="161">
        <v>0</v>
      </c>
      <c r="T60" s="161">
        <v>0</v>
      </c>
      <c r="U60" s="161">
        <v>0</v>
      </c>
      <c r="V60" s="161">
        <v>-215660</v>
      </c>
      <c r="W60" s="161">
        <v>0</v>
      </c>
      <c r="X60" s="161">
        <v>0</v>
      </c>
      <c r="Y60" s="161">
        <v>0</v>
      </c>
      <c r="Z60" s="161">
        <v>43600</v>
      </c>
      <c r="AA60" s="161">
        <v>-65000</v>
      </c>
      <c r="AB60" s="173">
        <v>0</v>
      </c>
      <c r="AC60" s="170">
        <f>SUM(H60:AB60)</f>
        <v>-149794</v>
      </c>
      <c r="AD60" s="148">
        <f>IFERROR(AC60/F60*100,0)/10000000</f>
        <v>0</v>
      </c>
      <c r="AF60" s="133"/>
    </row>
    <row r="61" spans="1:34" ht="15.75" thickBot="1" x14ac:dyDescent="0.3">
      <c r="A61" s="199"/>
      <c r="B61" s="16"/>
      <c r="C61" s="16"/>
      <c r="D61" s="16"/>
      <c r="E61" s="16"/>
      <c r="F61" s="74"/>
      <c r="G61" s="17"/>
      <c r="H61" s="169">
        <f t="shared" ref="H61:AA61" si="7">SUM(H59:H60)</f>
        <v>-616080</v>
      </c>
      <c r="I61" s="169">
        <f t="shared" si="7"/>
        <v>0</v>
      </c>
      <c r="J61" s="169">
        <f t="shared" si="7"/>
        <v>-17480</v>
      </c>
      <c r="K61" s="169">
        <f t="shared" si="7"/>
        <v>0</v>
      </c>
      <c r="L61" s="169">
        <f t="shared" si="7"/>
        <v>6596</v>
      </c>
      <c r="M61" s="169">
        <f t="shared" si="7"/>
        <v>455200</v>
      </c>
      <c r="N61" s="169">
        <f t="shared" si="7"/>
        <v>19032</v>
      </c>
      <c r="O61" s="169">
        <f t="shared" si="7"/>
        <v>53520</v>
      </c>
      <c r="P61" s="169">
        <f t="shared" si="7"/>
        <v>-49800</v>
      </c>
      <c r="Q61" s="169">
        <f t="shared" si="7"/>
        <v>-479275</v>
      </c>
      <c r="R61" s="169">
        <f t="shared" si="7"/>
        <v>0</v>
      </c>
      <c r="S61" s="169">
        <f t="shared" si="7"/>
        <v>-101150</v>
      </c>
      <c r="T61" s="169">
        <f t="shared" si="7"/>
        <v>110</v>
      </c>
      <c r="U61" s="169">
        <f t="shared" si="7"/>
        <v>-4072</v>
      </c>
      <c r="V61" s="169">
        <f t="shared" si="7"/>
        <v>-334320</v>
      </c>
      <c r="W61" s="169">
        <f t="shared" si="7"/>
        <v>50</v>
      </c>
      <c r="X61" s="169">
        <f t="shared" si="7"/>
        <v>-13604</v>
      </c>
      <c r="Y61" s="169">
        <f t="shared" si="7"/>
        <v>-5154</v>
      </c>
      <c r="Z61" s="169">
        <f t="shared" si="7"/>
        <v>44285</v>
      </c>
      <c r="AA61" s="169">
        <f t="shared" si="7"/>
        <v>-62679</v>
      </c>
      <c r="AB61" s="169">
        <f>SUM(AB59:AB60)</f>
        <v>-23654</v>
      </c>
      <c r="AC61" s="253">
        <f>SUM(H61:AB61)</f>
        <v>-1128475</v>
      </c>
      <c r="AD61" s="19"/>
      <c r="AF61" s="5"/>
      <c r="AG61" s="133"/>
      <c r="AH61" s="236"/>
    </row>
    <row r="62" spans="1:34" x14ac:dyDescent="0.25">
      <c r="AF62" s="133"/>
      <c r="AG62" s="133"/>
      <c r="AH62" s="236"/>
    </row>
    <row r="63" spans="1:34" x14ac:dyDescent="0.25">
      <c r="AF63" s="133"/>
      <c r="AG63" s="133"/>
      <c r="AH63" s="236"/>
    </row>
    <row r="64" spans="1:34" x14ac:dyDescent="0.25">
      <c r="AF64" s="133"/>
      <c r="AG64" s="133"/>
      <c r="AH64" s="236"/>
    </row>
    <row r="65" spans="32:34" x14ac:dyDescent="0.25">
      <c r="AF65" s="133"/>
      <c r="AG65" s="133"/>
      <c r="AH65" s="236"/>
    </row>
    <row r="66" spans="32:34" x14ac:dyDescent="0.25">
      <c r="AF66" s="133"/>
      <c r="AG66" s="236"/>
      <c r="AH66" s="236"/>
    </row>
    <row r="67" spans="32:34" x14ac:dyDescent="0.25">
      <c r="AF67" s="236"/>
      <c r="AG67" s="236"/>
      <c r="AH67" s="236"/>
    </row>
  </sheetData>
  <conditionalFormatting sqref="G2 A3:G3 AD57:AD58 AC56:AD56 AD61 AC43:AD43 AC5:AD10 AC24:AD25 H2:AD3 A59:AD60 A37:AC37 AD11:AD21 AC11:AC22 AC45:AD53 AC27:AC36 AD27:AD35 A4:AB36 AC38:AC41 A38:AB39 G40:AB40 A41:AB57 A61:AB61">
    <cfRule type="expression" dxfId="441" priority="21">
      <formula>MOD(ROW(),2)=0</formula>
    </cfRule>
  </conditionalFormatting>
  <conditionalFormatting sqref="AD36">
    <cfRule type="expression" dxfId="440" priority="20">
      <formula>MOD(ROW(),2)=0</formula>
    </cfRule>
  </conditionalFormatting>
  <conditionalFormatting sqref="AD39:AD40">
    <cfRule type="expression" dxfId="439" priority="19">
      <formula>MOD(ROW(),2)=0</formula>
    </cfRule>
  </conditionalFormatting>
  <conditionalFormatting sqref="AC4:AD4">
    <cfRule type="expression" dxfId="438" priority="18">
      <formula>MOD(ROW(),2)=0</formula>
    </cfRule>
  </conditionalFormatting>
  <conditionalFormatting sqref="AD38">
    <cfRule type="expression" dxfId="437" priority="17">
      <formula>MOD(ROW(),2)=0</formula>
    </cfRule>
  </conditionalFormatting>
  <conditionalFormatting sqref="AD22">
    <cfRule type="expression" dxfId="436" priority="14">
      <formula>MOD(ROW(),2)=0</formula>
    </cfRule>
  </conditionalFormatting>
  <conditionalFormatting sqref="AC57">
    <cfRule type="expression" dxfId="435" priority="13">
      <formula>MOD(ROW(),2)=0</formula>
    </cfRule>
  </conditionalFormatting>
  <conditionalFormatting sqref="AD41">
    <cfRule type="expression" dxfId="434" priority="12">
      <formula>MOD(ROW(),2)=0</formula>
    </cfRule>
  </conditionalFormatting>
  <conditionalFormatting sqref="AC26:AD26">
    <cfRule type="expression" dxfId="433" priority="11">
      <formula>MOD(ROW(),2)=0</formula>
    </cfRule>
  </conditionalFormatting>
  <conditionalFormatting sqref="AC54:AD55">
    <cfRule type="expression" dxfId="432" priority="10">
      <formula>MOD(ROW(),2)=0</formula>
    </cfRule>
  </conditionalFormatting>
  <conditionalFormatting sqref="AC44:AD44">
    <cfRule type="expression" dxfId="431" priority="9">
      <formula>MOD(ROW(),2)=0</formula>
    </cfRule>
  </conditionalFormatting>
  <conditionalFormatting sqref="AC61">
    <cfRule type="expression" dxfId="430" priority="8">
      <formula>MOD(ROW(),2)=0</formula>
    </cfRule>
  </conditionalFormatting>
  <conditionalFormatting sqref="AC42:AD42">
    <cfRule type="expression" dxfId="429" priority="6">
      <formula>MOD(ROW(),2)=0</formula>
    </cfRule>
  </conditionalFormatting>
  <conditionalFormatting sqref="AC23">
    <cfRule type="expression" dxfId="428" priority="5">
      <formula>MOD(ROW(),2)=0</formula>
    </cfRule>
  </conditionalFormatting>
  <conditionalFormatting sqref="AD23">
    <cfRule type="expression" dxfId="427" priority="4">
      <formula>MOD(ROW(),2)=0</formula>
    </cfRule>
  </conditionalFormatting>
  <conditionalFormatting sqref="AD37">
    <cfRule type="expression" dxfId="426" priority="2">
      <formula>MOD(ROW(),2)=0</formula>
    </cfRule>
  </conditionalFormatting>
  <conditionalFormatting sqref="A40:F40">
    <cfRule type="expression" dxfId="425" priority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9"/>
  <sheetViews>
    <sheetView topLeftCell="A34" workbookViewId="0">
      <selection activeCell="F39" sqref="F39"/>
    </sheetView>
  </sheetViews>
  <sheetFormatPr defaultRowHeight="15" outlineLevelCol="1" x14ac:dyDescent="0.25"/>
  <cols>
    <col min="1" max="1" width="10.140625" style="132" customWidth="1" outlineLevel="1"/>
    <col min="2" max="2" width="18.7109375" style="132" customWidth="1" outlineLevel="1"/>
    <col min="3" max="3" width="14.28515625" style="132" customWidth="1"/>
    <col min="4" max="4" width="18" style="132" customWidth="1"/>
    <col min="5" max="5" width="9.7109375" style="132" customWidth="1"/>
    <col min="6" max="6" width="6.5703125" style="132" customWidth="1"/>
    <col min="7" max="7" width="1.7109375" style="132" customWidth="1"/>
    <col min="8" max="19" width="11.28515625" style="132" hidden="1" customWidth="1" outlineLevel="1"/>
    <col min="20" max="23" width="11.28515625" style="132" customWidth="1" outlineLevel="1"/>
    <col min="24" max="24" width="11.42578125" style="132" customWidth="1" outlineLevel="1"/>
    <col min="25" max="27" width="11.28515625" style="132" customWidth="1" outlineLevel="1"/>
    <col min="28" max="28" width="11.28515625" style="132" customWidth="1"/>
    <col min="29" max="29" width="10.42578125" style="132" customWidth="1" outlineLevel="1"/>
    <col min="30" max="30" width="10.7109375" style="132" customWidth="1" outlineLevel="1"/>
    <col min="31" max="36" width="9.140625" style="132"/>
    <col min="37" max="37" width="14.140625" style="132" customWidth="1"/>
    <col min="38" max="38" width="12" style="132" customWidth="1"/>
    <col min="39" max="39" width="15.85546875" style="132" customWidth="1"/>
    <col min="40" max="16384" width="9.140625" style="132"/>
  </cols>
  <sheetData>
    <row r="1" spans="1:38" ht="15.75" thickBot="1" x14ac:dyDescent="0.3"/>
    <row r="2" spans="1:38" ht="15.75" thickBot="1" x14ac:dyDescent="0.3">
      <c r="G2" s="220"/>
      <c r="H2" s="221">
        <v>46237</v>
      </c>
      <c r="I2" s="255">
        <v>46238</v>
      </c>
      <c r="J2" s="255">
        <v>46239</v>
      </c>
      <c r="K2" s="255">
        <v>46240</v>
      </c>
      <c r="L2" s="255">
        <v>46241</v>
      </c>
      <c r="M2" s="255">
        <v>46244</v>
      </c>
      <c r="N2" s="255">
        <v>46245</v>
      </c>
      <c r="O2" s="255">
        <v>46246</v>
      </c>
      <c r="P2" s="255">
        <v>46247</v>
      </c>
      <c r="Q2" s="255">
        <v>46248</v>
      </c>
      <c r="R2" s="255">
        <v>46251</v>
      </c>
      <c r="S2" s="255">
        <v>46252</v>
      </c>
      <c r="T2" s="255">
        <v>46253</v>
      </c>
      <c r="U2" s="255">
        <v>46254</v>
      </c>
      <c r="V2" s="255">
        <v>46255</v>
      </c>
      <c r="W2" s="255">
        <v>46258</v>
      </c>
      <c r="X2" s="255">
        <v>46259</v>
      </c>
      <c r="Y2" s="255">
        <v>46260</v>
      </c>
      <c r="Z2" s="255">
        <v>46261</v>
      </c>
      <c r="AA2" s="255">
        <v>46262</v>
      </c>
      <c r="AB2" s="182">
        <v>46265</v>
      </c>
      <c r="AC2" s="183" t="s">
        <v>278</v>
      </c>
      <c r="AD2" s="184" t="s">
        <v>279</v>
      </c>
    </row>
    <row r="3" spans="1:38" x14ac:dyDescent="0.25">
      <c r="A3" s="185" t="s">
        <v>54</v>
      </c>
      <c r="B3" s="185" t="s">
        <v>69</v>
      </c>
      <c r="C3" s="185" t="s">
        <v>70</v>
      </c>
      <c r="D3" s="185" t="s">
        <v>2</v>
      </c>
      <c r="E3" s="185" t="s">
        <v>257</v>
      </c>
      <c r="F3" s="186" t="s">
        <v>9</v>
      </c>
      <c r="G3" s="187"/>
      <c r="H3" s="178" t="s">
        <v>234</v>
      </c>
      <c r="I3" s="178" t="s">
        <v>233</v>
      </c>
      <c r="J3" s="178" t="s">
        <v>237</v>
      </c>
      <c r="K3" s="178" t="s">
        <v>236</v>
      </c>
      <c r="L3" s="178" t="s">
        <v>235</v>
      </c>
      <c r="M3" s="178" t="s">
        <v>234</v>
      </c>
      <c r="N3" s="178" t="s">
        <v>233</v>
      </c>
      <c r="O3" s="178" t="s">
        <v>237</v>
      </c>
      <c r="P3" s="178" t="s">
        <v>236</v>
      </c>
      <c r="Q3" s="178" t="s">
        <v>235</v>
      </c>
      <c r="R3" s="178" t="s">
        <v>234</v>
      </c>
      <c r="S3" s="178" t="s">
        <v>233</v>
      </c>
      <c r="T3" s="178" t="s">
        <v>237</v>
      </c>
      <c r="U3" s="178" t="s">
        <v>236</v>
      </c>
      <c r="V3" s="178" t="s">
        <v>235</v>
      </c>
      <c r="W3" s="178" t="s">
        <v>234</v>
      </c>
      <c r="X3" s="178" t="s">
        <v>233</v>
      </c>
      <c r="Y3" s="178" t="s">
        <v>237</v>
      </c>
      <c r="Z3" s="178" t="s">
        <v>236</v>
      </c>
      <c r="AA3" s="178" t="s">
        <v>235</v>
      </c>
      <c r="AB3" s="179" t="s">
        <v>234</v>
      </c>
      <c r="AC3" s="188"/>
      <c r="AD3" s="179"/>
      <c r="AK3" s="132" t="s">
        <v>198</v>
      </c>
      <c r="AL3" s="132">
        <v>13780</v>
      </c>
    </row>
    <row r="4" spans="1:38" x14ac:dyDescent="0.25">
      <c r="A4" s="141" t="s">
        <v>216</v>
      </c>
      <c r="B4" s="44" t="s">
        <v>215</v>
      </c>
      <c r="C4" s="141" t="s">
        <v>11</v>
      </c>
      <c r="D4" s="141" t="s">
        <v>260</v>
      </c>
      <c r="E4" s="141" t="s">
        <v>256</v>
      </c>
      <c r="F4" s="155">
        <v>0.5</v>
      </c>
      <c r="G4" s="189"/>
      <c r="H4" s="157">
        <v>-6655</v>
      </c>
      <c r="I4" s="157">
        <v>0</v>
      </c>
      <c r="J4" s="157">
        <v>-5027</v>
      </c>
      <c r="K4" s="157">
        <v>0</v>
      </c>
      <c r="L4" s="157">
        <v>0</v>
      </c>
      <c r="M4" s="157">
        <v>0</v>
      </c>
      <c r="N4" s="157">
        <v>4435</v>
      </c>
      <c r="O4" s="157">
        <v>3777</v>
      </c>
      <c r="P4" s="157">
        <v>-5412</v>
      </c>
      <c r="Q4" s="157">
        <v>-5358</v>
      </c>
      <c r="R4" s="157">
        <v>-5142</v>
      </c>
      <c r="S4" s="157">
        <v>3804</v>
      </c>
      <c r="T4" s="157">
        <v>3440</v>
      </c>
      <c r="U4" s="157">
        <v>6067</v>
      </c>
      <c r="V4" s="157">
        <v>-900</v>
      </c>
      <c r="W4" s="157">
        <v>7781</v>
      </c>
      <c r="X4" s="157">
        <v>8613</v>
      </c>
      <c r="Y4" s="157">
        <v>-18306</v>
      </c>
      <c r="Z4" s="157">
        <v>16880</v>
      </c>
      <c r="AA4" s="157">
        <v>0</v>
      </c>
      <c r="AB4" s="210">
        <v>-18400</v>
      </c>
      <c r="AC4" s="170">
        <f t="shared" ref="AC4:AC38" si="0">SUM(H4:AB4)</f>
        <v>-10403</v>
      </c>
      <c r="AD4" s="148">
        <f t="shared" ref="AD4:AD38" si="1">IFERROR(AC4/F4*100,0)/10000000</f>
        <v>-0.20805999999999999</v>
      </c>
      <c r="AK4" s="132" t="s">
        <v>170</v>
      </c>
      <c r="AL4" s="132">
        <v>2865</v>
      </c>
    </row>
    <row r="5" spans="1:38" x14ac:dyDescent="0.25">
      <c r="A5" s="141" t="s">
        <v>30</v>
      </c>
      <c r="B5" s="140" t="s">
        <v>309</v>
      </c>
      <c r="C5" s="140" t="s">
        <v>6</v>
      </c>
      <c r="D5" s="159" t="s">
        <v>138</v>
      </c>
      <c r="E5" s="159" t="s">
        <v>256</v>
      </c>
      <c r="F5" s="155">
        <v>3</v>
      </c>
      <c r="G5" s="190"/>
      <c r="H5" s="146">
        <v>7650</v>
      </c>
      <c r="I5" s="146">
        <v>12054</v>
      </c>
      <c r="J5" s="146">
        <v>-215813</v>
      </c>
      <c r="K5" s="146">
        <v>-211</v>
      </c>
      <c r="L5" s="146">
        <v>0</v>
      </c>
      <c r="M5" s="146">
        <v>0</v>
      </c>
      <c r="N5" s="146">
        <v>0</v>
      </c>
      <c r="O5" s="146">
        <v>0</v>
      </c>
      <c r="P5" s="146">
        <v>12100</v>
      </c>
      <c r="Q5" s="146">
        <v>8886</v>
      </c>
      <c r="R5" s="146">
        <v>-116700</v>
      </c>
      <c r="S5" s="146">
        <v>-1406</v>
      </c>
      <c r="T5" s="146">
        <v>0</v>
      </c>
      <c r="U5" s="146">
        <v>0</v>
      </c>
      <c r="V5" s="146">
        <v>0</v>
      </c>
      <c r="W5" s="146">
        <v>60181</v>
      </c>
      <c r="X5" s="146">
        <v>0</v>
      </c>
      <c r="Y5" s="146">
        <v>0</v>
      </c>
      <c r="Z5" s="146">
        <v>0</v>
      </c>
      <c r="AA5" s="146">
        <v>-19847</v>
      </c>
      <c r="AB5" s="173">
        <v>-128671</v>
      </c>
      <c r="AC5" s="170">
        <f t="shared" si="0"/>
        <v>-381777</v>
      </c>
      <c r="AD5" s="148">
        <f t="shared" si="1"/>
        <v>-1.2725900000000001</v>
      </c>
    </row>
    <row r="6" spans="1:38" x14ac:dyDescent="0.25">
      <c r="A6" s="141" t="s">
        <v>177</v>
      </c>
      <c r="B6" s="140" t="s">
        <v>309</v>
      </c>
      <c r="C6" s="140" t="s">
        <v>310</v>
      </c>
      <c r="D6" s="159" t="s">
        <v>138</v>
      </c>
      <c r="E6" s="159" t="s">
        <v>256</v>
      </c>
      <c r="F6" s="155">
        <v>1</v>
      </c>
      <c r="G6" s="190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>
        <v>0</v>
      </c>
      <c r="U6" s="146">
        <v>0</v>
      </c>
      <c r="V6" s="146">
        <v>0</v>
      </c>
      <c r="W6" s="146">
        <v>116185</v>
      </c>
      <c r="X6" s="146">
        <v>0</v>
      </c>
      <c r="Y6" s="146">
        <v>0</v>
      </c>
      <c r="Z6" s="146">
        <v>0</v>
      </c>
      <c r="AA6" s="146">
        <v>0</v>
      </c>
      <c r="AB6" s="173">
        <v>0</v>
      </c>
      <c r="AC6" s="170">
        <f t="shared" ref="AC6" si="2">SUM(H6:AB6)</f>
        <v>116185</v>
      </c>
      <c r="AD6" s="148">
        <f t="shared" ref="AD6" si="3">IFERROR(AC6/F6*100,0)/10000000</f>
        <v>1.16185</v>
      </c>
    </row>
    <row r="7" spans="1:38" x14ac:dyDescent="0.25">
      <c r="A7" s="141" t="s">
        <v>323</v>
      </c>
      <c r="B7" s="140" t="s">
        <v>309</v>
      </c>
      <c r="C7" s="140" t="s">
        <v>312</v>
      </c>
      <c r="D7" s="159" t="s">
        <v>311</v>
      </c>
      <c r="E7" s="159"/>
      <c r="F7" s="155"/>
      <c r="G7" s="190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>
        <v>0</v>
      </c>
      <c r="U7" s="146">
        <v>-15824</v>
      </c>
      <c r="V7" s="146">
        <v>5434</v>
      </c>
      <c r="W7" s="146">
        <v>-6200</v>
      </c>
      <c r="X7" s="146">
        <v>8600</v>
      </c>
      <c r="Y7" s="146">
        <v>0</v>
      </c>
      <c r="Z7" s="146">
        <v>0</v>
      </c>
      <c r="AA7" s="146">
        <v>0</v>
      </c>
      <c r="AB7" s="173">
        <v>-21000</v>
      </c>
      <c r="AC7" s="170">
        <f t="shared" ref="AC7" si="4">SUM(H7:AB7)</f>
        <v>-28990</v>
      </c>
      <c r="AD7" s="148">
        <f t="shared" ref="AD7" si="5">IFERROR(AC7/F7*100,0)/10000000</f>
        <v>0</v>
      </c>
    </row>
    <row r="8" spans="1:38" x14ac:dyDescent="0.25">
      <c r="A8" s="141" t="s">
        <v>134</v>
      </c>
      <c r="B8" s="140" t="s">
        <v>133</v>
      </c>
      <c r="C8" s="140" t="s">
        <v>135</v>
      </c>
      <c r="D8" s="159" t="s">
        <v>258</v>
      </c>
      <c r="E8" s="159" t="s">
        <v>290</v>
      </c>
      <c r="F8" s="155">
        <v>3</v>
      </c>
      <c r="G8" s="190"/>
      <c r="H8" s="146">
        <v>84118</v>
      </c>
      <c r="I8" s="146">
        <v>-67845</v>
      </c>
      <c r="J8" s="146">
        <v>-2231</v>
      </c>
      <c r="K8" s="146">
        <v>-181591</v>
      </c>
      <c r="L8" s="146">
        <v>12214</v>
      </c>
      <c r="M8" s="146">
        <v>88446</v>
      </c>
      <c r="N8" s="146">
        <v>-44038</v>
      </c>
      <c r="O8" s="146">
        <v>-41301</v>
      </c>
      <c r="P8" s="146">
        <v>-22826</v>
      </c>
      <c r="Q8" s="146">
        <v>-167661</v>
      </c>
      <c r="R8" s="146">
        <v>117900</v>
      </c>
      <c r="S8" s="146">
        <v>-13808</v>
      </c>
      <c r="T8" s="146">
        <v>-92719</v>
      </c>
      <c r="U8" s="146">
        <v>26857</v>
      </c>
      <c r="V8" s="146">
        <v>-106380</v>
      </c>
      <c r="W8" s="146">
        <v>50050</v>
      </c>
      <c r="X8" s="146">
        <v>-149000</v>
      </c>
      <c r="Y8" s="146">
        <v>-36843</v>
      </c>
      <c r="Z8" s="146">
        <v>50493</v>
      </c>
      <c r="AA8" s="146">
        <v>29950</v>
      </c>
      <c r="AB8" s="173">
        <v>-28620</v>
      </c>
      <c r="AC8" s="170">
        <f t="shared" si="0"/>
        <v>-494835</v>
      </c>
      <c r="AD8" s="148">
        <f t="shared" si="1"/>
        <v>-1.6494500000000001</v>
      </c>
      <c r="AF8" s="5"/>
      <c r="AG8" s="133">
        <v>-14121</v>
      </c>
    </row>
    <row r="9" spans="1:38" x14ac:dyDescent="0.25">
      <c r="A9" s="141" t="s">
        <v>217</v>
      </c>
      <c r="B9" s="140" t="s">
        <v>133</v>
      </c>
      <c r="C9" s="140" t="s">
        <v>96</v>
      </c>
      <c r="D9" s="159" t="s">
        <v>116</v>
      </c>
      <c r="E9" s="159" t="s">
        <v>256</v>
      </c>
      <c r="F9" s="155">
        <v>1.5</v>
      </c>
      <c r="G9" s="190"/>
      <c r="H9" s="146">
        <v>2970</v>
      </c>
      <c r="I9" s="146">
        <v>17031</v>
      </c>
      <c r="J9" s="146">
        <v>13534</v>
      </c>
      <c r="K9" s="146">
        <v>-5676</v>
      </c>
      <c r="L9" s="146">
        <v>12716</v>
      </c>
      <c r="M9" s="146">
        <v>-16434</v>
      </c>
      <c r="N9" s="146">
        <v>16330</v>
      </c>
      <c r="O9" s="146">
        <v>29593</v>
      </c>
      <c r="P9" s="146">
        <v>-50409</v>
      </c>
      <c r="Q9" s="146">
        <v>-31294</v>
      </c>
      <c r="R9" s="146">
        <v>13376</v>
      </c>
      <c r="S9" s="146">
        <v>-20176</v>
      </c>
      <c r="T9" s="146">
        <v>-12142</v>
      </c>
      <c r="U9" s="146">
        <v>10404</v>
      </c>
      <c r="V9" s="146">
        <v>4919</v>
      </c>
      <c r="W9" s="146">
        <v>64110</v>
      </c>
      <c r="X9" s="146">
        <v>-15105</v>
      </c>
      <c r="Y9" s="146">
        <v>31190</v>
      </c>
      <c r="Z9" s="146">
        <v>-21715</v>
      </c>
      <c r="AA9" s="146">
        <v>14807</v>
      </c>
      <c r="AB9" s="173">
        <v>-33683</v>
      </c>
      <c r="AC9" s="170">
        <f t="shared" si="0"/>
        <v>24346</v>
      </c>
      <c r="AD9" s="148">
        <f t="shared" si="1"/>
        <v>0.16230666666666665</v>
      </c>
      <c r="AF9" s="133">
        <v>94526</v>
      </c>
      <c r="AG9" s="133"/>
    </row>
    <row r="10" spans="1:38" x14ac:dyDescent="0.25">
      <c r="A10" s="141" t="s">
        <v>313</v>
      </c>
      <c r="B10" s="140" t="s">
        <v>133</v>
      </c>
      <c r="C10" s="140" t="s">
        <v>294</v>
      </c>
      <c r="D10" s="159" t="s">
        <v>116</v>
      </c>
      <c r="E10" s="159"/>
      <c r="F10" s="155">
        <v>0.6</v>
      </c>
      <c r="G10" s="190"/>
      <c r="H10" s="146">
        <v>244</v>
      </c>
      <c r="I10" s="146">
        <v>-100</v>
      </c>
      <c r="J10" s="146">
        <v>-1954</v>
      </c>
      <c r="K10" s="146">
        <v>-3231</v>
      </c>
      <c r="L10" s="146">
        <v>8750</v>
      </c>
      <c r="M10" s="146">
        <v>-40412</v>
      </c>
      <c r="N10" s="146">
        <v>-1107</v>
      </c>
      <c r="O10" s="146">
        <v>14170</v>
      </c>
      <c r="P10" s="146">
        <v>-20113</v>
      </c>
      <c r="Q10" s="146">
        <v>-18521</v>
      </c>
      <c r="R10" s="146">
        <v>2800</v>
      </c>
      <c r="S10" s="146">
        <v>-1318</v>
      </c>
      <c r="T10" s="146">
        <v>-1619</v>
      </c>
      <c r="U10" s="146">
        <v>10705</v>
      </c>
      <c r="V10" s="146">
        <v>2425</v>
      </c>
      <c r="W10" s="146">
        <v>927</v>
      </c>
      <c r="X10" s="146">
        <v>-4858</v>
      </c>
      <c r="Y10" s="146">
        <v>14481</v>
      </c>
      <c r="Z10" s="146">
        <v>-27970</v>
      </c>
      <c r="AA10" s="146">
        <v>14450</v>
      </c>
      <c r="AB10" s="173">
        <v>-13965</v>
      </c>
      <c r="AC10" s="170">
        <f t="shared" si="0"/>
        <v>-66216</v>
      </c>
      <c r="AD10" s="148">
        <f t="shared" si="1"/>
        <v>-1.1035999999999999</v>
      </c>
      <c r="AF10" s="133">
        <v>80405</v>
      </c>
      <c r="AG10" s="133">
        <f>(AF10+AF9)/10000000*13780</f>
        <v>241.05491800000001</v>
      </c>
    </row>
    <row r="11" spans="1:38" x14ac:dyDescent="0.25">
      <c r="A11" s="142" t="s">
        <v>35</v>
      </c>
      <c r="B11" s="140" t="s">
        <v>55</v>
      </c>
      <c r="C11" s="140" t="s">
        <v>79</v>
      </c>
      <c r="D11" s="142" t="s">
        <v>112</v>
      </c>
      <c r="E11" s="142" t="s">
        <v>256</v>
      </c>
      <c r="F11" s="156">
        <v>15</v>
      </c>
      <c r="G11" s="191"/>
      <c r="H11" s="146">
        <v>0</v>
      </c>
      <c r="I11" s="146">
        <v>-814500</v>
      </c>
      <c r="J11" s="146">
        <v>0</v>
      </c>
      <c r="K11" s="146">
        <v>0</v>
      </c>
      <c r="L11" s="146">
        <v>0</v>
      </c>
      <c r="M11" s="146">
        <v>0</v>
      </c>
      <c r="N11" s="146">
        <v>167470</v>
      </c>
      <c r="O11" s="146">
        <v>0</v>
      </c>
      <c r="P11" s="146">
        <v>0</v>
      </c>
      <c r="Q11" s="146">
        <v>0</v>
      </c>
      <c r="R11" s="146">
        <v>10000</v>
      </c>
      <c r="S11" s="146">
        <v>1753</v>
      </c>
      <c r="T11" s="146">
        <v>0</v>
      </c>
      <c r="U11" s="146">
        <v>0</v>
      </c>
      <c r="V11" s="146">
        <v>35230</v>
      </c>
      <c r="W11" s="146">
        <v>23566</v>
      </c>
      <c r="X11" s="146">
        <v>-180480</v>
      </c>
      <c r="Y11" s="146">
        <v>500</v>
      </c>
      <c r="Z11" s="146">
        <v>0</v>
      </c>
      <c r="AA11" s="146">
        <v>0</v>
      </c>
      <c r="AB11" s="173">
        <v>-612550</v>
      </c>
      <c r="AC11" s="170">
        <f t="shared" si="0"/>
        <v>-1369011</v>
      </c>
      <c r="AD11" s="148">
        <f t="shared" si="1"/>
        <v>-0.91267399999999999</v>
      </c>
      <c r="AF11" s="133"/>
      <c r="AG11" s="133"/>
    </row>
    <row r="12" spans="1:38" x14ac:dyDescent="0.25">
      <c r="A12" s="142" t="s">
        <v>137</v>
      </c>
      <c r="B12" s="140" t="s">
        <v>122</v>
      </c>
      <c r="C12" s="140" t="s">
        <v>136</v>
      </c>
      <c r="D12" s="142" t="s">
        <v>259</v>
      </c>
      <c r="E12" s="142" t="s">
        <v>256</v>
      </c>
      <c r="F12" s="156">
        <v>6</v>
      </c>
      <c r="G12" s="191"/>
      <c r="H12" s="146">
        <v>30505</v>
      </c>
      <c r="I12" s="146">
        <v>55406</v>
      </c>
      <c r="J12" s="146">
        <v>0</v>
      </c>
      <c r="K12" s="146">
        <v>0</v>
      </c>
      <c r="L12" s="146">
        <v>0</v>
      </c>
      <c r="M12" s="146">
        <v>0</v>
      </c>
      <c r="N12" s="146">
        <v>57626</v>
      </c>
      <c r="O12" s="146">
        <v>0</v>
      </c>
      <c r="P12" s="146">
        <v>6150</v>
      </c>
      <c r="Q12" s="146">
        <v>0</v>
      </c>
      <c r="R12" s="146">
        <v>-6939</v>
      </c>
      <c r="S12" s="146">
        <v>33782</v>
      </c>
      <c r="T12" s="146">
        <v>0</v>
      </c>
      <c r="U12" s="146">
        <v>0</v>
      </c>
      <c r="V12" s="146">
        <v>0</v>
      </c>
      <c r="W12" s="146">
        <v>23374</v>
      </c>
      <c r="X12" s="146">
        <v>-198145</v>
      </c>
      <c r="Y12" s="146">
        <v>0</v>
      </c>
      <c r="Z12" s="146">
        <v>75</v>
      </c>
      <c r="AA12" s="146">
        <v>0</v>
      </c>
      <c r="AB12" s="173">
        <v>0</v>
      </c>
      <c r="AC12" s="170">
        <f t="shared" si="0"/>
        <v>1834</v>
      </c>
      <c r="AD12" s="148">
        <f t="shared" si="1"/>
        <v>3.0566666666666667E-3</v>
      </c>
      <c r="AF12" s="133"/>
      <c r="AG12" s="133"/>
    </row>
    <row r="13" spans="1:38" x14ac:dyDescent="0.25">
      <c r="A13" s="142" t="s">
        <v>42</v>
      </c>
      <c r="B13" s="140" t="s">
        <v>230</v>
      </c>
      <c r="C13" s="140" t="s">
        <v>85</v>
      </c>
      <c r="D13" s="142" t="s">
        <v>106</v>
      </c>
      <c r="E13" s="142" t="s">
        <v>107</v>
      </c>
      <c r="F13" s="156">
        <v>1</v>
      </c>
      <c r="G13" s="191"/>
      <c r="H13" s="146">
        <v>932</v>
      </c>
      <c r="I13" s="146">
        <v>196</v>
      </c>
      <c r="J13" s="146">
        <v>3534</v>
      </c>
      <c r="K13" s="146">
        <v>2106</v>
      </c>
      <c r="L13" s="146">
        <v>3485</v>
      </c>
      <c r="M13" s="146">
        <v>987</v>
      </c>
      <c r="N13" s="146">
        <v>486</v>
      </c>
      <c r="O13" s="146">
        <v>1505</v>
      </c>
      <c r="P13" s="146">
        <v>-2000</v>
      </c>
      <c r="Q13" s="146">
        <v>-214</v>
      </c>
      <c r="R13" s="146">
        <v>1576</v>
      </c>
      <c r="S13" s="146">
        <v>-810</v>
      </c>
      <c r="T13" s="146">
        <v>-2629</v>
      </c>
      <c r="U13" s="146">
        <v>5604</v>
      </c>
      <c r="V13" s="146">
        <v>3658</v>
      </c>
      <c r="W13" s="146">
        <v>250</v>
      </c>
      <c r="X13" s="146">
        <v>-346</v>
      </c>
      <c r="Y13" s="146">
        <v>-100</v>
      </c>
      <c r="Z13" s="146">
        <v>-3171</v>
      </c>
      <c r="AA13" s="146">
        <v>1650</v>
      </c>
      <c r="AB13" s="173">
        <v>-4377</v>
      </c>
      <c r="AC13" s="170">
        <f t="shared" si="0"/>
        <v>12322</v>
      </c>
      <c r="AD13" s="148">
        <f t="shared" si="1"/>
        <v>0.12322</v>
      </c>
      <c r="AF13" s="133"/>
      <c r="AG13" s="133"/>
    </row>
    <row r="14" spans="1:38" x14ac:dyDescent="0.25">
      <c r="A14" s="141" t="s">
        <v>212</v>
      </c>
      <c r="B14" s="140" t="s">
        <v>230</v>
      </c>
      <c r="C14" s="141" t="s">
        <v>12</v>
      </c>
      <c r="D14" s="141" t="s">
        <v>39</v>
      </c>
      <c r="E14" s="141" t="s">
        <v>256</v>
      </c>
      <c r="F14" s="155">
        <v>2.5</v>
      </c>
      <c r="G14" s="193"/>
      <c r="H14" s="146">
        <v>9500</v>
      </c>
      <c r="I14" s="146">
        <v>-61370</v>
      </c>
      <c r="J14" s="146">
        <v>-32279</v>
      </c>
      <c r="K14" s="146">
        <v>0</v>
      </c>
      <c r="L14" s="146">
        <v>0</v>
      </c>
      <c r="M14" s="146">
        <v>0</v>
      </c>
      <c r="N14" s="146">
        <v>19385</v>
      </c>
      <c r="O14" s="146">
        <v>3256</v>
      </c>
      <c r="P14" s="146">
        <v>15500</v>
      </c>
      <c r="Q14" s="146">
        <v>22429</v>
      </c>
      <c r="R14" s="146">
        <v>-77515</v>
      </c>
      <c r="S14" s="146">
        <v>29621</v>
      </c>
      <c r="T14" s="146">
        <v>11750</v>
      </c>
      <c r="U14" s="146">
        <v>-14850</v>
      </c>
      <c r="V14" s="146">
        <v>17486</v>
      </c>
      <c r="W14" s="146">
        <v>-105503</v>
      </c>
      <c r="X14" s="146">
        <v>0</v>
      </c>
      <c r="Y14" s="146">
        <v>0</v>
      </c>
      <c r="Z14" s="146">
        <v>0</v>
      </c>
      <c r="AA14" s="146">
        <v>0</v>
      </c>
      <c r="AB14" s="173">
        <v>0</v>
      </c>
      <c r="AC14" s="170">
        <f t="shared" si="0"/>
        <v>-162590</v>
      </c>
      <c r="AD14" s="148">
        <f t="shared" si="1"/>
        <v>-0.65036000000000005</v>
      </c>
      <c r="AF14" s="133"/>
      <c r="AG14" s="133"/>
    </row>
    <row r="15" spans="1:38" x14ac:dyDescent="0.25">
      <c r="A15" s="141" t="s">
        <v>51</v>
      </c>
      <c r="B15" s="140" t="s">
        <v>84</v>
      </c>
      <c r="C15" s="141" t="s">
        <v>289</v>
      </c>
      <c r="D15" s="141" t="s">
        <v>39</v>
      </c>
      <c r="E15" s="141" t="s">
        <v>256</v>
      </c>
      <c r="F15" s="155">
        <v>2.2000000000000002</v>
      </c>
      <c r="G15" s="193"/>
      <c r="H15" s="146">
        <v>16621</v>
      </c>
      <c r="I15" s="146">
        <v>-56808</v>
      </c>
      <c r="J15" s="146">
        <v>-29607</v>
      </c>
      <c r="K15" s="146">
        <v>0</v>
      </c>
      <c r="L15" s="146">
        <v>0</v>
      </c>
      <c r="M15" s="146">
        <v>0</v>
      </c>
      <c r="N15" s="146">
        <v>0</v>
      </c>
      <c r="O15" s="146">
        <v>0</v>
      </c>
      <c r="P15" s="146">
        <v>17300</v>
      </c>
      <c r="Q15" s="146">
        <v>22984</v>
      </c>
      <c r="R15" s="146">
        <v>-68810</v>
      </c>
      <c r="S15" s="146">
        <v>27894</v>
      </c>
      <c r="T15" s="146">
        <v>10101</v>
      </c>
      <c r="U15" s="146">
        <v>0</v>
      </c>
      <c r="V15" s="146">
        <v>25186</v>
      </c>
      <c r="W15" s="146">
        <v>-73357</v>
      </c>
      <c r="X15" s="146">
        <v>0</v>
      </c>
      <c r="Y15" s="146">
        <v>0</v>
      </c>
      <c r="Z15" s="146">
        <v>0</v>
      </c>
      <c r="AA15" s="146">
        <v>0</v>
      </c>
      <c r="AB15" s="173">
        <v>0</v>
      </c>
      <c r="AC15" s="170">
        <f t="shared" si="0"/>
        <v>-108496</v>
      </c>
      <c r="AD15" s="148">
        <f t="shared" si="1"/>
        <v>-0.4931636363636363</v>
      </c>
      <c r="AF15" s="133"/>
      <c r="AG15" s="192">
        <f>AG8-AG10</f>
        <v>-14362.054918</v>
      </c>
      <c r="AJ15" s="132">
        <v>116185</v>
      </c>
      <c r="AL15" s="132">
        <f>AJ15+AG15</f>
        <v>101822.94508200001</v>
      </c>
    </row>
    <row r="16" spans="1:38" x14ac:dyDescent="0.25">
      <c r="A16" s="141" t="s">
        <v>62</v>
      </c>
      <c r="B16" s="140" t="s">
        <v>230</v>
      </c>
      <c r="C16" s="140" t="s">
        <v>224</v>
      </c>
      <c r="D16" s="141" t="s">
        <v>39</v>
      </c>
      <c r="E16" s="141" t="s">
        <v>253</v>
      </c>
      <c r="F16" s="155">
        <v>1</v>
      </c>
      <c r="G16" s="189"/>
      <c r="H16" s="146">
        <v>0</v>
      </c>
      <c r="I16" s="146">
        <v>0</v>
      </c>
      <c r="J16" s="146">
        <v>0</v>
      </c>
      <c r="K16" s="146">
        <v>0</v>
      </c>
      <c r="L16" s="146">
        <v>0</v>
      </c>
      <c r="M16" s="146">
        <v>0</v>
      </c>
      <c r="N16" s="146">
        <v>0</v>
      </c>
      <c r="O16" s="146">
        <v>0</v>
      </c>
      <c r="P16" s="146">
        <v>0</v>
      </c>
      <c r="Q16" s="146">
        <v>0</v>
      </c>
      <c r="R16" s="146">
        <v>0</v>
      </c>
      <c r="S16" s="146">
        <v>0</v>
      </c>
      <c r="T16" s="146">
        <v>0</v>
      </c>
      <c r="U16" s="146">
        <v>0</v>
      </c>
      <c r="V16" s="146">
        <v>0</v>
      </c>
      <c r="W16" s="146">
        <v>0</v>
      </c>
      <c r="X16" s="146">
        <v>0</v>
      </c>
      <c r="Y16" s="146">
        <v>0</v>
      </c>
      <c r="Z16" s="146">
        <v>0</v>
      </c>
      <c r="AA16" s="146">
        <v>0</v>
      </c>
      <c r="AB16" s="173">
        <v>0</v>
      </c>
      <c r="AC16" s="170">
        <f t="shared" si="0"/>
        <v>0</v>
      </c>
      <c r="AD16" s="148">
        <f t="shared" si="1"/>
        <v>0</v>
      </c>
      <c r="AF16" s="133"/>
      <c r="AG16" s="133"/>
    </row>
    <row r="17" spans="1:41" x14ac:dyDescent="0.25">
      <c r="A17" s="141" t="s">
        <v>43</v>
      </c>
      <c r="B17" s="140" t="s">
        <v>84</v>
      </c>
      <c r="C17" s="140" t="s">
        <v>85</v>
      </c>
      <c r="D17" s="141" t="s">
        <v>106</v>
      </c>
      <c r="E17" s="141" t="s">
        <v>107</v>
      </c>
      <c r="F17" s="156">
        <v>1</v>
      </c>
      <c r="G17" s="189"/>
      <c r="H17" s="146">
        <v>11560</v>
      </c>
      <c r="I17" s="146">
        <v>430</v>
      </c>
      <c r="J17" s="146">
        <v>11053</v>
      </c>
      <c r="K17" s="146">
        <v>5179</v>
      </c>
      <c r="L17" s="146">
        <v>8058</v>
      </c>
      <c r="M17" s="146">
        <v>5020</v>
      </c>
      <c r="N17" s="146">
        <v>-913</v>
      </c>
      <c r="O17" s="146">
        <v>1571</v>
      </c>
      <c r="P17" s="146">
        <v>-1353</v>
      </c>
      <c r="Q17" s="146">
        <v>-1664</v>
      </c>
      <c r="R17" s="146">
        <v>1591</v>
      </c>
      <c r="S17" s="146">
        <v>-8331</v>
      </c>
      <c r="T17" s="146">
        <v>-14199</v>
      </c>
      <c r="U17" s="146">
        <v>17768</v>
      </c>
      <c r="V17" s="146">
        <v>5482</v>
      </c>
      <c r="W17" s="146">
        <v>-2457</v>
      </c>
      <c r="X17" s="146">
        <v>4191</v>
      </c>
      <c r="Y17" s="146">
        <v>1365</v>
      </c>
      <c r="Z17" s="146">
        <v>-4867</v>
      </c>
      <c r="AA17" s="146">
        <v>6260</v>
      </c>
      <c r="AB17" s="173">
        <v>-12605</v>
      </c>
      <c r="AC17" s="170">
        <f t="shared" si="0"/>
        <v>33139</v>
      </c>
      <c r="AD17" s="148">
        <f t="shared" si="1"/>
        <v>0.33139000000000002</v>
      </c>
    </row>
    <row r="18" spans="1:41" x14ac:dyDescent="0.25">
      <c r="A18" s="141" t="s">
        <v>24</v>
      </c>
      <c r="B18" s="140" t="s">
        <v>73</v>
      </c>
      <c r="C18" s="140" t="s">
        <v>58</v>
      </c>
      <c r="D18" s="141" t="s">
        <v>20</v>
      </c>
      <c r="E18" s="141" t="s">
        <v>256</v>
      </c>
      <c r="F18" s="155">
        <v>2.5</v>
      </c>
      <c r="G18" s="189"/>
      <c r="H18" s="146">
        <v>-31573</v>
      </c>
      <c r="I18" s="146">
        <v>0</v>
      </c>
      <c r="J18" s="146">
        <v>-74800</v>
      </c>
      <c r="K18" s="146">
        <v>0</v>
      </c>
      <c r="L18" s="146">
        <v>0</v>
      </c>
      <c r="M18" s="146">
        <v>0</v>
      </c>
      <c r="N18" s="146">
        <v>0</v>
      </c>
      <c r="O18" s="146">
        <v>0</v>
      </c>
      <c r="P18" s="146">
        <v>18503</v>
      </c>
      <c r="Q18" s="146">
        <v>0</v>
      </c>
      <c r="R18" s="146">
        <v>-4900</v>
      </c>
      <c r="S18" s="146">
        <v>-15557</v>
      </c>
      <c r="T18" s="146">
        <v>0</v>
      </c>
      <c r="U18" s="146">
        <v>0</v>
      </c>
      <c r="V18" s="146">
        <v>0</v>
      </c>
      <c r="W18" s="146">
        <v>69531</v>
      </c>
      <c r="X18" s="146">
        <v>-40296</v>
      </c>
      <c r="Y18" s="146">
        <v>0</v>
      </c>
      <c r="Z18" s="146">
        <v>0</v>
      </c>
      <c r="AA18" s="146">
        <v>0</v>
      </c>
      <c r="AB18" s="173">
        <v>-32499</v>
      </c>
      <c r="AC18" s="170">
        <f t="shared" si="0"/>
        <v>-111591</v>
      </c>
      <c r="AD18" s="148">
        <f t="shared" si="1"/>
        <v>-0.44636399999999998</v>
      </c>
      <c r="AL18" s="132">
        <v>4000000</v>
      </c>
      <c r="AM18" s="132">
        <f>AL18*7/100</f>
        <v>280000</v>
      </c>
      <c r="AO18" s="132">
        <f>15*12</f>
        <v>180</v>
      </c>
    </row>
    <row r="19" spans="1:41" x14ac:dyDescent="0.25">
      <c r="A19" s="141" t="s">
        <v>23</v>
      </c>
      <c r="B19" s="140" t="s">
        <v>74</v>
      </c>
      <c r="C19" s="140" t="s">
        <v>59</v>
      </c>
      <c r="D19" s="141" t="s">
        <v>3</v>
      </c>
      <c r="E19" s="141" t="s">
        <v>256</v>
      </c>
      <c r="F19" s="155">
        <v>4</v>
      </c>
      <c r="G19" s="189"/>
      <c r="H19" s="146">
        <v>1945</v>
      </c>
      <c r="I19" s="146">
        <v>1300</v>
      </c>
      <c r="J19" s="146">
        <v>4580</v>
      </c>
      <c r="K19" s="146">
        <v>0</v>
      </c>
      <c r="L19" s="146">
        <v>0</v>
      </c>
      <c r="M19" s="146">
        <v>0</v>
      </c>
      <c r="N19" s="146">
        <v>0</v>
      </c>
      <c r="O19" s="146">
        <v>0</v>
      </c>
      <c r="P19" s="146">
        <v>-10722</v>
      </c>
      <c r="Q19" s="146">
        <v>0</v>
      </c>
      <c r="R19" s="146">
        <v>-2553</v>
      </c>
      <c r="S19" s="146">
        <v>5667</v>
      </c>
      <c r="T19" s="146">
        <v>0</v>
      </c>
      <c r="U19" s="146">
        <v>0</v>
      </c>
      <c r="V19" s="146">
        <v>0</v>
      </c>
      <c r="W19" s="146">
        <v>66187</v>
      </c>
      <c r="X19" s="146">
        <v>-4812</v>
      </c>
      <c r="Y19" s="146">
        <v>0</v>
      </c>
      <c r="Z19" s="146">
        <v>0</v>
      </c>
      <c r="AA19" s="146">
        <v>0</v>
      </c>
      <c r="AB19" s="173">
        <v>-144294</v>
      </c>
      <c r="AC19" s="170">
        <f t="shared" si="0"/>
        <v>-82702</v>
      </c>
      <c r="AD19" s="148">
        <f t="shared" si="1"/>
        <v>-0.20675499999999999</v>
      </c>
      <c r="AM19" s="132">
        <f>AM18/12</f>
        <v>23333.333333333332</v>
      </c>
    </row>
    <row r="20" spans="1:41" x14ac:dyDescent="0.25">
      <c r="A20" s="141" t="s">
        <v>275</v>
      </c>
      <c r="B20" s="140" t="s">
        <v>164</v>
      </c>
      <c r="C20" s="140" t="s">
        <v>274</v>
      </c>
      <c r="D20" s="141" t="s">
        <v>152</v>
      </c>
      <c r="E20" s="141" t="s">
        <v>256</v>
      </c>
      <c r="F20" s="155">
        <v>1</v>
      </c>
      <c r="G20" s="189"/>
      <c r="H20" s="146">
        <v>0</v>
      </c>
      <c r="I20" s="146">
        <v>0</v>
      </c>
      <c r="J20" s="146">
        <v>0</v>
      </c>
      <c r="K20" s="146">
        <v>0</v>
      </c>
      <c r="L20" s="146">
        <v>0</v>
      </c>
      <c r="M20" s="146">
        <v>0</v>
      </c>
      <c r="N20" s="146">
        <v>0</v>
      </c>
      <c r="O20" s="146">
        <v>0</v>
      </c>
      <c r="P20" s="146">
        <v>0</v>
      </c>
      <c r="Q20" s="146">
        <v>0</v>
      </c>
      <c r="R20" s="146">
        <v>0</v>
      </c>
      <c r="S20" s="146">
        <v>0</v>
      </c>
      <c r="T20" s="146">
        <v>0</v>
      </c>
      <c r="U20" s="146">
        <v>0</v>
      </c>
      <c r="V20" s="146">
        <v>0</v>
      </c>
      <c r="W20" s="146">
        <v>0</v>
      </c>
      <c r="X20" s="146">
        <v>0</v>
      </c>
      <c r="Y20" s="146">
        <v>0</v>
      </c>
      <c r="Z20" s="146">
        <v>0</v>
      </c>
      <c r="AA20" s="146">
        <v>0</v>
      </c>
      <c r="AB20" s="173">
        <v>0</v>
      </c>
      <c r="AC20" s="170">
        <f t="shared" si="0"/>
        <v>0</v>
      </c>
      <c r="AD20" s="148">
        <f t="shared" si="1"/>
        <v>0</v>
      </c>
    </row>
    <row r="21" spans="1:41" x14ac:dyDescent="0.25">
      <c r="A21" s="141" t="s">
        <v>165</v>
      </c>
      <c r="B21" s="140" t="s">
        <v>164</v>
      </c>
      <c r="C21" s="140" t="s">
        <v>223</v>
      </c>
      <c r="D21" s="141" t="s">
        <v>261</v>
      </c>
      <c r="E21" s="141" t="s">
        <v>256</v>
      </c>
      <c r="F21" s="155">
        <v>1.5</v>
      </c>
      <c r="G21" s="189"/>
      <c r="H21" s="146">
        <v>-22322</v>
      </c>
      <c r="I21" s="146">
        <v>14560</v>
      </c>
      <c r="J21" s="146">
        <v>-69757</v>
      </c>
      <c r="K21" s="146">
        <v>3222</v>
      </c>
      <c r="L21" s="146">
        <v>1223</v>
      </c>
      <c r="M21" s="146">
        <v>98532</v>
      </c>
      <c r="N21" s="146">
        <v>75645</v>
      </c>
      <c r="O21" s="146">
        <v>17176</v>
      </c>
      <c r="P21" s="146">
        <v>19367</v>
      </c>
      <c r="Q21" s="146">
        <v>-107297</v>
      </c>
      <c r="R21" s="146">
        <v>8922</v>
      </c>
      <c r="S21" s="146">
        <v>40153</v>
      </c>
      <c r="T21" s="146">
        <v>25351</v>
      </c>
      <c r="U21" s="146">
        <v>11398</v>
      </c>
      <c r="V21" s="146">
        <v>16450</v>
      </c>
      <c r="W21" s="146">
        <v>71983</v>
      </c>
      <c r="X21" s="146">
        <v>27012</v>
      </c>
      <c r="Y21" s="146">
        <v>-42818</v>
      </c>
      <c r="Z21" s="146">
        <v>5941</v>
      </c>
      <c r="AA21" s="146">
        <v>-115052</v>
      </c>
      <c r="AB21" s="173">
        <v>-65024</v>
      </c>
      <c r="AC21" s="170">
        <f t="shared" si="0"/>
        <v>14665</v>
      </c>
      <c r="AD21" s="148">
        <f t="shared" si="1"/>
        <v>9.7766666666666668E-2</v>
      </c>
    </row>
    <row r="22" spans="1:41" x14ac:dyDescent="0.25">
      <c r="A22" s="141" t="s">
        <v>110</v>
      </c>
      <c r="B22" s="140" t="s">
        <v>111</v>
      </c>
      <c r="C22" s="140" t="s">
        <v>109</v>
      </c>
      <c r="D22" s="141" t="s">
        <v>152</v>
      </c>
      <c r="E22" s="141" t="s">
        <v>256</v>
      </c>
      <c r="F22" s="155">
        <v>1.1000000000000001</v>
      </c>
      <c r="G22" s="189"/>
      <c r="H22" s="146">
        <v>10600</v>
      </c>
      <c r="I22" s="146">
        <v>-11136</v>
      </c>
      <c r="J22" s="146">
        <v>-57099</v>
      </c>
      <c r="K22" s="146">
        <v>-5506</v>
      </c>
      <c r="L22" s="146">
        <v>18880</v>
      </c>
      <c r="M22" s="146">
        <v>20615</v>
      </c>
      <c r="N22" s="146">
        <v>29331</v>
      </c>
      <c r="O22" s="146">
        <v>8450</v>
      </c>
      <c r="P22" s="146">
        <v>24145</v>
      </c>
      <c r="Q22" s="146">
        <v>12577</v>
      </c>
      <c r="R22" s="146">
        <v>-9860</v>
      </c>
      <c r="S22" s="146">
        <v>4884</v>
      </c>
      <c r="T22" s="146">
        <v>14180</v>
      </c>
      <c r="U22" s="146">
        <v>0</v>
      </c>
      <c r="V22" s="146">
        <v>0</v>
      </c>
      <c r="W22" s="146">
        <v>-21185</v>
      </c>
      <c r="X22" s="146">
        <v>475</v>
      </c>
      <c r="Y22" s="146">
        <v>4373</v>
      </c>
      <c r="Z22" s="146">
        <v>19371</v>
      </c>
      <c r="AA22" s="146">
        <v>-34194</v>
      </c>
      <c r="AB22" s="173">
        <v>-1304</v>
      </c>
      <c r="AC22" s="170">
        <f t="shared" si="0"/>
        <v>27597</v>
      </c>
      <c r="AD22" s="148">
        <f t="shared" si="1"/>
        <v>0.25088181818181815</v>
      </c>
    </row>
    <row r="23" spans="1:41" x14ac:dyDescent="0.25">
      <c r="A23" s="141" t="s">
        <v>319</v>
      </c>
      <c r="B23" s="140" t="s">
        <v>321</v>
      </c>
      <c r="C23" s="140" t="s">
        <v>283</v>
      </c>
      <c r="D23" s="141" t="s">
        <v>152</v>
      </c>
      <c r="E23" s="141" t="s">
        <v>256</v>
      </c>
      <c r="F23" s="155">
        <v>0.25</v>
      </c>
      <c r="G23" s="189"/>
      <c r="H23" s="146">
        <v>-445</v>
      </c>
      <c r="I23" s="146">
        <v>-33920</v>
      </c>
      <c r="J23" s="146">
        <v>-17457</v>
      </c>
      <c r="K23" s="146">
        <v>-1700</v>
      </c>
      <c r="L23" s="146">
        <v>0</v>
      </c>
      <c r="M23" s="146">
        <v>0</v>
      </c>
      <c r="N23" s="146">
        <v>0</v>
      </c>
      <c r="O23" s="146">
        <v>3259</v>
      </c>
      <c r="P23" s="146">
        <v>3563</v>
      </c>
      <c r="Q23" s="146">
        <v>14397</v>
      </c>
      <c r="R23" s="146">
        <v>676</v>
      </c>
      <c r="S23" s="146">
        <v>8961</v>
      </c>
      <c r="T23" s="146">
        <v>17052</v>
      </c>
      <c r="U23" s="146">
        <v>-477</v>
      </c>
      <c r="V23" s="146">
        <v>2470</v>
      </c>
      <c r="W23" s="146">
        <v>-1422</v>
      </c>
      <c r="X23" s="146">
        <v>-22929</v>
      </c>
      <c r="Y23" s="146">
        <v>-28950</v>
      </c>
      <c r="Z23" s="146">
        <v>-7782</v>
      </c>
      <c r="AA23" s="146">
        <v>-7386</v>
      </c>
      <c r="AB23" s="173">
        <v>0</v>
      </c>
      <c r="AC23" s="170">
        <f t="shared" si="0"/>
        <v>-72090</v>
      </c>
      <c r="AD23" s="148">
        <f t="shared" si="1"/>
        <v>-2.8835999999999999</v>
      </c>
    </row>
    <row r="24" spans="1:41" x14ac:dyDescent="0.25">
      <c r="A24" s="141" t="s">
        <v>316</v>
      </c>
      <c r="B24" s="140" t="s">
        <v>282</v>
      </c>
      <c r="C24" s="140" t="s">
        <v>38</v>
      </c>
      <c r="D24" s="141" t="s">
        <v>152</v>
      </c>
      <c r="E24" s="141" t="s">
        <v>256</v>
      </c>
      <c r="F24" s="155">
        <v>2</v>
      </c>
      <c r="G24" s="189"/>
      <c r="H24" s="146">
        <v>1511</v>
      </c>
      <c r="I24" s="146">
        <v>7251</v>
      </c>
      <c r="J24" s="146">
        <v>7140</v>
      </c>
      <c r="K24" s="146">
        <v>4504</v>
      </c>
      <c r="L24" s="146">
        <v>-3214</v>
      </c>
      <c r="M24" s="146">
        <v>-100</v>
      </c>
      <c r="N24" s="146">
        <v>-516</v>
      </c>
      <c r="O24" s="146">
        <v>4214</v>
      </c>
      <c r="P24" s="146">
        <v>3242</v>
      </c>
      <c r="Q24" s="146">
        <v>1087</v>
      </c>
      <c r="R24" s="146">
        <v>0</v>
      </c>
      <c r="S24" s="146">
        <v>0</v>
      </c>
      <c r="T24" s="146">
        <v>231</v>
      </c>
      <c r="U24" s="146">
        <v>-296</v>
      </c>
      <c r="V24" s="146">
        <v>0</v>
      </c>
      <c r="W24" s="146">
        <v>4196</v>
      </c>
      <c r="X24" s="146">
        <v>-3367</v>
      </c>
      <c r="Y24" s="146">
        <v>2727</v>
      </c>
      <c r="Z24" s="146">
        <v>2951</v>
      </c>
      <c r="AA24" s="146">
        <v>0</v>
      </c>
      <c r="AB24" s="173">
        <v>-213</v>
      </c>
      <c r="AC24" s="170">
        <f t="shared" si="0"/>
        <v>31348</v>
      </c>
      <c r="AD24" s="148">
        <f t="shared" si="1"/>
        <v>0.15673999999999999</v>
      </c>
    </row>
    <row r="25" spans="1:41" x14ac:dyDescent="0.25">
      <c r="A25" s="141" t="s">
        <v>317</v>
      </c>
      <c r="B25" s="140" t="s">
        <v>282</v>
      </c>
      <c r="C25" s="140" t="s">
        <v>17</v>
      </c>
      <c r="D25" s="141" t="s">
        <v>152</v>
      </c>
      <c r="E25" s="141" t="s">
        <v>256</v>
      </c>
      <c r="F25" s="155"/>
      <c r="G25" s="189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>
        <v>0</v>
      </c>
      <c r="W25" s="146">
        <v>0</v>
      </c>
      <c r="X25" s="146">
        <v>0</v>
      </c>
      <c r="Y25" s="146">
        <v>0</v>
      </c>
      <c r="Z25" s="146">
        <v>0</v>
      </c>
      <c r="AA25" s="146">
        <v>0</v>
      </c>
      <c r="AB25" s="173">
        <v>0</v>
      </c>
      <c r="AC25" s="170">
        <f t="shared" ref="AC25" si="6">SUM(H25:AB25)</f>
        <v>0</v>
      </c>
      <c r="AD25" s="148">
        <f t="shared" ref="AD25" si="7">IFERROR(AC25/F25*100,0)/10000000</f>
        <v>0</v>
      </c>
    </row>
    <row r="26" spans="1:41" x14ac:dyDescent="0.25">
      <c r="A26" s="141" t="s">
        <v>32</v>
      </c>
      <c r="B26" s="140" t="s">
        <v>63</v>
      </c>
      <c r="C26" s="141" t="s">
        <v>21</v>
      </c>
      <c r="D26" s="141" t="s">
        <v>40</v>
      </c>
      <c r="E26" s="141" t="s">
        <v>256</v>
      </c>
      <c r="F26" s="155">
        <v>1.1000000000000001</v>
      </c>
      <c r="G26" s="190"/>
      <c r="H26" s="146">
        <v>29533</v>
      </c>
      <c r="I26" s="146">
        <v>-27844</v>
      </c>
      <c r="J26" s="146">
        <v>-110528</v>
      </c>
      <c r="K26" s="146">
        <v>-24394</v>
      </c>
      <c r="L26" s="146">
        <v>-100</v>
      </c>
      <c r="M26" s="146">
        <v>7500</v>
      </c>
      <c r="N26" s="146">
        <v>42348</v>
      </c>
      <c r="O26" s="146">
        <v>41000</v>
      </c>
      <c r="P26" s="146">
        <v>-9140</v>
      </c>
      <c r="Q26" s="146">
        <v>240</v>
      </c>
      <c r="R26" s="146">
        <v>31750</v>
      </c>
      <c r="S26" s="146">
        <v>7174</v>
      </c>
      <c r="T26" s="146">
        <v>-7207</v>
      </c>
      <c r="U26" s="146">
        <v>-15290</v>
      </c>
      <c r="V26" s="146">
        <v>16780</v>
      </c>
      <c r="W26" s="146">
        <v>-29214</v>
      </c>
      <c r="X26" s="146">
        <v>-11908</v>
      </c>
      <c r="Y26" s="146">
        <v>-1744</v>
      </c>
      <c r="Z26" s="146">
        <v>-10800</v>
      </c>
      <c r="AA26" s="146">
        <v>-25523</v>
      </c>
      <c r="AB26" s="173">
        <v>-28620</v>
      </c>
      <c r="AC26" s="170">
        <f t="shared" si="0"/>
        <v>-125987</v>
      </c>
      <c r="AD26" s="148">
        <f t="shared" si="1"/>
        <v>-1.1453363636363634</v>
      </c>
    </row>
    <row r="27" spans="1:41" x14ac:dyDescent="0.25">
      <c r="A27" s="141" t="s">
        <v>97</v>
      </c>
      <c r="B27" s="140" t="s">
        <v>68</v>
      </c>
      <c r="C27" s="140" t="s">
        <v>206</v>
      </c>
      <c r="D27" s="141" t="s">
        <v>107</v>
      </c>
      <c r="E27" s="141" t="s">
        <v>107</v>
      </c>
      <c r="F27" s="155">
        <v>2.2999999999999998</v>
      </c>
      <c r="G27" s="190"/>
      <c r="H27" s="146">
        <v>371300</v>
      </c>
      <c r="I27" s="146">
        <v>-169004</v>
      </c>
      <c r="J27" s="146">
        <v>41570</v>
      </c>
      <c r="K27" s="146">
        <v>-96668</v>
      </c>
      <c r="L27" s="146">
        <v>9856</v>
      </c>
      <c r="M27" s="146">
        <v>42818</v>
      </c>
      <c r="N27" s="146">
        <v>-133800</v>
      </c>
      <c r="O27" s="146">
        <v>-116337</v>
      </c>
      <c r="P27" s="146">
        <v>29186</v>
      </c>
      <c r="Q27" s="146">
        <v>-96417</v>
      </c>
      <c r="R27" s="146">
        <v>-4028</v>
      </c>
      <c r="S27" s="146">
        <v>-100640</v>
      </c>
      <c r="T27" s="146">
        <v>-155561</v>
      </c>
      <c r="U27" s="146">
        <v>176058</v>
      </c>
      <c r="V27" s="146">
        <v>-34377</v>
      </c>
      <c r="W27" s="146">
        <v>-48774</v>
      </c>
      <c r="X27" s="146">
        <v>85931</v>
      </c>
      <c r="Y27" s="146">
        <v>-99638</v>
      </c>
      <c r="Z27" s="146">
        <v>-32457</v>
      </c>
      <c r="AA27" s="146">
        <v>38130</v>
      </c>
      <c r="AB27" s="173">
        <v>-233919</v>
      </c>
      <c r="AC27" s="170">
        <f t="shared" si="0"/>
        <v>-526771</v>
      </c>
      <c r="AD27" s="148">
        <f t="shared" si="1"/>
        <v>-2.2903086956521741</v>
      </c>
    </row>
    <row r="28" spans="1:41" x14ac:dyDescent="0.25">
      <c r="A28" s="141" t="s">
        <v>302</v>
      </c>
      <c r="B28" s="140" t="s">
        <v>297</v>
      </c>
      <c r="C28" s="140" t="s">
        <v>298</v>
      </c>
      <c r="D28" s="141"/>
      <c r="E28" s="141" t="s">
        <v>256</v>
      </c>
      <c r="F28" s="155">
        <v>0.2</v>
      </c>
      <c r="G28" s="190"/>
      <c r="H28" s="146">
        <v>-1309</v>
      </c>
      <c r="I28" s="146">
        <v>1160</v>
      </c>
      <c r="J28" s="146">
        <v>2778</v>
      </c>
      <c r="K28" s="146">
        <v>-700</v>
      </c>
      <c r="L28" s="146">
        <v>-931</v>
      </c>
      <c r="M28" s="146">
        <v>-1415</v>
      </c>
      <c r="N28" s="146">
        <v>-297</v>
      </c>
      <c r="O28" s="146">
        <v>-485</v>
      </c>
      <c r="P28" s="146">
        <v>1107</v>
      </c>
      <c r="Q28" s="146">
        <v>-2756</v>
      </c>
      <c r="R28" s="146">
        <v>-2866</v>
      </c>
      <c r="S28" s="146">
        <v>-2782</v>
      </c>
      <c r="T28" s="146">
        <v>-1431</v>
      </c>
      <c r="U28" s="146">
        <v>-700</v>
      </c>
      <c r="V28" s="146">
        <v>-3608</v>
      </c>
      <c r="W28" s="146">
        <v>-140</v>
      </c>
      <c r="X28" s="146">
        <v>-416</v>
      </c>
      <c r="Y28" s="146">
        <v>50</v>
      </c>
      <c r="Z28" s="146">
        <v>1600</v>
      </c>
      <c r="AA28" s="146">
        <v>-100</v>
      </c>
      <c r="AB28" s="173">
        <v>-4561</v>
      </c>
      <c r="AC28" s="170">
        <f t="shared" si="0"/>
        <v>-17802</v>
      </c>
      <c r="AD28" s="148">
        <f t="shared" si="1"/>
        <v>-0.8901</v>
      </c>
    </row>
    <row r="29" spans="1:41" x14ac:dyDescent="0.25">
      <c r="A29" s="141" t="s">
        <v>29</v>
      </c>
      <c r="B29" s="140" t="s">
        <v>22</v>
      </c>
      <c r="C29" s="140" t="s">
        <v>151</v>
      </c>
      <c r="D29" s="141" t="s">
        <v>5</v>
      </c>
      <c r="E29" s="141" t="s">
        <v>256</v>
      </c>
      <c r="F29" s="155">
        <v>5</v>
      </c>
      <c r="G29" s="190"/>
      <c r="H29" s="146">
        <v>-66200</v>
      </c>
      <c r="I29" s="146">
        <v>0</v>
      </c>
      <c r="J29" s="146">
        <v>-19970</v>
      </c>
      <c r="K29" s="146">
        <v>0</v>
      </c>
      <c r="L29" s="146">
        <v>0</v>
      </c>
      <c r="M29" s="146">
        <v>0</v>
      </c>
      <c r="N29" s="146">
        <v>0</v>
      </c>
      <c r="O29" s="146">
        <v>0</v>
      </c>
      <c r="P29" s="146">
        <v>11590</v>
      </c>
      <c r="Q29" s="146">
        <v>0</v>
      </c>
      <c r="R29" s="146">
        <v>-7000</v>
      </c>
      <c r="S29" s="146">
        <v>0</v>
      </c>
      <c r="T29" s="146">
        <v>0</v>
      </c>
      <c r="U29" s="146">
        <v>0</v>
      </c>
      <c r="V29" s="146">
        <v>0</v>
      </c>
      <c r="W29" s="146">
        <v>152704</v>
      </c>
      <c r="X29" s="146">
        <v>-18500</v>
      </c>
      <c r="Y29" s="146">
        <v>0</v>
      </c>
      <c r="Z29" s="146">
        <v>0</v>
      </c>
      <c r="AA29" s="146">
        <v>0</v>
      </c>
      <c r="AB29" s="173">
        <v>-219072</v>
      </c>
      <c r="AC29" s="170">
        <f t="shared" si="0"/>
        <v>-166448</v>
      </c>
      <c r="AD29" s="148">
        <f t="shared" si="1"/>
        <v>-0.33289600000000003</v>
      </c>
    </row>
    <row r="30" spans="1:41" x14ac:dyDescent="0.25">
      <c r="A30" s="141" t="s">
        <v>28</v>
      </c>
      <c r="B30" s="140" t="s">
        <v>155</v>
      </c>
      <c r="C30" s="140" t="s">
        <v>121</v>
      </c>
      <c r="D30" s="141" t="s">
        <v>91</v>
      </c>
      <c r="E30" s="141" t="s">
        <v>256</v>
      </c>
      <c r="F30" s="155">
        <v>10</v>
      </c>
      <c r="G30" s="190"/>
      <c r="H30" s="146">
        <v>0</v>
      </c>
      <c r="I30" s="146">
        <v>-107412</v>
      </c>
      <c r="J30" s="146">
        <v>-454519</v>
      </c>
      <c r="K30" s="146">
        <v>0</v>
      </c>
      <c r="L30" s="146">
        <v>0</v>
      </c>
      <c r="M30" s="146">
        <v>480</v>
      </c>
      <c r="N30" s="146">
        <v>153600</v>
      </c>
      <c r="O30" s="146">
        <v>-500</v>
      </c>
      <c r="P30" s="146">
        <v>0</v>
      </c>
      <c r="Q30" s="146">
        <v>0</v>
      </c>
      <c r="R30" s="146">
        <v>0</v>
      </c>
      <c r="S30" s="146">
        <v>21715</v>
      </c>
      <c r="T30" s="146">
        <v>100000</v>
      </c>
      <c r="U30" s="146">
        <v>0</v>
      </c>
      <c r="V30" s="146">
        <v>0</v>
      </c>
      <c r="W30" s="146">
        <v>97775</v>
      </c>
      <c r="X30" s="146">
        <v>302667</v>
      </c>
      <c r="Y30" s="146">
        <v>104150</v>
      </c>
      <c r="Z30" s="146">
        <v>26121</v>
      </c>
      <c r="AA30" s="146">
        <v>-10000</v>
      </c>
      <c r="AB30" s="173">
        <v>-38762</v>
      </c>
      <c r="AC30" s="170">
        <f t="shared" si="0"/>
        <v>195315</v>
      </c>
      <c r="AD30" s="148">
        <f t="shared" si="1"/>
        <v>0.19531499999999999</v>
      </c>
    </row>
    <row r="31" spans="1:41" x14ac:dyDescent="0.25">
      <c r="A31" s="141" t="s">
        <v>191</v>
      </c>
      <c r="B31" s="140" t="s">
        <v>184</v>
      </c>
      <c r="C31" s="140" t="s">
        <v>185</v>
      </c>
      <c r="D31" s="141" t="s">
        <v>91</v>
      </c>
      <c r="E31" s="141" t="s">
        <v>256</v>
      </c>
      <c r="F31" s="155">
        <v>13</v>
      </c>
      <c r="G31" s="189"/>
      <c r="H31" s="146">
        <v>0</v>
      </c>
      <c r="I31" s="146">
        <v>-201560</v>
      </c>
      <c r="J31" s="146">
        <v>-586162</v>
      </c>
      <c r="K31" s="146">
        <v>0</v>
      </c>
      <c r="L31" s="146">
        <v>0</v>
      </c>
      <c r="M31" s="146">
        <v>0</v>
      </c>
      <c r="N31" s="146">
        <v>0</v>
      </c>
      <c r="O31" s="146">
        <v>0</v>
      </c>
      <c r="P31" s="146">
        <v>0</v>
      </c>
      <c r="Q31" s="146">
        <v>0</v>
      </c>
      <c r="R31" s="146">
        <v>0</v>
      </c>
      <c r="S31" s="146">
        <v>0</v>
      </c>
      <c r="T31" s="146">
        <v>0</v>
      </c>
      <c r="U31" s="146">
        <v>0</v>
      </c>
      <c r="V31" s="146">
        <v>0</v>
      </c>
      <c r="W31" s="146">
        <v>0</v>
      </c>
      <c r="X31" s="146">
        <v>0</v>
      </c>
      <c r="Y31" s="146">
        <v>0</v>
      </c>
      <c r="Z31" s="146">
        <v>0</v>
      </c>
      <c r="AA31" s="146">
        <v>0</v>
      </c>
      <c r="AB31" s="173">
        <v>0</v>
      </c>
      <c r="AC31" s="170">
        <f t="shared" si="0"/>
        <v>-787722</v>
      </c>
      <c r="AD31" s="148">
        <f t="shared" si="1"/>
        <v>-0.60594000000000003</v>
      </c>
      <c r="AG31" s="132">
        <v>88150</v>
      </c>
    </row>
    <row r="32" spans="1:41" x14ac:dyDescent="0.25">
      <c r="A32" s="141" t="s">
        <v>194</v>
      </c>
      <c r="B32" s="140" t="s">
        <v>178</v>
      </c>
      <c r="C32" s="140" t="s">
        <v>180</v>
      </c>
      <c r="D32" s="141" t="s">
        <v>91</v>
      </c>
      <c r="E32" s="141" t="s">
        <v>256</v>
      </c>
      <c r="F32" s="155">
        <v>6</v>
      </c>
      <c r="G32" s="189"/>
      <c r="H32" s="146">
        <v>0</v>
      </c>
      <c r="I32" s="146">
        <v>-89589</v>
      </c>
      <c r="J32" s="146">
        <v>-259305</v>
      </c>
      <c r="K32" s="146">
        <v>0</v>
      </c>
      <c r="L32" s="146">
        <v>0</v>
      </c>
      <c r="M32" s="146">
        <v>0</v>
      </c>
      <c r="N32" s="146">
        <v>0</v>
      </c>
      <c r="O32" s="146">
        <v>0</v>
      </c>
      <c r="P32" s="146">
        <v>0</v>
      </c>
      <c r="Q32" s="146">
        <v>0</v>
      </c>
      <c r="R32" s="146">
        <v>0</v>
      </c>
      <c r="S32" s="146">
        <v>0</v>
      </c>
      <c r="T32" s="146">
        <v>0</v>
      </c>
      <c r="U32" s="146">
        <v>0</v>
      </c>
      <c r="V32" s="146">
        <v>0</v>
      </c>
      <c r="W32" s="146">
        <v>0</v>
      </c>
      <c r="X32" s="146">
        <v>0</v>
      </c>
      <c r="Y32" s="146">
        <v>0</v>
      </c>
      <c r="Z32" s="146">
        <v>0</v>
      </c>
      <c r="AA32" s="146">
        <v>0</v>
      </c>
      <c r="AB32" s="173">
        <v>0</v>
      </c>
      <c r="AC32" s="170">
        <f t="shared" si="0"/>
        <v>-348894</v>
      </c>
      <c r="AD32" s="148">
        <f t="shared" si="1"/>
        <v>-0.58148999999999995</v>
      </c>
      <c r="AG32" s="132">
        <v>64554</v>
      </c>
      <c r="AJ32" s="132">
        <v>90975</v>
      </c>
      <c r="AM32" s="132">
        <v>-38200</v>
      </c>
    </row>
    <row r="33" spans="1:39" x14ac:dyDescent="0.25">
      <c r="A33" s="141" t="s">
        <v>147</v>
      </c>
      <c r="B33" s="140" t="s">
        <v>146</v>
      </c>
      <c r="C33" s="140" t="s">
        <v>140</v>
      </c>
      <c r="D33" s="141" t="s">
        <v>91</v>
      </c>
      <c r="E33" s="141" t="s">
        <v>256</v>
      </c>
      <c r="F33" s="155">
        <v>1.5</v>
      </c>
      <c r="G33" s="189"/>
      <c r="H33" s="146">
        <v>0</v>
      </c>
      <c r="I33" s="146">
        <v>-22345</v>
      </c>
      <c r="J33" s="146">
        <v>-65000</v>
      </c>
      <c r="K33" s="146">
        <v>0</v>
      </c>
      <c r="L33" s="146">
        <v>0</v>
      </c>
      <c r="M33" s="146">
        <v>0</v>
      </c>
      <c r="N33" s="146">
        <v>0</v>
      </c>
      <c r="O33" s="146">
        <v>0</v>
      </c>
      <c r="P33" s="146">
        <v>0</v>
      </c>
      <c r="Q33" s="146">
        <v>0</v>
      </c>
      <c r="R33" s="146">
        <v>0</v>
      </c>
      <c r="S33" s="146">
        <v>0</v>
      </c>
      <c r="T33" s="146">
        <v>0</v>
      </c>
      <c r="U33" s="146">
        <v>0</v>
      </c>
      <c r="V33" s="146">
        <v>0</v>
      </c>
      <c r="W33" s="146">
        <v>0</v>
      </c>
      <c r="X33" s="146">
        <v>0</v>
      </c>
      <c r="Y33" s="146">
        <v>0</v>
      </c>
      <c r="Z33" s="146">
        <v>0</v>
      </c>
      <c r="AA33" s="146">
        <v>0</v>
      </c>
      <c r="AB33" s="173">
        <v>0</v>
      </c>
      <c r="AC33" s="170">
        <f t="shared" si="0"/>
        <v>-87345</v>
      </c>
      <c r="AD33" s="148">
        <f t="shared" si="1"/>
        <v>-0.58230000000000004</v>
      </c>
      <c r="AG33" s="132">
        <v>0</v>
      </c>
      <c r="AJ33" s="132">
        <v>-31616</v>
      </c>
      <c r="AM33" s="132">
        <v>11900</v>
      </c>
    </row>
    <row r="34" spans="1:39" x14ac:dyDescent="0.25">
      <c r="A34" s="162" t="s">
        <v>205</v>
      </c>
      <c r="B34" s="140" t="s">
        <v>203</v>
      </c>
      <c r="C34" s="140" t="s">
        <v>204</v>
      </c>
      <c r="D34" s="141" t="s">
        <v>91</v>
      </c>
      <c r="E34" s="162" t="s">
        <v>256</v>
      </c>
      <c r="F34" s="163">
        <v>1.25</v>
      </c>
      <c r="G34" s="194"/>
      <c r="H34" s="150">
        <v>0</v>
      </c>
      <c r="I34" s="150">
        <v>-22390</v>
      </c>
      <c r="J34" s="150">
        <v>-64850</v>
      </c>
      <c r="K34" s="150">
        <v>0</v>
      </c>
      <c r="L34" s="150">
        <v>0</v>
      </c>
      <c r="M34" s="150">
        <v>0</v>
      </c>
      <c r="N34" s="150">
        <v>0</v>
      </c>
      <c r="O34" s="150">
        <v>0</v>
      </c>
      <c r="P34" s="150">
        <v>0</v>
      </c>
      <c r="Q34" s="150">
        <v>0</v>
      </c>
      <c r="R34" s="150">
        <v>0</v>
      </c>
      <c r="S34" s="150">
        <v>0</v>
      </c>
      <c r="T34" s="150">
        <v>0</v>
      </c>
      <c r="U34" s="150">
        <v>0</v>
      </c>
      <c r="V34" s="150">
        <v>0</v>
      </c>
      <c r="W34" s="150">
        <v>0</v>
      </c>
      <c r="X34" s="150">
        <v>0</v>
      </c>
      <c r="Y34" s="150">
        <v>0</v>
      </c>
      <c r="Z34" s="150">
        <v>0</v>
      </c>
      <c r="AA34" s="150">
        <v>0</v>
      </c>
      <c r="AB34" s="173">
        <v>0</v>
      </c>
      <c r="AC34" s="170">
        <f t="shared" si="0"/>
        <v>-87240</v>
      </c>
      <c r="AD34" s="148">
        <f t="shared" si="1"/>
        <v>-0.69791999999999998</v>
      </c>
    </row>
    <row r="35" spans="1:39" x14ac:dyDescent="0.25">
      <c r="A35" s="62" t="s">
        <v>1</v>
      </c>
      <c r="B35" s="62" t="s">
        <v>113</v>
      </c>
      <c r="C35" s="62" t="s">
        <v>245</v>
      </c>
      <c r="D35" s="140" t="s">
        <v>92</v>
      </c>
      <c r="E35" s="62" t="s">
        <v>256</v>
      </c>
      <c r="F35" s="114">
        <v>1.5</v>
      </c>
      <c r="G35" s="195"/>
      <c r="H35" s="150">
        <v>0</v>
      </c>
      <c r="I35" s="150">
        <v>-22164</v>
      </c>
      <c r="J35" s="150">
        <v>-64850</v>
      </c>
      <c r="K35" s="150">
        <v>0</v>
      </c>
      <c r="L35" s="150">
        <v>0</v>
      </c>
      <c r="M35" s="150">
        <v>0</v>
      </c>
      <c r="N35" s="150">
        <v>0</v>
      </c>
      <c r="O35" s="150">
        <v>0</v>
      </c>
      <c r="P35" s="150">
        <v>0</v>
      </c>
      <c r="Q35" s="150">
        <v>0</v>
      </c>
      <c r="R35" s="150">
        <v>0</v>
      </c>
      <c r="S35" s="150">
        <v>0</v>
      </c>
      <c r="T35" s="150">
        <v>0</v>
      </c>
      <c r="U35" s="150">
        <v>0</v>
      </c>
      <c r="V35" s="150">
        <v>0</v>
      </c>
      <c r="W35" s="150">
        <v>0</v>
      </c>
      <c r="X35" s="150">
        <v>0</v>
      </c>
      <c r="Y35" s="150">
        <v>0</v>
      </c>
      <c r="Z35" s="150">
        <v>0</v>
      </c>
      <c r="AA35" s="150">
        <v>0</v>
      </c>
      <c r="AB35" s="173">
        <v>0</v>
      </c>
      <c r="AC35" s="170">
        <f t="shared" si="0"/>
        <v>-87014</v>
      </c>
      <c r="AD35" s="148">
        <f t="shared" si="1"/>
        <v>-0.58009333333333335</v>
      </c>
      <c r="AG35" s="132">
        <f>SUM(AG30:AG33)</f>
        <v>152704</v>
      </c>
      <c r="AJ35" s="132">
        <f>SUM(AJ32:AJ33)</f>
        <v>59359</v>
      </c>
    </row>
    <row r="36" spans="1:39" x14ac:dyDescent="0.25">
      <c r="A36" s="141" t="s">
        <v>65</v>
      </c>
      <c r="B36" s="140" t="s">
        <v>64</v>
      </c>
      <c r="C36" s="140" t="s">
        <v>7</v>
      </c>
      <c r="D36" s="141" t="s">
        <v>152</v>
      </c>
      <c r="E36" s="141" t="s">
        <v>256</v>
      </c>
      <c r="F36" s="155">
        <v>5</v>
      </c>
      <c r="G36" s="189"/>
      <c r="H36" s="146">
        <v>0</v>
      </c>
      <c r="I36" s="146">
        <v>-486030</v>
      </c>
      <c r="J36" s="146">
        <v>0</v>
      </c>
      <c r="K36" s="146">
        <v>0</v>
      </c>
      <c r="L36" s="146">
        <v>0</v>
      </c>
      <c r="M36" s="146">
        <v>0</v>
      </c>
      <c r="N36" s="146">
        <v>128400</v>
      </c>
      <c r="O36" s="146">
        <v>0</v>
      </c>
      <c r="P36" s="146">
        <v>-5062</v>
      </c>
      <c r="Q36" s="146">
        <v>0</v>
      </c>
      <c r="R36" s="146">
        <v>0</v>
      </c>
      <c r="S36" s="146">
        <v>-3320</v>
      </c>
      <c r="T36" s="146">
        <v>0</v>
      </c>
      <c r="U36" s="146">
        <v>107128</v>
      </c>
      <c r="V36" s="146">
        <v>0</v>
      </c>
      <c r="W36" s="146">
        <v>0</v>
      </c>
      <c r="X36" s="146">
        <v>-430990</v>
      </c>
      <c r="Y36" s="146">
        <v>0</v>
      </c>
      <c r="Z36" s="146">
        <v>184411</v>
      </c>
      <c r="AA36" s="146">
        <v>0</v>
      </c>
      <c r="AB36" s="173">
        <v>0</v>
      </c>
      <c r="AC36" s="170">
        <f t="shared" si="0"/>
        <v>-505463</v>
      </c>
      <c r="AD36" s="148">
        <f t="shared" si="1"/>
        <v>-1.010926</v>
      </c>
    </row>
    <row r="37" spans="1:39" x14ac:dyDescent="0.25">
      <c r="A37" s="140" t="s">
        <v>34</v>
      </c>
      <c r="B37" s="142" t="s">
        <v>18</v>
      </c>
      <c r="C37" s="140" t="s">
        <v>10</v>
      </c>
      <c r="D37" s="141" t="s">
        <v>152</v>
      </c>
      <c r="E37" s="141" t="s">
        <v>256</v>
      </c>
      <c r="F37" s="118">
        <v>5</v>
      </c>
      <c r="G37" s="196"/>
      <c r="H37" s="146">
        <v>55819</v>
      </c>
      <c r="I37" s="146">
        <v>-13694</v>
      </c>
      <c r="J37" s="146">
        <v>-164313</v>
      </c>
      <c r="K37" s="146">
        <v>54389</v>
      </c>
      <c r="L37" s="146">
        <v>163774</v>
      </c>
      <c r="M37" s="146">
        <v>144181</v>
      </c>
      <c r="N37" s="146">
        <v>187738</v>
      </c>
      <c r="O37" s="146">
        <v>97645</v>
      </c>
      <c r="P37" s="146">
        <v>68361</v>
      </c>
      <c r="Q37" s="146">
        <v>75538</v>
      </c>
      <c r="R37" s="146">
        <v>13283</v>
      </c>
      <c r="S37" s="146">
        <v>-79847</v>
      </c>
      <c r="T37" s="146">
        <v>-41947</v>
      </c>
      <c r="U37" s="146">
        <v>-55100</v>
      </c>
      <c r="V37" s="146">
        <v>60465</v>
      </c>
      <c r="W37" s="146">
        <v>32836</v>
      </c>
      <c r="X37" s="146">
        <v>62860</v>
      </c>
      <c r="Y37" s="146">
        <v>-28865</v>
      </c>
      <c r="Z37" s="146">
        <v>8293</v>
      </c>
      <c r="AA37" s="146">
        <v>-44671</v>
      </c>
      <c r="AB37" s="173">
        <v>-26833</v>
      </c>
      <c r="AC37" s="170">
        <f t="shared" si="0"/>
        <v>569912</v>
      </c>
      <c r="AD37" s="148">
        <f t="shared" si="1"/>
        <v>1.1398239999999999</v>
      </c>
    </row>
    <row r="38" spans="1:39" x14ac:dyDescent="0.25">
      <c r="A38" s="140" t="s">
        <v>131</v>
      </c>
      <c r="B38" s="142" t="s">
        <v>130</v>
      </c>
      <c r="C38" s="140" t="s">
        <v>16</v>
      </c>
      <c r="D38" s="141" t="s">
        <v>262</v>
      </c>
      <c r="E38" s="141" t="s">
        <v>256</v>
      </c>
      <c r="F38" s="118">
        <v>1</v>
      </c>
      <c r="G38" s="196"/>
      <c r="H38" s="146">
        <v>21610</v>
      </c>
      <c r="I38" s="146">
        <v>-39044</v>
      </c>
      <c r="J38" s="146">
        <v>1221</v>
      </c>
      <c r="K38" s="146">
        <v>-8694</v>
      </c>
      <c r="L38" s="146">
        <v>10750</v>
      </c>
      <c r="M38" s="146">
        <v>2689</v>
      </c>
      <c r="N38" s="146">
        <v>35950</v>
      </c>
      <c r="O38" s="146">
        <v>-19000</v>
      </c>
      <c r="P38" s="146">
        <v>-10094</v>
      </c>
      <c r="Q38" s="146">
        <v>-34252</v>
      </c>
      <c r="R38" s="146">
        <v>7826</v>
      </c>
      <c r="S38" s="146">
        <v>2697</v>
      </c>
      <c r="T38" s="146">
        <v>-12400</v>
      </c>
      <c r="U38" s="146">
        <v>-30782</v>
      </c>
      <c r="V38" s="146">
        <v>19226</v>
      </c>
      <c r="W38" s="146">
        <v>-5411</v>
      </c>
      <c r="X38" s="146">
        <v>3600</v>
      </c>
      <c r="Y38" s="146">
        <v>8042</v>
      </c>
      <c r="Z38" s="146">
        <v>32790</v>
      </c>
      <c r="AA38" s="146">
        <v>-36701</v>
      </c>
      <c r="AB38" s="173">
        <v>-14362</v>
      </c>
      <c r="AC38" s="170">
        <f t="shared" si="0"/>
        <v>-64339</v>
      </c>
      <c r="AD38" s="148">
        <f t="shared" si="1"/>
        <v>-0.64339000000000002</v>
      </c>
    </row>
    <row r="39" spans="1:39" x14ac:dyDescent="0.25">
      <c r="A39" s="43" t="s">
        <v>67</v>
      </c>
      <c r="B39" s="140" t="s">
        <v>154</v>
      </c>
      <c r="C39" s="140" t="s">
        <v>60</v>
      </c>
      <c r="D39" s="141" t="s">
        <v>4</v>
      </c>
      <c r="E39" s="141" t="s">
        <v>256</v>
      </c>
      <c r="F39" s="155">
        <v>0.4</v>
      </c>
      <c r="G39" s="190"/>
      <c r="H39" s="146">
        <v>-5008</v>
      </c>
      <c r="I39" s="146">
        <v>0</v>
      </c>
      <c r="J39" s="146">
        <v>-11324</v>
      </c>
      <c r="K39" s="146">
        <v>7623</v>
      </c>
      <c r="L39" s="146">
        <v>19040</v>
      </c>
      <c r="M39" s="146">
        <v>30623</v>
      </c>
      <c r="N39" s="146">
        <v>48194</v>
      </c>
      <c r="O39" s="146">
        <v>2572</v>
      </c>
      <c r="P39" s="146">
        <v>-4653</v>
      </c>
      <c r="Q39" s="146">
        <v>2936</v>
      </c>
      <c r="R39" s="146">
        <v>-6510</v>
      </c>
      <c r="S39" s="146">
        <v>3100</v>
      </c>
      <c r="T39" s="146">
        <v>8138</v>
      </c>
      <c r="U39" s="146">
        <v>0</v>
      </c>
      <c r="V39" s="146">
        <v>10789</v>
      </c>
      <c r="W39" s="146">
        <v>35842</v>
      </c>
      <c r="X39" s="146">
        <v>-10870</v>
      </c>
      <c r="Y39" s="146">
        <v>-3332</v>
      </c>
      <c r="Z39" s="146">
        <v>-18522</v>
      </c>
      <c r="AA39" s="146">
        <v>-53081</v>
      </c>
      <c r="AB39" s="173">
        <v>-2337</v>
      </c>
      <c r="AC39" s="170">
        <f t="shared" ref="AC39:AC66" si="8">SUM(H39:AB39)</f>
        <v>53220</v>
      </c>
      <c r="AD39" s="148">
        <f t="shared" ref="AD39:AD66" si="9">IFERROR(AC39/F39*100,0)/10000000</f>
        <v>1.3305</v>
      </c>
      <c r="AG39" s="133"/>
    </row>
    <row r="40" spans="1:39" x14ac:dyDescent="0.25">
      <c r="A40" s="43" t="s">
        <v>143</v>
      </c>
      <c r="B40" s="140" t="s">
        <v>19</v>
      </c>
      <c r="C40" s="141" t="s">
        <v>251</v>
      </c>
      <c r="D40" s="141" t="s">
        <v>256</v>
      </c>
      <c r="E40" s="141" t="s">
        <v>284</v>
      </c>
      <c r="F40" s="155">
        <v>0.5</v>
      </c>
      <c r="G40" s="190"/>
      <c r="H40" s="146">
        <v>0</v>
      </c>
      <c r="I40" s="146">
        <v>0</v>
      </c>
      <c r="J40" s="146">
        <v>0</v>
      </c>
      <c r="K40" s="146">
        <v>0</v>
      </c>
      <c r="L40" s="146">
        <v>0</v>
      </c>
      <c r="M40" s="146">
        <v>0</v>
      </c>
      <c r="N40" s="146">
        <v>0</v>
      </c>
      <c r="O40" s="146">
        <v>0</v>
      </c>
      <c r="P40" s="146">
        <v>0</v>
      </c>
      <c r="Q40" s="146">
        <v>0</v>
      </c>
      <c r="R40" s="146">
        <v>0</v>
      </c>
      <c r="S40" s="146">
        <v>0</v>
      </c>
      <c r="T40" s="146">
        <v>0</v>
      </c>
      <c r="U40" s="146">
        <v>0</v>
      </c>
      <c r="V40" s="146">
        <v>0</v>
      </c>
      <c r="W40" s="146">
        <v>0</v>
      </c>
      <c r="X40" s="146">
        <v>0</v>
      </c>
      <c r="Y40" s="146">
        <v>0</v>
      </c>
      <c r="Z40" s="146">
        <v>6333</v>
      </c>
      <c r="AA40" s="146">
        <v>0</v>
      </c>
      <c r="AB40" s="173">
        <v>0</v>
      </c>
      <c r="AC40" s="170">
        <f t="shared" si="8"/>
        <v>6333</v>
      </c>
      <c r="AD40" s="148">
        <f t="shared" si="9"/>
        <v>0.12665999999999999</v>
      </c>
      <c r="AF40" s="5"/>
      <c r="AG40" s="133">
        <v>-1524</v>
      </c>
    </row>
    <row r="41" spans="1:39" x14ac:dyDescent="0.25">
      <c r="A41" s="43" t="s">
        <v>144</v>
      </c>
      <c r="B41" s="140" t="s">
        <v>19</v>
      </c>
      <c r="C41" s="141" t="s">
        <v>250</v>
      </c>
      <c r="D41" s="141" t="s">
        <v>256</v>
      </c>
      <c r="E41" s="141" t="s">
        <v>256</v>
      </c>
      <c r="F41" s="155">
        <v>0.5</v>
      </c>
      <c r="G41" s="190"/>
      <c r="H41" s="146">
        <v>0</v>
      </c>
      <c r="I41" s="146">
        <v>0</v>
      </c>
      <c r="J41" s="146">
        <v>0</v>
      </c>
      <c r="K41" s="146">
        <v>0</v>
      </c>
      <c r="L41" s="146">
        <v>0</v>
      </c>
      <c r="M41" s="146">
        <v>0</v>
      </c>
      <c r="N41" s="146">
        <v>0</v>
      </c>
      <c r="O41" s="146">
        <v>0</v>
      </c>
      <c r="P41" s="146">
        <v>0</v>
      </c>
      <c r="Q41" s="146">
        <v>0</v>
      </c>
      <c r="R41" s="146">
        <v>0</v>
      </c>
      <c r="S41" s="146">
        <v>0</v>
      </c>
      <c r="T41" s="146">
        <v>0</v>
      </c>
      <c r="U41" s="146">
        <v>0</v>
      </c>
      <c r="V41" s="146">
        <v>0</v>
      </c>
      <c r="W41" s="146">
        <v>0</v>
      </c>
      <c r="X41" s="146">
        <v>0</v>
      </c>
      <c r="Y41" s="146">
        <v>0</v>
      </c>
      <c r="Z41" s="146">
        <v>0</v>
      </c>
      <c r="AA41" s="146">
        <v>0</v>
      </c>
      <c r="AB41" s="173">
        <v>0</v>
      </c>
      <c r="AC41" s="170">
        <f t="shared" si="8"/>
        <v>0</v>
      </c>
      <c r="AD41" s="148">
        <f t="shared" si="9"/>
        <v>0</v>
      </c>
      <c r="AF41" s="5"/>
      <c r="AG41" s="133"/>
    </row>
    <row r="42" spans="1:39" x14ac:dyDescent="0.25">
      <c r="A42" s="141" t="s">
        <v>31</v>
      </c>
      <c r="B42" s="142" t="s">
        <v>153</v>
      </c>
      <c r="C42" s="141" t="s">
        <v>222</v>
      </c>
      <c r="D42" s="141" t="s">
        <v>263</v>
      </c>
      <c r="E42" s="141" t="s">
        <v>256</v>
      </c>
      <c r="F42" s="155">
        <v>4</v>
      </c>
      <c r="G42" s="190"/>
      <c r="H42" s="146">
        <v>7928</v>
      </c>
      <c r="I42" s="146">
        <v>16328</v>
      </c>
      <c r="J42" s="146">
        <v>-86885</v>
      </c>
      <c r="K42" s="146">
        <v>-34280</v>
      </c>
      <c r="L42" s="146">
        <v>20570</v>
      </c>
      <c r="M42" s="146">
        <v>34358</v>
      </c>
      <c r="N42" s="146">
        <v>73135</v>
      </c>
      <c r="O42" s="146">
        <v>31750</v>
      </c>
      <c r="P42" s="146">
        <v>64331</v>
      </c>
      <c r="Q42" s="146">
        <v>-37350</v>
      </c>
      <c r="R42" s="146">
        <v>44860</v>
      </c>
      <c r="S42" s="146">
        <v>50987</v>
      </c>
      <c r="T42" s="146">
        <v>19073</v>
      </c>
      <c r="U42" s="146">
        <v>62170</v>
      </c>
      <c r="V42" s="146">
        <v>-25131</v>
      </c>
      <c r="W42" s="146">
        <v>181175</v>
      </c>
      <c r="X42" s="146">
        <v>50825</v>
      </c>
      <c r="Y42" s="146">
        <v>-69423</v>
      </c>
      <c r="Z42" s="146">
        <v>25894</v>
      </c>
      <c r="AA42" s="146">
        <v>-67650</v>
      </c>
      <c r="AB42" s="173">
        <v>-12414</v>
      </c>
      <c r="AC42" s="170">
        <f t="shared" si="8"/>
        <v>350251</v>
      </c>
      <c r="AD42" s="148">
        <f t="shared" si="9"/>
        <v>0.8756275</v>
      </c>
      <c r="AF42" s="133">
        <v>90827</v>
      </c>
      <c r="AG42" s="133">
        <f>(AF43+AF42)/10000000*13780</f>
        <v>248.21914000000001</v>
      </c>
    </row>
    <row r="43" spans="1:39" x14ac:dyDescent="0.25">
      <c r="A43" s="141" t="s">
        <v>104</v>
      </c>
      <c r="B43" s="142" t="s">
        <v>105</v>
      </c>
      <c r="C43" s="141" t="s">
        <v>315</v>
      </c>
      <c r="D43" s="141" t="s">
        <v>106</v>
      </c>
      <c r="E43" s="141" t="s">
        <v>106</v>
      </c>
      <c r="F43" s="155">
        <v>1</v>
      </c>
      <c r="G43" s="190"/>
      <c r="H43" s="146">
        <v>63900</v>
      </c>
      <c r="I43" s="146">
        <v>-18927</v>
      </c>
      <c r="J43" s="146">
        <v>29559</v>
      </c>
      <c r="K43" s="146">
        <v>4260</v>
      </c>
      <c r="L43" s="146">
        <v>4238</v>
      </c>
      <c r="M43" s="146">
        <v>13260</v>
      </c>
      <c r="N43" s="146">
        <v>930</v>
      </c>
      <c r="O43" s="146">
        <v>-11624</v>
      </c>
      <c r="P43" s="146">
        <v>1584</v>
      </c>
      <c r="Q43" s="146">
        <v>-21848</v>
      </c>
      <c r="R43" s="146">
        <v>15497</v>
      </c>
      <c r="S43" s="146">
        <v>-16427</v>
      </c>
      <c r="T43" s="146">
        <v>-32090</v>
      </c>
      <c r="U43" s="146">
        <v>40500</v>
      </c>
      <c r="V43" s="146">
        <v>14233</v>
      </c>
      <c r="W43" s="146">
        <v>-6506</v>
      </c>
      <c r="X43" s="146">
        <v>6921</v>
      </c>
      <c r="Y43" s="146">
        <v>22706</v>
      </c>
      <c r="Z43" s="146">
        <v>-21238</v>
      </c>
      <c r="AA43" s="146">
        <v>10250</v>
      </c>
      <c r="AB43" s="173">
        <v>-45929</v>
      </c>
      <c r="AC43" s="170">
        <f t="shared" si="8"/>
        <v>53249</v>
      </c>
      <c r="AD43" s="148">
        <f t="shared" si="9"/>
        <v>0.53249000000000002</v>
      </c>
      <c r="AF43" s="133">
        <v>89303</v>
      </c>
      <c r="AG43" s="133"/>
    </row>
    <row r="44" spans="1:39" x14ac:dyDescent="0.25">
      <c r="A44" s="141" t="s">
        <v>314</v>
      </c>
      <c r="B44" s="142" t="s">
        <v>105</v>
      </c>
      <c r="C44" s="141" t="s">
        <v>15</v>
      </c>
      <c r="D44" s="141" t="s">
        <v>256</v>
      </c>
      <c r="E44" s="141" t="s">
        <v>256</v>
      </c>
      <c r="F44" s="155"/>
      <c r="G44" s="190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>
        <v>0</v>
      </c>
      <c r="U44" s="146">
        <v>0</v>
      </c>
      <c r="V44" s="146">
        <v>0</v>
      </c>
      <c r="W44" s="146">
        <v>0</v>
      </c>
      <c r="X44" s="146">
        <v>0</v>
      </c>
      <c r="Y44" s="146">
        <v>0</v>
      </c>
      <c r="Z44" s="146">
        <v>0</v>
      </c>
      <c r="AA44" s="146">
        <v>0</v>
      </c>
      <c r="AB44" s="173">
        <v>0</v>
      </c>
      <c r="AC44" s="170">
        <f t="shared" ref="AC44" si="10">SUM(H44:AB44)</f>
        <v>0</v>
      </c>
      <c r="AD44" s="148">
        <f t="shared" ref="AD44" si="11">IFERROR(AC44/F44*100,0)/10000000</f>
        <v>0</v>
      </c>
      <c r="AF44" s="133"/>
      <c r="AG44" s="133"/>
    </row>
    <row r="45" spans="1:39" x14ac:dyDescent="0.25">
      <c r="A45" s="141" t="s">
        <v>229</v>
      </c>
      <c r="B45" s="142" t="s">
        <v>105</v>
      </c>
      <c r="C45" s="141" t="s">
        <v>218</v>
      </c>
      <c r="D45" s="141" t="s">
        <v>264</v>
      </c>
      <c r="E45" s="141" t="s">
        <v>256</v>
      </c>
      <c r="F45" s="155">
        <v>0.5</v>
      </c>
      <c r="G45" s="190"/>
      <c r="H45" s="146">
        <v>-15212</v>
      </c>
      <c r="I45" s="146">
        <v>0</v>
      </c>
      <c r="J45" s="146">
        <v>-8067</v>
      </c>
      <c r="K45" s="146">
        <v>0</v>
      </c>
      <c r="L45" s="146">
        <v>0</v>
      </c>
      <c r="M45" s="146">
        <v>0</v>
      </c>
      <c r="N45" s="146">
        <v>5314</v>
      </c>
      <c r="O45" s="146">
        <v>16363</v>
      </c>
      <c r="P45" s="146">
        <v>-12221</v>
      </c>
      <c r="Q45" s="146">
        <v>-10706</v>
      </c>
      <c r="R45" s="146">
        <v>-9471</v>
      </c>
      <c r="S45" s="146">
        <v>11212</v>
      </c>
      <c r="T45" s="146">
        <v>3176</v>
      </c>
      <c r="U45" s="146">
        <v>14523</v>
      </c>
      <c r="V45" s="146">
        <v>-860</v>
      </c>
      <c r="W45" s="146">
        <v>14137</v>
      </c>
      <c r="X45" s="146">
        <v>14803</v>
      </c>
      <c r="Y45" s="146">
        <v>-30035</v>
      </c>
      <c r="Z45" s="146">
        <v>20814</v>
      </c>
      <c r="AA45" s="146">
        <v>0</v>
      </c>
      <c r="AB45" s="173">
        <v>-28047</v>
      </c>
      <c r="AC45" s="170">
        <f t="shared" si="8"/>
        <v>-14277</v>
      </c>
      <c r="AD45" s="148">
        <f t="shared" si="9"/>
        <v>-0.28554000000000002</v>
      </c>
      <c r="AF45" s="133"/>
      <c r="AG45" s="133"/>
    </row>
    <row r="46" spans="1:39" x14ac:dyDescent="0.25">
      <c r="A46" s="141" t="s">
        <v>52</v>
      </c>
      <c r="B46" s="142" t="s">
        <v>115</v>
      </c>
      <c r="C46" s="141" t="s">
        <v>219</v>
      </c>
      <c r="D46" s="141" t="s">
        <v>265</v>
      </c>
      <c r="E46" s="141" t="s">
        <v>256</v>
      </c>
      <c r="F46" s="155">
        <v>3</v>
      </c>
      <c r="G46" s="190"/>
      <c r="H46" s="146">
        <v>0</v>
      </c>
      <c r="I46" s="146">
        <v>-44261</v>
      </c>
      <c r="J46" s="146">
        <v>-43441</v>
      </c>
      <c r="K46" s="146">
        <v>0</v>
      </c>
      <c r="L46" s="146">
        <v>0</v>
      </c>
      <c r="M46" s="146">
        <v>0</v>
      </c>
      <c r="N46" s="146">
        <v>0</v>
      </c>
      <c r="O46" s="146">
        <v>0</v>
      </c>
      <c r="P46" s="146">
        <v>0</v>
      </c>
      <c r="Q46" s="146">
        <v>0</v>
      </c>
      <c r="R46" s="146">
        <v>-14900</v>
      </c>
      <c r="S46" s="146">
        <v>270</v>
      </c>
      <c r="T46" s="146">
        <v>21060</v>
      </c>
      <c r="U46" s="146">
        <v>24900</v>
      </c>
      <c r="V46" s="146">
        <v>30157</v>
      </c>
      <c r="W46" s="146">
        <v>-52276</v>
      </c>
      <c r="X46" s="146">
        <v>0</v>
      </c>
      <c r="Y46" s="146">
        <v>-5319</v>
      </c>
      <c r="Z46" s="146">
        <v>-28070</v>
      </c>
      <c r="AA46" s="146">
        <v>0</v>
      </c>
      <c r="AB46" s="173">
        <v>0</v>
      </c>
      <c r="AC46" s="170">
        <f t="shared" si="8"/>
        <v>-111880</v>
      </c>
      <c r="AD46" s="148">
        <f t="shared" si="9"/>
        <v>-0.37293333333333334</v>
      </c>
      <c r="AF46" s="133"/>
      <c r="AG46" s="133"/>
    </row>
    <row r="47" spans="1:39" ht="15.75" customHeight="1" x14ac:dyDescent="0.25">
      <c r="A47" s="141" t="s">
        <v>45</v>
      </c>
      <c r="B47" s="142" t="s">
        <v>98</v>
      </c>
      <c r="C47" s="141" t="s">
        <v>220</v>
      </c>
      <c r="D47" s="141" t="s">
        <v>266</v>
      </c>
      <c r="E47" s="141" t="s">
        <v>256</v>
      </c>
      <c r="F47" s="155">
        <v>3</v>
      </c>
      <c r="G47" s="190"/>
      <c r="H47" s="146">
        <v>-10750</v>
      </c>
      <c r="I47" s="146">
        <v>-2320</v>
      </c>
      <c r="J47" s="146">
        <v>-55319</v>
      </c>
      <c r="K47" s="146">
        <v>-35012</v>
      </c>
      <c r="L47" s="146">
        <v>0</v>
      </c>
      <c r="M47" s="146">
        <v>0</v>
      </c>
      <c r="N47" s="146">
        <v>38600</v>
      </c>
      <c r="O47" s="146">
        <v>-10450</v>
      </c>
      <c r="P47" s="146">
        <v>-17283</v>
      </c>
      <c r="Q47" s="146">
        <v>-10987</v>
      </c>
      <c r="R47" s="146">
        <v>-15470</v>
      </c>
      <c r="S47" s="146">
        <v>-17000</v>
      </c>
      <c r="T47" s="146">
        <v>23806</v>
      </c>
      <c r="U47" s="146">
        <v>-28366</v>
      </c>
      <c r="V47" s="146">
        <v>11462</v>
      </c>
      <c r="W47" s="146">
        <v>29776</v>
      </c>
      <c r="X47" s="146">
        <v>-22106</v>
      </c>
      <c r="Y47" s="146">
        <v>16000</v>
      </c>
      <c r="Z47" s="146">
        <v>6333</v>
      </c>
      <c r="AA47" s="146">
        <v>-27392</v>
      </c>
      <c r="AB47" s="173">
        <v>-63512</v>
      </c>
      <c r="AC47" s="170">
        <f t="shared" si="8"/>
        <v>-189990</v>
      </c>
      <c r="AD47" s="148">
        <f t="shared" si="9"/>
        <v>-0.63329999999999997</v>
      </c>
      <c r="AF47" s="133"/>
      <c r="AG47" s="192">
        <f>AG40-AG42</f>
        <v>-1772.2191399999999</v>
      </c>
    </row>
    <row r="48" spans="1:39" ht="16.5" customHeight="1" x14ac:dyDescent="0.25">
      <c r="A48" s="141" t="s">
        <v>193</v>
      </c>
      <c r="B48" s="142" t="s">
        <v>186</v>
      </c>
      <c r="C48" s="141" t="s">
        <v>221</v>
      </c>
      <c r="D48" s="141" t="s">
        <v>266</v>
      </c>
      <c r="E48" s="141" t="s">
        <v>256</v>
      </c>
      <c r="F48" s="155">
        <v>3</v>
      </c>
      <c r="G48" s="190"/>
      <c r="H48" s="146">
        <v>-10920</v>
      </c>
      <c r="I48" s="146">
        <v>-2652</v>
      </c>
      <c r="J48" s="146">
        <v>-55340</v>
      </c>
      <c r="K48" s="146">
        <v>-35012</v>
      </c>
      <c r="L48" s="146">
        <v>0</v>
      </c>
      <c r="M48" s="146">
        <v>0</v>
      </c>
      <c r="N48" s="146">
        <v>0</v>
      </c>
      <c r="O48" s="146">
        <v>0</v>
      </c>
      <c r="P48" s="146">
        <v>0</v>
      </c>
      <c r="Q48" s="146">
        <v>0</v>
      </c>
      <c r="R48" s="146">
        <v>0</v>
      </c>
      <c r="S48" s="146">
        <v>0</v>
      </c>
      <c r="T48" s="146">
        <v>0</v>
      </c>
      <c r="U48" s="146">
        <v>0</v>
      </c>
      <c r="V48" s="146">
        <v>0</v>
      </c>
      <c r="W48" s="146">
        <v>0</v>
      </c>
      <c r="X48" s="146">
        <v>0</v>
      </c>
      <c r="Y48" s="146">
        <v>0</v>
      </c>
      <c r="Z48" s="146">
        <v>0</v>
      </c>
      <c r="AA48" s="146">
        <v>0</v>
      </c>
      <c r="AB48" s="173">
        <v>0</v>
      </c>
      <c r="AC48" s="170">
        <f t="shared" si="8"/>
        <v>-103924</v>
      </c>
      <c r="AD48" s="148">
        <f t="shared" si="9"/>
        <v>-0.34641333333333335</v>
      </c>
      <c r="AF48" s="133"/>
      <c r="AG48" s="192"/>
    </row>
    <row r="49" spans="1:32" x14ac:dyDescent="0.25">
      <c r="A49" s="141" t="s">
        <v>292</v>
      </c>
      <c r="B49" s="142" t="s">
        <v>291</v>
      </c>
      <c r="C49" s="141" t="s">
        <v>293</v>
      </c>
      <c r="D49" s="141"/>
      <c r="E49" s="141" t="s">
        <v>256</v>
      </c>
      <c r="F49" s="155">
        <v>0.1</v>
      </c>
      <c r="G49" s="190"/>
      <c r="H49" s="146">
        <v>-3782</v>
      </c>
      <c r="I49" s="146">
        <v>1025</v>
      </c>
      <c r="J49" s="146">
        <v>21323</v>
      </c>
      <c r="K49" s="146">
        <v>-4611</v>
      </c>
      <c r="L49" s="146">
        <v>-20827</v>
      </c>
      <c r="M49" s="146">
        <v>-3911</v>
      </c>
      <c r="N49" s="146">
        <v>-870</v>
      </c>
      <c r="O49" s="146">
        <v>3481</v>
      </c>
      <c r="P49" s="146">
        <v>3737</v>
      </c>
      <c r="Q49" s="146">
        <v>-3692</v>
      </c>
      <c r="R49" s="146">
        <v>12581</v>
      </c>
      <c r="S49" s="146">
        <v>-1948</v>
      </c>
      <c r="T49" s="146">
        <v>8578</v>
      </c>
      <c r="U49" s="146">
        <v>-17939</v>
      </c>
      <c r="V49" s="146">
        <v>-2517</v>
      </c>
      <c r="W49" s="146">
        <v>-25090</v>
      </c>
      <c r="X49" s="146">
        <v>2890</v>
      </c>
      <c r="Y49" s="146">
        <v>19671</v>
      </c>
      <c r="Z49" s="146">
        <v>11098</v>
      </c>
      <c r="AA49" s="146">
        <v>-19327</v>
      </c>
      <c r="AB49" s="173">
        <v>15213</v>
      </c>
      <c r="AC49" s="170">
        <f t="shared" si="8"/>
        <v>-4917</v>
      </c>
      <c r="AD49" s="148">
        <f t="shared" si="9"/>
        <v>-0.49170000000000003</v>
      </c>
      <c r="AF49" s="133"/>
    </row>
    <row r="50" spans="1:32" x14ac:dyDescent="0.25">
      <c r="A50" s="141" t="s">
        <v>132</v>
      </c>
      <c r="B50" s="142" t="s">
        <v>129</v>
      </c>
      <c r="C50" s="141" t="s">
        <v>17</v>
      </c>
      <c r="D50" s="141" t="s">
        <v>267</v>
      </c>
      <c r="E50" s="141" t="s">
        <v>256</v>
      </c>
      <c r="F50" s="155">
        <v>0.5</v>
      </c>
      <c r="G50" s="190"/>
      <c r="H50" s="146">
        <v>2268</v>
      </c>
      <c r="I50" s="146">
        <v>0</v>
      </c>
      <c r="J50" s="146">
        <v>0</v>
      </c>
      <c r="K50" s="146">
        <v>0</v>
      </c>
      <c r="L50" s="146">
        <v>0</v>
      </c>
      <c r="M50" s="146">
        <v>0</v>
      </c>
      <c r="N50" s="146">
        <v>0</v>
      </c>
      <c r="O50" s="146">
        <v>0</v>
      </c>
      <c r="P50" s="146">
        <v>0</v>
      </c>
      <c r="Q50" s="146">
        <v>0</v>
      </c>
      <c r="R50" s="146">
        <v>0</v>
      </c>
      <c r="S50" s="146">
        <v>0</v>
      </c>
      <c r="T50" s="146">
        <v>0</v>
      </c>
      <c r="U50" s="146">
        <v>0</v>
      </c>
      <c r="V50" s="146">
        <v>0</v>
      </c>
      <c r="W50" s="146">
        <v>0</v>
      </c>
      <c r="X50" s="146">
        <v>0</v>
      </c>
      <c r="Y50" s="146">
        <v>0</v>
      </c>
      <c r="Z50" s="146">
        <v>0</v>
      </c>
      <c r="AA50" s="146">
        <v>0</v>
      </c>
      <c r="AB50" s="173">
        <v>0</v>
      </c>
      <c r="AC50" s="170">
        <f t="shared" si="8"/>
        <v>2268</v>
      </c>
      <c r="AD50" s="148">
        <f t="shared" si="9"/>
        <v>4.5359999999999998E-2</v>
      </c>
    </row>
    <row r="51" spans="1:32" x14ac:dyDescent="0.25">
      <c r="A51" s="141" t="s">
        <v>132</v>
      </c>
      <c r="B51" s="142" t="s">
        <v>129</v>
      </c>
      <c r="C51" s="141" t="s">
        <v>307</v>
      </c>
      <c r="D51" s="141" t="s">
        <v>267</v>
      </c>
      <c r="E51" s="141" t="s">
        <v>256</v>
      </c>
      <c r="F51" s="155">
        <v>0.5</v>
      </c>
      <c r="G51" s="190"/>
      <c r="H51" s="146"/>
      <c r="I51" s="146">
        <v>0</v>
      </c>
      <c r="J51" s="146">
        <v>0</v>
      </c>
      <c r="K51" s="146">
        <v>0</v>
      </c>
      <c r="L51" s="146">
        <v>0</v>
      </c>
      <c r="M51" s="146">
        <v>0</v>
      </c>
      <c r="N51" s="146">
        <v>0</v>
      </c>
      <c r="O51" s="146">
        <v>0</v>
      </c>
      <c r="P51" s="146">
        <v>0</v>
      </c>
      <c r="Q51" s="146">
        <v>0</v>
      </c>
      <c r="R51" s="146">
        <v>0</v>
      </c>
      <c r="S51" s="146">
        <v>0</v>
      </c>
      <c r="T51" s="146">
        <v>0</v>
      </c>
      <c r="U51" s="146">
        <v>-10442</v>
      </c>
      <c r="V51" s="146">
        <v>0</v>
      </c>
      <c r="W51" s="146">
        <v>9923</v>
      </c>
      <c r="X51" s="146">
        <v>0</v>
      </c>
      <c r="Y51" s="146">
        <v>10246</v>
      </c>
      <c r="Z51" s="146">
        <v>0</v>
      </c>
      <c r="AA51" s="146">
        <v>0</v>
      </c>
      <c r="AB51" s="173">
        <v>-20519</v>
      </c>
      <c r="AC51" s="170">
        <f t="shared" ref="AC51" si="12">SUM(H51:AB51)</f>
        <v>-10792</v>
      </c>
      <c r="AD51" s="148">
        <f t="shared" ref="AD51" si="13">IFERROR(AC51/F51*100,0)/10000000</f>
        <v>-0.21584</v>
      </c>
    </row>
    <row r="52" spans="1:32" x14ac:dyDescent="0.25">
      <c r="A52" s="141" t="s">
        <v>48</v>
      </c>
      <c r="B52" s="140" t="s">
        <v>95</v>
      </c>
      <c r="C52" s="141" t="s">
        <v>228</v>
      </c>
      <c r="D52" s="141" t="s">
        <v>107</v>
      </c>
      <c r="E52" s="141" t="s">
        <v>107</v>
      </c>
      <c r="F52" s="155">
        <v>1</v>
      </c>
      <c r="G52" s="190"/>
      <c r="H52" s="146">
        <v>129300</v>
      </c>
      <c r="I52" s="146">
        <v>101803</v>
      </c>
      <c r="J52" s="146">
        <v>43953</v>
      </c>
      <c r="K52" s="146">
        <v>39879</v>
      </c>
      <c r="L52" s="146">
        <v>86560</v>
      </c>
      <c r="M52" s="146">
        <v>42093</v>
      </c>
      <c r="N52" s="146">
        <v>30200</v>
      </c>
      <c r="O52" s="146">
        <v>44000</v>
      </c>
      <c r="P52" s="146">
        <v>-89099</v>
      </c>
      <c r="Q52" s="146">
        <v>-33209</v>
      </c>
      <c r="R52" s="146">
        <v>-69573</v>
      </c>
      <c r="S52" s="146">
        <v>184871</v>
      </c>
      <c r="T52" s="146">
        <v>-29542</v>
      </c>
      <c r="U52" s="146">
        <v>63250</v>
      </c>
      <c r="V52" s="146">
        <v>68871</v>
      </c>
      <c r="W52" s="146">
        <v>-20663</v>
      </c>
      <c r="X52" s="146">
        <v>-32175</v>
      </c>
      <c r="Y52" s="146">
        <v>82381</v>
      </c>
      <c r="Z52" s="146">
        <v>-8123</v>
      </c>
      <c r="AA52" s="146">
        <v>31280</v>
      </c>
      <c r="AB52" s="173">
        <v>37100</v>
      </c>
      <c r="AC52" s="170">
        <f t="shared" si="8"/>
        <v>703157</v>
      </c>
      <c r="AD52" s="148">
        <f t="shared" si="9"/>
        <v>7.0315700000000003</v>
      </c>
    </row>
    <row r="53" spans="1:32" x14ac:dyDescent="0.25">
      <c r="A53" s="141" t="s">
        <v>301</v>
      </c>
      <c r="B53" s="140" t="s">
        <v>295</v>
      </c>
      <c r="C53" s="162" t="s">
        <v>296</v>
      </c>
      <c r="D53" s="162"/>
      <c r="E53" s="162" t="s">
        <v>256</v>
      </c>
      <c r="F53" s="163">
        <v>0.1</v>
      </c>
      <c r="G53" s="190"/>
      <c r="H53" s="146">
        <v>-20</v>
      </c>
      <c r="I53" s="146">
        <v>916</v>
      </c>
      <c r="J53" s="146">
        <v>-1257</v>
      </c>
      <c r="K53" s="146">
        <v>-591</v>
      </c>
      <c r="L53" s="146">
        <v>1604</v>
      </c>
      <c r="M53" s="146">
        <v>-555</v>
      </c>
      <c r="N53" s="146">
        <v>3060</v>
      </c>
      <c r="O53" s="146">
        <v>1742</v>
      </c>
      <c r="P53" s="146">
        <v>-4119</v>
      </c>
      <c r="Q53" s="146">
        <v>642</v>
      </c>
      <c r="R53" s="146">
        <v>-842</v>
      </c>
      <c r="S53" s="146">
        <v>781</v>
      </c>
      <c r="T53" s="146">
        <v>1252</v>
      </c>
      <c r="U53" s="146">
        <v>419</v>
      </c>
      <c r="V53" s="146">
        <v>-100</v>
      </c>
      <c r="W53" s="146">
        <v>1353</v>
      </c>
      <c r="X53" s="146">
        <v>-1661</v>
      </c>
      <c r="Y53" s="146">
        <v>410</v>
      </c>
      <c r="Z53" s="146">
        <v>-3448</v>
      </c>
      <c r="AA53" s="146">
        <v>370</v>
      </c>
      <c r="AB53" s="173">
        <v>963</v>
      </c>
      <c r="AC53" s="170">
        <f t="shared" si="8"/>
        <v>919</v>
      </c>
      <c r="AD53" s="148">
        <f t="shared" si="9"/>
        <v>9.1899999999999996E-2</v>
      </c>
    </row>
    <row r="54" spans="1:32" x14ac:dyDescent="0.25">
      <c r="A54" s="141" t="s">
        <v>201</v>
      </c>
      <c r="B54" s="140" t="s">
        <v>169</v>
      </c>
      <c r="C54" s="162"/>
      <c r="D54" s="162"/>
      <c r="E54" s="162" t="s">
        <v>256</v>
      </c>
      <c r="F54" s="163">
        <v>1</v>
      </c>
      <c r="G54" s="190"/>
      <c r="H54" s="146">
        <v>-500</v>
      </c>
      <c r="I54" s="146">
        <v>-3065</v>
      </c>
      <c r="J54" s="146">
        <v>-5450</v>
      </c>
      <c r="K54" s="146">
        <v>0</v>
      </c>
      <c r="L54" s="146">
        <v>0</v>
      </c>
      <c r="M54" s="146">
        <v>0</v>
      </c>
      <c r="N54" s="146">
        <v>0</v>
      </c>
      <c r="O54" s="146">
        <v>0</v>
      </c>
      <c r="P54" s="146">
        <v>0</v>
      </c>
      <c r="Q54" s="146">
        <v>0</v>
      </c>
      <c r="R54" s="146">
        <v>0</v>
      </c>
      <c r="S54" s="146">
        <v>0</v>
      </c>
      <c r="T54" s="146">
        <v>0</v>
      </c>
      <c r="U54" s="146">
        <v>0</v>
      </c>
      <c r="V54" s="146">
        <v>0</v>
      </c>
      <c r="W54" s="146">
        <v>0</v>
      </c>
      <c r="X54" s="146">
        <v>0</v>
      </c>
      <c r="Y54" s="146">
        <v>0</v>
      </c>
      <c r="Z54" s="146">
        <v>0</v>
      </c>
      <c r="AA54" s="146">
        <v>0</v>
      </c>
      <c r="AB54" s="173">
        <v>0</v>
      </c>
      <c r="AC54" s="170">
        <f t="shared" si="8"/>
        <v>-9015</v>
      </c>
      <c r="AD54" s="148">
        <f t="shared" si="9"/>
        <v>-9.0149999999999994E-2</v>
      </c>
    </row>
    <row r="55" spans="1:32" x14ac:dyDescent="0.25">
      <c r="A55" s="142" t="s">
        <v>168</v>
      </c>
      <c r="B55" s="140" t="s">
        <v>169</v>
      </c>
      <c r="C55" s="59" t="s">
        <v>252</v>
      </c>
      <c r="D55" s="162" t="s">
        <v>253</v>
      </c>
      <c r="E55" s="162" t="s">
        <v>253</v>
      </c>
      <c r="F55" s="114">
        <v>4</v>
      </c>
      <c r="G55" s="190"/>
      <c r="H55" s="146">
        <v>0</v>
      </c>
      <c r="I55" s="146">
        <v>0</v>
      </c>
      <c r="J55" s="146">
        <v>0</v>
      </c>
      <c r="K55" s="146">
        <v>0</v>
      </c>
      <c r="L55" s="146">
        <v>0</v>
      </c>
      <c r="M55" s="146">
        <v>0</v>
      </c>
      <c r="N55" s="146">
        <v>0</v>
      </c>
      <c r="O55" s="146">
        <v>7000</v>
      </c>
      <c r="P55" s="146">
        <v>95692</v>
      </c>
      <c r="Q55" s="146">
        <v>0</v>
      </c>
      <c r="R55" s="146">
        <v>0</v>
      </c>
      <c r="S55" s="146">
        <v>0</v>
      </c>
      <c r="T55" s="146">
        <v>3800</v>
      </c>
      <c r="U55" s="146">
        <v>70800</v>
      </c>
      <c r="V55" s="146">
        <v>0</v>
      </c>
      <c r="W55" s="146">
        <v>0</v>
      </c>
      <c r="X55" s="146">
        <v>0</v>
      </c>
      <c r="Y55" s="146">
        <v>0</v>
      </c>
      <c r="Z55" s="146">
        <v>-116500</v>
      </c>
      <c r="AA55" s="146">
        <v>0</v>
      </c>
      <c r="AB55" s="173">
        <v>0</v>
      </c>
      <c r="AC55" s="170">
        <f t="shared" si="8"/>
        <v>60792</v>
      </c>
      <c r="AD55" s="148">
        <f t="shared" si="9"/>
        <v>0.15198</v>
      </c>
    </row>
    <row r="56" spans="1:32" x14ac:dyDescent="0.25">
      <c r="A56" s="142" t="s">
        <v>202</v>
      </c>
      <c r="B56" s="140" t="s">
        <v>169</v>
      </c>
      <c r="C56" s="59" t="s">
        <v>252</v>
      </c>
      <c r="D56" s="162" t="s">
        <v>116</v>
      </c>
      <c r="E56" s="162" t="s">
        <v>256</v>
      </c>
      <c r="F56" s="114">
        <v>4</v>
      </c>
      <c r="G56" s="190"/>
      <c r="H56" s="146">
        <v>-15000</v>
      </c>
      <c r="I56" s="146">
        <v>-128525</v>
      </c>
      <c r="J56" s="146">
        <v>0</v>
      </c>
      <c r="K56" s="146">
        <v>0</v>
      </c>
      <c r="L56" s="146">
        <v>0</v>
      </c>
      <c r="M56" s="146">
        <v>13100</v>
      </c>
      <c r="N56" s="146">
        <v>129000</v>
      </c>
      <c r="O56" s="146">
        <v>0</v>
      </c>
      <c r="P56" s="146">
        <v>0</v>
      </c>
      <c r="Q56" s="146">
        <v>0</v>
      </c>
      <c r="R56" s="146">
        <v>-32862</v>
      </c>
      <c r="S56" s="146">
        <v>-67554</v>
      </c>
      <c r="T56" s="146">
        <v>0</v>
      </c>
      <c r="U56" s="146">
        <v>0</v>
      </c>
      <c r="V56" s="146">
        <v>0</v>
      </c>
      <c r="W56" s="146">
        <v>0</v>
      </c>
      <c r="X56" s="146">
        <v>0</v>
      </c>
      <c r="Y56" s="146">
        <v>0</v>
      </c>
      <c r="Z56" s="146">
        <v>0</v>
      </c>
      <c r="AA56" s="146">
        <v>0</v>
      </c>
      <c r="AB56" s="173">
        <v>200</v>
      </c>
      <c r="AC56" s="170">
        <f t="shared" si="8"/>
        <v>-101641</v>
      </c>
      <c r="AD56" s="148">
        <f t="shared" si="9"/>
        <v>-0.25410250000000001</v>
      </c>
    </row>
    <row r="57" spans="1:32" x14ac:dyDescent="0.25">
      <c r="A57" s="142" t="s">
        <v>33</v>
      </c>
      <c r="B57" s="140" t="s">
        <v>14</v>
      </c>
      <c r="C57" s="142" t="s">
        <v>13</v>
      </c>
      <c r="D57" s="140" t="s">
        <v>14</v>
      </c>
      <c r="E57" s="140" t="s">
        <v>256</v>
      </c>
      <c r="F57" s="118">
        <v>3</v>
      </c>
      <c r="G57" s="196"/>
      <c r="H57" s="146">
        <v>-6036</v>
      </c>
      <c r="I57" s="146">
        <v>-204489</v>
      </c>
      <c r="J57" s="146">
        <v>-65102</v>
      </c>
      <c r="K57" s="146">
        <v>0</v>
      </c>
      <c r="L57" s="146">
        <v>0</v>
      </c>
      <c r="M57" s="146">
        <v>87285</v>
      </c>
      <c r="N57" s="146">
        <v>128480</v>
      </c>
      <c r="O57" s="146">
        <v>54740</v>
      </c>
      <c r="P57" s="146">
        <v>-4082</v>
      </c>
      <c r="Q57" s="146">
        <v>70883</v>
      </c>
      <c r="R57" s="146">
        <v>125257</v>
      </c>
      <c r="S57" s="146">
        <v>-213545</v>
      </c>
      <c r="T57" s="146">
        <v>-219311</v>
      </c>
      <c r="U57" s="146">
        <v>-46461</v>
      </c>
      <c r="V57" s="146">
        <v>22716</v>
      </c>
      <c r="W57" s="146">
        <v>233345</v>
      </c>
      <c r="X57" s="146">
        <v>552</v>
      </c>
      <c r="Y57" s="146">
        <v>75215</v>
      </c>
      <c r="Z57" s="146">
        <v>-247460</v>
      </c>
      <c r="AA57" s="146">
        <v>-148186</v>
      </c>
      <c r="AB57" s="173">
        <v>-5512</v>
      </c>
      <c r="AC57" s="170">
        <f t="shared" si="8"/>
        <v>-361711</v>
      </c>
      <c r="AD57" s="148">
        <f t="shared" si="9"/>
        <v>-1.2057033333333331</v>
      </c>
    </row>
    <row r="58" spans="1:32" x14ac:dyDescent="0.25">
      <c r="A58" s="59" t="s">
        <v>306</v>
      </c>
      <c r="B58" s="62" t="s">
        <v>304</v>
      </c>
      <c r="C58" s="59" t="s">
        <v>308</v>
      </c>
      <c r="D58" s="140"/>
      <c r="E58" s="140" t="s">
        <v>256</v>
      </c>
      <c r="F58" s="114">
        <v>10</v>
      </c>
      <c r="G58" s="23"/>
      <c r="H58" s="150">
        <v>-50</v>
      </c>
      <c r="I58" s="150">
        <v>-465047</v>
      </c>
      <c r="J58" s="150">
        <v>0</v>
      </c>
      <c r="K58" s="150">
        <v>-54610</v>
      </c>
      <c r="L58" s="150">
        <v>0</v>
      </c>
      <c r="M58" s="150">
        <v>37076</v>
      </c>
      <c r="N58" s="150">
        <v>796100</v>
      </c>
      <c r="O58" s="150">
        <v>0</v>
      </c>
      <c r="P58" s="150">
        <v>84724</v>
      </c>
      <c r="Q58" s="150">
        <v>29700</v>
      </c>
      <c r="R58" s="150">
        <v>-340250</v>
      </c>
      <c r="S58" s="150">
        <v>60645</v>
      </c>
      <c r="T58" s="150">
        <v>-36000</v>
      </c>
      <c r="U58" s="150">
        <v>439296</v>
      </c>
      <c r="V58" s="150">
        <v>92466</v>
      </c>
      <c r="W58" s="150">
        <v>-117078</v>
      </c>
      <c r="X58" s="150">
        <v>-247320</v>
      </c>
      <c r="Y58" s="150">
        <v>-232027</v>
      </c>
      <c r="Z58" s="150">
        <v>-612462</v>
      </c>
      <c r="AA58" s="150">
        <v>35600</v>
      </c>
      <c r="AB58" s="173">
        <v>-505943</v>
      </c>
      <c r="AC58" s="170">
        <f t="shared" si="8"/>
        <v>-1035180</v>
      </c>
      <c r="AD58" s="148">
        <f t="shared" si="9"/>
        <v>-1.03518</v>
      </c>
    </row>
    <row r="59" spans="1:32" x14ac:dyDescent="0.25">
      <c r="A59" s="59" t="s">
        <v>320</v>
      </c>
      <c r="B59" s="62" t="s">
        <v>304</v>
      </c>
      <c r="C59" s="59" t="s">
        <v>274</v>
      </c>
      <c r="D59" s="140"/>
      <c r="E59" s="140" t="s">
        <v>256</v>
      </c>
      <c r="F59" s="114"/>
      <c r="G59" s="23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>
        <v>0</v>
      </c>
      <c r="X59" s="150">
        <v>0</v>
      </c>
      <c r="Y59" s="150">
        <v>0</v>
      </c>
      <c r="Z59" s="150">
        <v>0</v>
      </c>
      <c r="AA59" s="150">
        <v>0</v>
      </c>
      <c r="AB59" s="173">
        <v>0</v>
      </c>
      <c r="AC59" s="170">
        <f t="shared" ref="AC59" si="14">SUM(H59:AB59)</f>
        <v>0</v>
      </c>
      <c r="AD59" s="148">
        <f t="shared" ref="AD59" si="15">IFERROR(AC59/F59*100,0)/10000000</f>
        <v>0</v>
      </c>
    </row>
    <row r="60" spans="1:32" x14ac:dyDescent="0.25">
      <c r="A60" s="59" t="s">
        <v>197</v>
      </c>
      <c r="B60" s="62" t="s">
        <v>195</v>
      </c>
      <c r="C60" s="59" t="s">
        <v>196</v>
      </c>
      <c r="D60" s="141" t="s">
        <v>268</v>
      </c>
      <c r="E60" s="162" t="s">
        <v>256</v>
      </c>
      <c r="F60" s="114">
        <v>0.5</v>
      </c>
      <c r="G60" s="23"/>
      <c r="H60" s="150">
        <v>2711</v>
      </c>
      <c r="I60" s="150">
        <v>0</v>
      </c>
      <c r="J60" s="150">
        <v>-5750</v>
      </c>
      <c r="K60" s="150">
        <v>-6273</v>
      </c>
      <c r="L60" s="150">
        <v>0</v>
      </c>
      <c r="M60" s="150">
        <v>7206</v>
      </c>
      <c r="N60" s="150">
        <v>10630</v>
      </c>
      <c r="O60" s="150">
        <v>-2100</v>
      </c>
      <c r="P60" s="150">
        <v>1783</v>
      </c>
      <c r="Q60" s="150">
        <v>-6230</v>
      </c>
      <c r="R60" s="150">
        <v>2235</v>
      </c>
      <c r="S60" s="150">
        <v>8646</v>
      </c>
      <c r="T60" s="150">
        <v>-8854</v>
      </c>
      <c r="U60" s="150">
        <v>-3555</v>
      </c>
      <c r="V60" s="150">
        <v>100</v>
      </c>
      <c r="W60" s="150">
        <v>1233</v>
      </c>
      <c r="X60" s="150">
        <v>1350</v>
      </c>
      <c r="Y60" s="150">
        <v>-1470</v>
      </c>
      <c r="Z60" s="150">
        <v>-16031</v>
      </c>
      <c r="AA60" s="150">
        <v>7177</v>
      </c>
      <c r="AB60" s="173">
        <v>0</v>
      </c>
      <c r="AC60" s="170">
        <f t="shared" si="8"/>
        <v>-7192</v>
      </c>
      <c r="AD60" s="148">
        <f t="shared" si="9"/>
        <v>-0.14384</v>
      </c>
    </row>
    <row r="61" spans="1:32" x14ac:dyDescent="0.25">
      <c r="A61" s="59" t="s">
        <v>213</v>
      </c>
      <c r="B61" s="62" t="s">
        <v>209</v>
      </c>
      <c r="C61" s="59" t="s">
        <v>210</v>
      </c>
      <c r="D61" s="62" t="s">
        <v>209</v>
      </c>
      <c r="E61" s="62" t="s">
        <v>256</v>
      </c>
      <c r="F61" s="114">
        <v>6.5</v>
      </c>
      <c r="G61" s="23"/>
      <c r="H61" s="150">
        <v>28030</v>
      </c>
      <c r="I61" s="150">
        <v>-105716</v>
      </c>
      <c r="J61" s="150">
        <v>0</v>
      </c>
      <c r="K61" s="150">
        <v>0</v>
      </c>
      <c r="L61" s="150">
        <v>0</v>
      </c>
      <c r="M61" s="150">
        <v>0</v>
      </c>
      <c r="N61" s="150">
        <v>392944</v>
      </c>
      <c r="O61" s="150">
        <v>0</v>
      </c>
      <c r="P61" s="150">
        <v>42149</v>
      </c>
      <c r="Q61" s="150">
        <v>2940</v>
      </c>
      <c r="R61" s="150">
        <v>-184242</v>
      </c>
      <c r="S61" s="150">
        <v>86390</v>
      </c>
      <c r="T61" s="150">
        <v>-329</v>
      </c>
      <c r="U61" s="150">
        <v>11042</v>
      </c>
      <c r="V61" s="150">
        <v>0</v>
      </c>
      <c r="W61" s="150">
        <v>0</v>
      </c>
      <c r="X61" s="150">
        <v>-191619</v>
      </c>
      <c r="Y61" s="150">
        <v>0</v>
      </c>
      <c r="Z61" s="150">
        <v>-14770</v>
      </c>
      <c r="AA61" s="150">
        <v>0</v>
      </c>
      <c r="AB61" s="173">
        <v>0</v>
      </c>
      <c r="AC61" s="170">
        <f t="shared" si="8"/>
        <v>66819</v>
      </c>
      <c r="AD61" s="148">
        <f t="shared" si="9"/>
        <v>0.10279846153846153</v>
      </c>
    </row>
    <row r="62" spans="1:32" x14ac:dyDescent="0.25">
      <c r="A62" s="59" t="s">
        <v>214</v>
      </c>
      <c r="B62" s="62" t="s">
        <v>209</v>
      </c>
      <c r="C62" s="59" t="s">
        <v>211</v>
      </c>
      <c r="D62" s="62" t="s">
        <v>209</v>
      </c>
      <c r="E62" s="62" t="s">
        <v>256</v>
      </c>
      <c r="F62" s="114">
        <v>1.25</v>
      </c>
      <c r="G62" s="23"/>
      <c r="H62" s="150">
        <v>-32912</v>
      </c>
      <c r="I62" s="150">
        <v>32287</v>
      </c>
      <c r="J62" s="150">
        <v>0</v>
      </c>
      <c r="K62" s="150">
        <v>-25136</v>
      </c>
      <c r="L62" s="150">
        <v>0</v>
      </c>
      <c r="M62" s="150">
        <v>0</v>
      </c>
      <c r="N62" s="150">
        <v>0</v>
      </c>
      <c r="O62" s="150">
        <v>0</v>
      </c>
      <c r="P62" s="150">
        <v>0</v>
      </c>
      <c r="Q62" s="150">
        <v>0</v>
      </c>
      <c r="R62" s="150">
        <v>0</v>
      </c>
      <c r="S62" s="150">
        <v>0</v>
      </c>
      <c r="T62" s="150">
        <v>0</v>
      </c>
      <c r="U62" s="150">
        <v>0</v>
      </c>
      <c r="V62" s="150">
        <v>0</v>
      </c>
      <c r="W62" s="150">
        <v>0</v>
      </c>
      <c r="X62" s="150">
        <v>0</v>
      </c>
      <c r="Y62" s="150">
        <v>0</v>
      </c>
      <c r="Z62" s="150">
        <v>0</v>
      </c>
      <c r="AA62" s="150">
        <v>0</v>
      </c>
      <c r="AB62" s="173">
        <v>0</v>
      </c>
      <c r="AC62" s="170">
        <f t="shared" si="8"/>
        <v>-25761</v>
      </c>
      <c r="AD62" s="148">
        <f t="shared" si="9"/>
        <v>-0.20608799999999999</v>
      </c>
    </row>
    <row r="63" spans="1:32" x14ac:dyDescent="0.25">
      <c r="A63" s="59" t="s">
        <v>49</v>
      </c>
      <c r="B63" s="59" t="s">
        <v>99</v>
      </c>
      <c r="C63" s="59" t="s">
        <v>100</v>
      </c>
      <c r="D63" s="59" t="s">
        <v>99</v>
      </c>
      <c r="E63" s="59" t="s">
        <v>256</v>
      </c>
      <c r="F63" s="114">
        <v>3</v>
      </c>
      <c r="G63" s="23"/>
      <c r="H63" s="150">
        <v>0</v>
      </c>
      <c r="I63" s="150">
        <v>-241366</v>
      </c>
      <c r="J63" s="150">
        <v>0</v>
      </c>
      <c r="K63" s="150">
        <v>0</v>
      </c>
      <c r="L63" s="150">
        <v>0</v>
      </c>
      <c r="M63" s="150">
        <v>0</v>
      </c>
      <c r="N63" s="150">
        <v>69111</v>
      </c>
      <c r="O63" s="150">
        <v>0</v>
      </c>
      <c r="P63" s="150">
        <v>-10258</v>
      </c>
      <c r="Q63" s="150">
        <v>0</v>
      </c>
      <c r="R63" s="150">
        <v>0</v>
      </c>
      <c r="S63" s="150">
        <v>38672</v>
      </c>
      <c r="T63" s="150">
        <v>0</v>
      </c>
      <c r="U63" s="150">
        <v>-7437</v>
      </c>
      <c r="V63" s="150">
        <v>0</v>
      </c>
      <c r="W63" s="150">
        <v>0</v>
      </c>
      <c r="X63" s="150">
        <v>-97617</v>
      </c>
      <c r="Y63" s="150">
        <v>0</v>
      </c>
      <c r="Z63" s="150">
        <v>-11513</v>
      </c>
      <c r="AA63" s="150">
        <v>0</v>
      </c>
      <c r="AB63" s="173">
        <v>0</v>
      </c>
      <c r="AC63" s="170">
        <f t="shared" si="8"/>
        <v>-260408</v>
      </c>
      <c r="AD63" s="148">
        <f t="shared" si="9"/>
        <v>-0.86802666666666684</v>
      </c>
    </row>
    <row r="64" spans="1:32" ht="17.25" customHeight="1" x14ac:dyDescent="0.25">
      <c r="A64" s="59" t="s">
        <v>41</v>
      </c>
      <c r="B64" s="59" t="s">
        <v>86</v>
      </c>
      <c r="C64" s="59" t="s">
        <v>305</v>
      </c>
      <c r="D64" s="59" t="s">
        <v>86</v>
      </c>
      <c r="E64" s="59" t="s">
        <v>256</v>
      </c>
      <c r="F64" s="114">
        <v>2.5</v>
      </c>
      <c r="G64" s="23"/>
      <c r="H64" s="150">
        <v>-5904</v>
      </c>
      <c r="I64" s="150">
        <v>-9620</v>
      </c>
      <c r="J64" s="150">
        <v>7757</v>
      </c>
      <c r="K64" s="150">
        <v>-39975</v>
      </c>
      <c r="L64" s="150">
        <v>0</v>
      </c>
      <c r="M64" s="150">
        <v>-27796</v>
      </c>
      <c r="N64" s="150">
        <v>51334</v>
      </c>
      <c r="O64" s="150">
        <v>0</v>
      </c>
      <c r="P64" s="150">
        <v>-32505</v>
      </c>
      <c r="Q64" s="150">
        <v>-52117</v>
      </c>
      <c r="R64" s="150">
        <v>12133</v>
      </c>
      <c r="S64" s="150">
        <v>22247</v>
      </c>
      <c r="T64" s="150">
        <v>11165</v>
      </c>
      <c r="U64" s="150">
        <v>7877</v>
      </c>
      <c r="V64" s="150">
        <v>-7450</v>
      </c>
      <c r="W64" s="150">
        <v>58035</v>
      </c>
      <c r="X64" s="150">
        <v>-73123</v>
      </c>
      <c r="Y64" s="150">
        <v>0</v>
      </c>
      <c r="Z64" s="150">
        <v>0</v>
      </c>
      <c r="AA64" s="150">
        <v>0</v>
      </c>
      <c r="AB64" s="173">
        <v>0</v>
      </c>
      <c r="AC64" s="170">
        <f t="shared" si="8"/>
        <v>-77942</v>
      </c>
      <c r="AD64" s="148">
        <f t="shared" si="9"/>
        <v>-0.31176799999999999</v>
      </c>
    </row>
    <row r="65" spans="1:34" x14ac:dyDescent="0.25">
      <c r="A65" s="59" t="s">
        <v>300</v>
      </c>
      <c r="B65" s="59" t="s">
        <v>286</v>
      </c>
      <c r="C65" s="59" t="s">
        <v>299</v>
      </c>
      <c r="D65" s="59"/>
      <c r="E65" s="59" t="s">
        <v>256</v>
      </c>
      <c r="F65" s="114">
        <v>1.5</v>
      </c>
      <c r="G65" s="23"/>
      <c r="H65" s="150">
        <v>1981</v>
      </c>
      <c r="I65" s="150">
        <v>-2232</v>
      </c>
      <c r="J65" s="150">
        <v>-3400</v>
      </c>
      <c r="K65" s="150">
        <v>0</v>
      </c>
      <c r="L65" s="150">
        <v>0</v>
      </c>
      <c r="M65" s="150">
        <v>3845</v>
      </c>
      <c r="N65" s="150">
        <v>44147</v>
      </c>
      <c r="O65" s="150">
        <v>317</v>
      </c>
      <c r="P65" s="150">
        <v>4344</v>
      </c>
      <c r="Q65" s="150">
        <v>0</v>
      </c>
      <c r="R65" s="150">
        <v>0</v>
      </c>
      <c r="S65" s="150">
        <v>280</v>
      </c>
      <c r="T65" s="150">
        <v>576</v>
      </c>
      <c r="U65" s="150">
        <v>41080</v>
      </c>
      <c r="V65" s="150">
        <v>0</v>
      </c>
      <c r="W65" s="150">
        <v>-2122</v>
      </c>
      <c r="X65" s="150">
        <v>-8276</v>
      </c>
      <c r="Y65" s="150">
        <v>523</v>
      </c>
      <c r="Z65" s="150">
        <v>4810</v>
      </c>
      <c r="AA65" s="150">
        <v>0</v>
      </c>
      <c r="AB65" s="173">
        <v>-3202</v>
      </c>
      <c r="AC65" s="170">
        <f t="shared" si="8"/>
        <v>82671</v>
      </c>
      <c r="AD65" s="148">
        <f t="shared" si="9"/>
        <v>0.55113999999999996</v>
      </c>
    </row>
    <row r="66" spans="1:34" ht="17.25" customHeight="1" x14ac:dyDescent="0.25">
      <c r="A66" s="59" t="s">
        <v>288</v>
      </c>
      <c r="B66" s="59" t="s">
        <v>286</v>
      </c>
      <c r="C66" s="59" t="s">
        <v>285</v>
      </c>
      <c r="D66" s="59"/>
      <c r="E66" s="59" t="s">
        <v>287</v>
      </c>
      <c r="F66" s="114">
        <v>5</v>
      </c>
      <c r="G66" s="23"/>
      <c r="H66" s="150">
        <v>4563</v>
      </c>
      <c r="I66" s="150">
        <v>-67582</v>
      </c>
      <c r="J66" s="150">
        <v>-6980</v>
      </c>
      <c r="K66" s="150">
        <v>-2604</v>
      </c>
      <c r="L66" s="150">
        <v>2937</v>
      </c>
      <c r="M66" s="150">
        <v>23984</v>
      </c>
      <c r="N66" s="150">
        <v>201153</v>
      </c>
      <c r="O66" s="150">
        <v>-12086</v>
      </c>
      <c r="P66" s="150">
        <v>50799</v>
      </c>
      <c r="Q66" s="150">
        <v>-190</v>
      </c>
      <c r="R66" s="150">
        <v>-1275</v>
      </c>
      <c r="S66" s="150">
        <v>-6307</v>
      </c>
      <c r="T66" s="150">
        <v>3193</v>
      </c>
      <c r="U66" s="150">
        <v>12890</v>
      </c>
      <c r="V66" s="150">
        <v>1800</v>
      </c>
      <c r="W66" s="150">
        <v>-3460</v>
      </c>
      <c r="X66" s="150">
        <v>-8723</v>
      </c>
      <c r="Y66" s="150">
        <v>-3082</v>
      </c>
      <c r="Z66" s="150">
        <v>18263</v>
      </c>
      <c r="AA66" s="150">
        <v>10737</v>
      </c>
      <c r="AB66" s="173">
        <v>-1772</v>
      </c>
      <c r="AC66" s="170">
        <f t="shared" si="8"/>
        <v>216258</v>
      </c>
      <c r="AD66" s="148">
        <f t="shared" si="9"/>
        <v>0.43251600000000001</v>
      </c>
    </row>
    <row r="67" spans="1:34" ht="15.75" thickBot="1" x14ac:dyDescent="0.3">
      <c r="A67" s="20"/>
      <c r="B67" s="21"/>
      <c r="C67" s="20"/>
      <c r="D67" s="22"/>
      <c r="E67" s="22"/>
      <c r="F67" s="114"/>
      <c r="G67" s="23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  <c r="AB67" s="173"/>
      <c r="AC67" s="170"/>
      <c r="AD67" s="148"/>
    </row>
    <row r="68" spans="1:34" ht="15.75" thickBot="1" x14ac:dyDescent="0.3">
      <c r="A68" s="24"/>
      <c r="B68" s="25"/>
      <c r="C68" s="26"/>
      <c r="D68" s="24"/>
      <c r="E68" s="24"/>
      <c r="F68" s="115"/>
      <c r="G68" s="16"/>
      <c r="H68" s="253">
        <f t="shared" ref="H68:AB68" si="16">SUM(H4:H66)</f>
        <v>662501</v>
      </c>
      <c r="I68" s="253">
        <f t="shared" si="16"/>
        <v>-3280810</v>
      </c>
      <c r="J68" s="253">
        <f t="shared" si="16"/>
        <v>-2455834</v>
      </c>
      <c r="K68" s="253">
        <f t="shared" si="16"/>
        <v>-445313</v>
      </c>
      <c r="L68" s="253">
        <f t="shared" si="16"/>
        <v>359583</v>
      </c>
      <c r="M68" s="253">
        <f t="shared" si="16"/>
        <v>613475</v>
      </c>
      <c r="N68" s="253">
        <f t="shared" si="16"/>
        <v>2759535</v>
      </c>
      <c r="O68" s="253">
        <f t="shared" si="16"/>
        <v>173698</v>
      </c>
      <c r="P68" s="253">
        <f t="shared" si="16"/>
        <v>267906</v>
      </c>
      <c r="Q68" s="253">
        <f t="shared" si="16"/>
        <v>-376524</v>
      </c>
      <c r="R68" s="253">
        <f t="shared" si="16"/>
        <v>-559445</v>
      </c>
      <c r="S68" s="253">
        <f t="shared" si="16"/>
        <v>85430</v>
      </c>
      <c r="T68" s="253">
        <f t="shared" si="16"/>
        <v>-382058</v>
      </c>
      <c r="U68" s="253">
        <f t="shared" si="16"/>
        <v>913217</v>
      </c>
      <c r="V68" s="253">
        <f t="shared" si="16"/>
        <v>286482</v>
      </c>
      <c r="W68" s="253">
        <f t="shared" si="16"/>
        <v>885597</v>
      </c>
      <c r="X68" s="253">
        <f t="shared" si="16"/>
        <v>-1193352</v>
      </c>
      <c r="Y68" s="253">
        <f t="shared" si="16"/>
        <v>-207922</v>
      </c>
      <c r="Z68" s="253">
        <f t="shared" si="16"/>
        <v>-764428</v>
      </c>
      <c r="AA68" s="253">
        <f t="shared" si="16"/>
        <v>-408449</v>
      </c>
      <c r="AB68" s="253">
        <f t="shared" si="16"/>
        <v>-2319045</v>
      </c>
      <c r="AC68" s="253">
        <f>SUM(H68:AB68)</f>
        <v>-5385756</v>
      </c>
      <c r="AD68" s="254">
        <f>IFERROR(AC68/F68*100,0)/10000000</f>
        <v>0</v>
      </c>
    </row>
    <row r="69" spans="1:34" s="248" customFormat="1" ht="15.75" thickBot="1" x14ac:dyDescent="0.3">
      <c r="A69" s="249"/>
      <c r="B69" s="249"/>
      <c r="C69" s="249"/>
      <c r="D69" s="249"/>
      <c r="E69" s="249"/>
      <c r="F69" s="250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249"/>
      <c r="W69" s="249"/>
      <c r="X69" s="249"/>
      <c r="Y69" s="249"/>
      <c r="Z69" s="249"/>
      <c r="AA69" s="249"/>
      <c r="AB69" s="249"/>
      <c r="AC69" s="249"/>
      <c r="AD69" s="251"/>
    </row>
    <row r="70" spans="1:34" x14ac:dyDescent="0.25">
      <c r="A70" s="201" t="s">
        <v>241</v>
      </c>
      <c r="B70" s="202" t="s">
        <v>240</v>
      </c>
      <c r="C70" s="202" t="s">
        <v>57</v>
      </c>
      <c r="D70" s="202" t="s">
        <v>87</v>
      </c>
      <c r="E70" s="202" t="s">
        <v>256</v>
      </c>
      <c r="F70" s="203">
        <v>3</v>
      </c>
      <c r="G70" s="204"/>
      <c r="H70" s="161">
        <v>4780</v>
      </c>
      <c r="I70" s="161">
        <v>-77556</v>
      </c>
      <c r="J70" s="161">
        <v>0</v>
      </c>
      <c r="K70" s="161">
        <v>-11375</v>
      </c>
      <c r="L70" s="161">
        <v>0</v>
      </c>
      <c r="M70" s="161">
        <v>0</v>
      </c>
      <c r="N70" s="161">
        <v>127500</v>
      </c>
      <c r="O70" s="161">
        <v>37317</v>
      </c>
      <c r="P70" s="161">
        <v>65831</v>
      </c>
      <c r="Q70" s="161">
        <v>-40665</v>
      </c>
      <c r="R70" s="161">
        <v>-78380</v>
      </c>
      <c r="S70" s="161">
        <v>156647</v>
      </c>
      <c r="T70" s="161">
        <v>-45471</v>
      </c>
      <c r="U70" s="161">
        <v>204760</v>
      </c>
      <c r="V70" s="161">
        <v>746</v>
      </c>
      <c r="W70" s="161">
        <v>-29842</v>
      </c>
      <c r="X70" s="161">
        <v>-116040</v>
      </c>
      <c r="Y70" s="161">
        <v>12961</v>
      </c>
      <c r="Z70" s="161">
        <v>-134500</v>
      </c>
      <c r="AA70" s="161">
        <v>0</v>
      </c>
      <c r="AB70" s="245">
        <v>-5183</v>
      </c>
      <c r="AC70" s="246">
        <f>SUM(H70:AB70)</f>
        <v>71530</v>
      </c>
      <c r="AD70" s="247">
        <f>IFERROR(AC70/F70*100,0)/10000000</f>
        <v>0.2384333333333333</v>
      </c>
      <c r="AG70" s="133"/>
    </row>
    <row r="71" spans="1:34" x14ac:dyDescent="0.25">
      <c r="A71" s="201" t="s">
        <v>273</v>
      </c>
      <c r="B71" s="202" t="s">
        <v>272</v>
      </c>
      <c r="C71" s="202" t="s">
        <v>57</v>
      </c>
      <c r="D71" s="202" t="s">
        <v>87</v>
      </c>
      <c r="E71" s="202" t="s">
        <v>256</v>
      </c>
      <c r="F71" s="203"/>
      <c r="G71" s="204"/>
      <c r="H71" s="161">
        <v>0</v>
      </c>
      <c r="I71" s="161">
        <v>-310900</v>
      </c>
      <c r="J71" s="161">
        <v>0</v>
      </c>
      <c r="K71" s="161">
        <v>0</v>
      </c>
      <c r="L71" s="161">
        <v>100</v>
      </c>
      <c r="M71" s="161">
        <v>0</v>
      </c>
      <c r="N71" s="161">
        <v>276000</v>
      </c>
      <c r="O71" s="161">
        <v>0</v>
      </c>
      <c r="P71" s="161">
        <v>0</v>
      </c>
      <c r="Q71" s="161">
        <v>0</v>
      </c>
      <c r="R71" s="161">
        <v>0</v>
      </c>
      <c r="S71" s="161">
        <v>198600</v>
      </c>
      <c r="T71" s="161">
        <v>0</v>
      </c>
      <c r="U71" s="161">
        <v>0</v>
      </c>
      <c r="V71" s="161">
        <v>0</v>
      </c>
      <c r="W71" s="161">
        <v>9894</v>
      </c>
      <c r="X71" s="161">
        <v>40560</v>
      </c>
      <c r="Y71" s="161">
        <v>0</v>
      </c>
      <c r="Z71" s="161">
        <v>0</v>
      </c>
      <c r="AA71" s="161">
        <v>0</v>
      </c>
      <c r="AB71" s="173">
        <v>-16815</v>
      </c>
      <c r="AC71" s="170">
        <f>SUM(H71:AB71)</f>
        <v>197439</v>
      </c>
      <c r="AD71" s="148">
        <f>IFERROR(AC71/F71*100,0)/10000000</f>
        <v>0</v>
      </c>
      <c r="AF71" s="133"/>
    </row>
    <row r="72" spans="1:34" ht="15.75" thickBot="1" x14ac:dyDescent="0.3">
      <c r="A72" s="197"/>
      <c r="B72" s="20"/>
      <c r="C72" s="20"/>
      <c r="D72" s="20"/>
      <c r="E72" s="20"/>
      <c r="F72" s="114"/>
      <c r="G72" s="198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  <c r="AA72" s="150"/>
      <c r="AB72" s="174"/>
      <c r="AC72" s="171"/>
      <c r="AD72" s="66"/>
      <c r="AF72" s="236"/>
      <c r="AG72" s="133"/>
      <c r="AH72" s="236"/>
    </row>
    <row r="73" spans="1:34" ht="15.75" thickBot="1" x14ac:dyDescent="0.3">
      <c r="A73" s="199"/>
      <c r="B73" s="16"/>
      <c r="C73" s="16"/>
      <c r="D73" s="16"/>
      <c r="E73" s="16"/>
      <c r="F73" s="74"/>
      <c r="G73" s="17"/>
      <c r="H73" s="169">
        <f t="shared" ref="H73:AB73" si="17">SUM(H70:H71)</f>
        <v>4780</v>
      </c>
      <c r="I73" s="169">
        <f t="shared" si="17"/>
        <v>-388456</v>
      </c>
      <c r="J73" s="169">
        <f t="shared" si="17"/>
        <v>0</v>
      </c>
      <c r="K73" s="169">
        <f t="shared" si="17"/>
        <v>-11375</v>
      </c>
      <c r="L73" s="169">
        <f t="shared" si="17"/>
        <v>100</v>
      </c>
      <c r="M73" s="169">
        <f t="shared" si="17"/>
        <v>0</v>
      </c>
      <c r="N73" s="169">
        <f t="shared" si="17"/>
        <v>403500</v>
      </c>
      <c r="O73" s="169">
        <f t="shared" si="17"/>
        <v>37317</v>
      </c>
      <c r="P73" s="169">
        <f t="shared" si="17"/>
        <v>65831</v>
      </c>
      <c r="Q73" s="169">
        <f t="shared" si="17"/>
        <v>-40665</v>
      </c>
      <c r="R73" s="169">
        <f t="shared" si="17"/>
        <v>-78380</v>
      </c>
      <c r="S73" s="169">
        <f t="shared" si="17"/>
        <v>355247</v>
      </c>
      <c r="T73" s="169">
        <f t="shared" si="17"/>
        <v>-45471</v>
      </c>
      <c r="U73" s="169">
        <f t="shared" si="17"/>
        <v>204760</v>
      </c>
      <c r="V73" s="169">
        <f t="shared" si="17"/>
        <v>746</v>
      </c>
      <c r="W73" s="169">
        <f t="shared" si="17"/>
        <v>-19948</v>
      </c>
      <c r="X73" s="169">
        <f t="shared" si="17"/>
        <v>-75480</v>
      </c>
      <c r="Y73" s="169">
        <f t="shared" si="17"/>
        <v>12961</v>
      </c>
      <c r="Z73" s="169">
        <f t="shared" si="17"/>
        <v>-134500</v>
      </c>
      <c r="AA73" s="169">
        <f t="shared" si="17"/>
        <v>0</v>
      </c>
      <c r="AB73" s="169">
        <f t="shared" si="17"/>
        <v>-21998</v>
      </c>
      <c r="AC73" s="253">
        <f>SUM(H73:AB73)</f>
        <v>268969</v>
      </c>
      <c r="AD73" s="19"/>
      <c r="AF73" s="5"/>
      <c r="AG73" s="133"/>
      <c r="AH73" s="236"/>
    </row>
    <row r="74" spans="1:34" x14ac:dyDescent="0.25">
      <c r="AF74" s="133"/>
      <c r="AG74" s="133"/>
      <c r="AH74" s="236"/>
    </row>
    <row r="75" spans="1:34" x14ac:dyDescent="0.25">
      <c r="AF75" s="133"/>
      <c r="AG75" s="133"/>
      <c r="AH75" s="236"/>
    </row>
    <row r="76" spans="1:34" x14ac:dyDescent="0.25">
      <c r="AF76" s="133"/>
      <c r="AG76" s="133"/>
      <c r="AH76" s="236"/>
    </row>
    <row r="77" spans="1:34" x14ac:dyDescent="0.25">
      <c r="AF77" s="133"/>
      <c r="AG77" s="133"/>
      <c r="AH77" s="236"/>
    </row>
    <row r="78" spans="1:34" x14ac:dyDescent="0.25">
      <c r="AF78" s="133"/>
      <c r="AG78" s="236"/>
      <c r="AH78" s="236"/>
    </row>
    <row r="79" spans="1:34" x14ac:dyDescent="0.25">
      <c r="AF79" s="236"/>
      <c r="AG79" s="236"/>
      <c r="AH79" s="236"/>
    </row>
  </sheetData>
  <conditionalFormatting sqref="G2 A3:G3 AD47:AD48 AD55:AD57 AD68:AD69 AD50 AD11:AD19 AD21:AD23 AC11:AC24 AC29:AC43 AD29:AD42 AC66:AD67 AC54:AC57 AD73 H2:AD3 A68:G68 AC52:AD52 AC5:AD10 AC58:AD64 AC26:AD27 A70:AD72 A4:AB22 A44:S44 A45:AC50 A73:AB73 A26:AB43 B23:AB25 A52:AB67 B51:AB51">
    <cfRule type="expression" dxfId="424" priority="22">
      <formula>MOD(ROW(),2)=0</formula>
    </cfRule>
  </conditionalFormatting>
  <conditionalFormatting sqref="AD43">
    <cfRule type="expression" dxfId="423" priority="21">
      <formula>MOD(ROW(),2)=0</formula>
    </cfRule>
  </conditionalFormatting>
  <conditionalFormatting sqref="AD46">
    <cfRule type="expression" dxfId="422" priority="20">
      <formula>MOD(ROW(),2)=0</formula>
    </cfRule>
  </conditionalFormatting>
  <conditionalFormatting sqref="AC4:AD4">
    <cfRule type="expression" dxfId="421" priority="19">
      <formula>MOD(ROW(),2)=0</formula>
    </cfRule>
  </conditionalFormatting>
  <conditionalFormatting sqref="AD45">
    <cfRule type="expression" dxfId="420" priority="18">
      <formula>MOD(ROW(),2)=0</formula>
    </cfRule>
  </conditionalFormatting>
  <conditionalFormatting sqref="AD20">
    <cfRule type="expression" dxfId="419" priority="17">
      <formula>MOD(ROW(),2)=0</formula>
    </cfRule>
  </conditionalFormatting>
  <conditionalFormatting sqref="AD54">
    <cfRule type="expression" dxfId="418" priority="16">
      <formula>MOD(ROW(),2)=0</formula>
    </cfRule>
  </conditionalFormatting>
  <conditionalFormatting sqref="AD24">
    <cfRule type="expression" dxfId="417" priority="15">
      <formula>MOD(ROW(),2)=0</formula>
    </cfRule>
  </conditionalFormatting>
  <conditionalFormatting sqref="AC68">
    <cfRule type="expression" dxfId="416" priority="14">
      <formula>MOD(ROW(),2)=0</formula>
    </cfRule>
  </conditionalFormatting>
  <conditionalFormatting sqref="AD49">
    <cfRule type="expression" dxfId="415" priority="13">
      <formula>MOD(ROW(),2)=0</formula>
    </cfRule>
  </conditionalFormatting>
  <conditionalFormatting sqref="AC28:AD28">
    <cfRule type="expression" dxfId="414" priority="12">
      <formula>MOD(ROW(),2)=0</formula>
    </cfRule>
  </conditionalFormatting>
  <conditionalFormatting sqref="AC65:AD65">
    <cfRule type="expression" dxfId="413" priority="11">
      <formula>MOD(ROW(),2)=0</formula>
    </cfRule>
  </conditionalFormatting>
  <conditionalFormatting sqref="AC53:AD53">
    <cfRule type="expression" dxfId="412" priority="10">
      <formula>MOD(ROW(),2)=0</formula>
    </cfRule>
  </conditionalFormatting>
  <conditionalFormatting sqref="AC73">
    <cfRule type="expression" dxfId="411" priority="9">
      <formula>MOD(ROW(),2)=0</formula>
    </cfRule>
  </conditionalFormatting>
  <conditionalFormatting sqref="H68:AB68">
    <cfRule type="expression" dxfId="410" priority="8">
      <formula>MOD(ROW(),2)=0</formula>
    </cfRule>
  </conditionalFormatting>
  <conditionalFormatting sqref="AC51:AD51">
    <cfRule type="expression" dxfId="409" priority="7">
      <formula>MOD(ROW(),2)=0</formula>
    </cfRule>
  </conditionalFormatting>
  <conditionalFormatting sqref="AC25">
    <cfRule type="expression" dxfId="408" priority="6">
      <formula>MOD(ROW(),2)=0</formula>
    </cfRule>
  </conditionalFormatting>
  <conditionalFormatting sqref="AD25">
    <cfRule type="expression" dxfId="407" priority="5">
      <formula>MOD(ROW(),2)=0</formula>
    </cfRule>
  </conditionalFormatting>
  <conditionalFormatting sqref="T44:AC44">
    <cfRule type="expression" dxfId="406" priority="4">
      <formula>MOD(ROW(),2)=0</formula>
    </cfRule>
  </conditionalFormatting>
  <conditionalFormatting sqref="AD44">
    <cfRule type="expression" dxfId="405" priority="3">
      <formula>MOD(ROW(),2)=0</formula>
    </cfRule>
  </conditionalFormatting>
  <conditionalFormatting sqref="A23:A25">
    <cfRule type="expression" dxfId="404" priority="2">
      <formula>MOD(ROW(),2)=0</formula>
    </cfRule>
  </conditionalFormatting>
  <conditionalFormatting sqref="A51">
    <cfRule type="expression" dxfId="403" priority="1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3"/>
  <sheetViews>
    <sheetView topLeftCell="A16" workbookViewId="0">
      <selection activeCell="F36" sqref="F36"/>
    </sheetView>
  </sheetViews>
  <sheetFormatPr defaultRowHeight="15" outlineLevelCol="1" x14ac:dyDescent="0.25"/>
  <cols>
    <col min="1" max="1" width="10.140625" style="132" customWidth="1" outlineLevel="1"/>
    <col min="2" max="2" width="18.7109375" style="132" customWidth="1" outlineLevel="1"/>
    <col min="3" max="3" width="12.42578125" style="132" customWidth="1"/>
    <col min="4" max="4" width="18" style="132" customWidth="1"/>
    <col min="5" max="5" width="9.7109375" style="132" customWidth="1"/>
    <col min="6" max="6" width="6.5703125" style="132" customWidth="1"/>
    <col min="7" max="7" width="1.7109375" style="132" customWidth="1"/>
    <col min="8" max="18" width="11.28515625" style="132" hidden="1" customWidth="1" outlineLevel="1"/>
    <col min="19" max="19" width="11.28515625" style="132" customWidth="1" collapsed="1"/>
    <col min="20" max="30" width="11.28515625" style="132" customWidth="1"/>
    <col min="31" max="31" width="10.42578125" style="132" customWidth="1" outlineLevel="1"/>
    <col min="32" max="32" width="10.7109375" style="132" customWidth="1" outlineLevel="1"/>
    <col min="33" max="38" width="9.140625" style="132"/>
    <col min="39" max="39" width="14.140625" style="132" customWidth="1"/>
    <col min="40" max="40" width="12" style="132" customWidth="1"/>
    <col min="41" max="16384" width="9.140625" style="132"/>
  </cols>
  <sheetData>
    <row r="1" spans="1:40" ht="15.75" thickBot="1" x14ac:dyDescent="0.3"/>
    <row r="2" spans="1:40" ht="15.75" thickBot="1" x14ac:dyDescent="0.3">
      <c r="G2" s="220"/>
      <c r="H2" s="221">
        <v>46204</v>
      </c>
      <c r="I2" s="182">
        <v>46205</v>
      </c>
      <c r="J2" s="182">
        <v>46206</v>
      </c>
      <c r="K2" s="182">
        <v>46209</v>
      </c>
      <c r="L2" s="182">
        <v>46210</v>
      </c>
      <c r="M2" s="182">
        <v>46211</v>
      </c>
      <c r="N2" s="182">
        <v>46212</v>
      </c>
      <c r="O2" s="182">
        <v>46213</v>
      </c>
      <c r="P2" s="182">
        <v>46216</v>
      </c>
      <c r="Q2" s="182">
        <v>46217</v>
      </c>
      <c r="R2" s="182">
        <v>46218</v>
      </c>
      <c r="S2" s="182">
        <v>46219</v>
      </c>
      <c r="T2" s="182">
        <v>46220</v>
      </c>
      <c r="U2" s="182">
        <v>46223</v>
      </c>
      <c r="V2" s="182">
        <v>46224</v>
      </c>
      <c r="W2" s="182">
        <v>46225</v>
      </c>
      <c r="X2" s="182">
        <v>46226</v>
      </c>
      <c r="Y2" s="182">
        <v>46227</v>
      </c>
      <c r="Z2" s="182">
        <v>46230</v>
      </c>
      <c r="AA2" s="182">
        <v>46231</v>
      </c>
      <c r="AB2" s="182">
        <v>46232</v>
      </c>
      <c r="AC2" s="182">
        <v>46233</v>
      </c>
      <c r="AD2" s="182">
        <v>46234</v>
      </c>
      <c r="AE2" s="183" t="s">
        <v>276</v>
      </c>
      <c r="AF2" s="184" t="s">
        <v>277</v>
      </c>
    </row>
    <row r="3" spans="1:40" x14ac:dyDescent="0.25">
      <c r="A3" s="185" t="s">
        <v>54</v>
      </c>
      <c r="B3" s="185" t="s">
        <v>69</v>
      </c>
      <c r="C3" s="185" t="s">
        <v>70</v>
      </c>
      <c r="D3" s="185" t="s">
        <v>2</v>
      </c>
      <c r="E3" s="185" t="s">
        <v>257</v>
      </c>
      <c r="F3" s="186" t="s">
        <v>9</v>
      </c>
      <c r="G3" s="187"/>
      <c r="H3" s="178" t="s">
        <v>237</v>
      </c>
      <c r="I3" s="179" t="s">
        <v>236</v>
      </c>
      <c r="J3" s="179" t="s">
        <v>235</v>
      </c>
      <c r="K3" s="179" t="s">
        <v>234</v>
      </c>
      <c r="L3" s="179" t="s">
        <v>233</v>
      </c>
      <c r="M3" s="179" t="s">
        <v>237</v>
      </c>
      <c r="N3" s="179" t="s">
        <v>236</v>
      </c>
      <c r="O3" s="179" t="s">
        <v>235</v>
      </c>
      <c r="P3" s="179" t="s">
        <v>234</v>
      </c>
      <c r="Q3" s="179" t="s">
        <v>233</v>
      </c>
      <c r="R3" s="179" t="s">
        <v>237</v>
      </c>
      <c r="S3" s="179" t="s">
        <v>236</v>
      </c>
      <c r="T3" s="179" t="s">
        <v>235</v>
      </c>
      <c r="U3" s="179" t="s">
        <v>234</v>
      </c>
      <c r="V3" s="179" t="s">
        <v>233</v>
      </c>
      <c r="W3" s="179" t="s">
        <v>237</v>
      </c>
      <c r="X3" s="179" t="s">
        <v>236</v>
      </c>
      <c r="Y3" s="179" t="s">
        <v>235</v>
      </c>
      <c r="Z3" s="179" t="s">
        <v>234</v>
      </c>
      <c r="AA3" s="179" t="s">
        <v>233</v>
      </c>
      <c r="AB3" s="179" t="s">
        <v>237</v>
      </c>
      <c r="AC3" s="179" t="s">
        <v>236</v>
      </c>
      <c r="AD3" s="179" t="s">
        <v>235</v>
      </c>
      <c r="AE3" s="188"/>
      <c r="AF3" s="179"/>
      <c r="AM3" s="132" t="s">
        <v>198</v>
      </c>
      <c r="AN3" s="132">
        <v>13780</v>
      </c>
    </row>
    <row r="4" spans="1:40" x14ac:dyDescent="0.25">
      <c r="A4" s="141" t="s">
        <v>216</v>
      </c>
      <c r="B4" s="44" t="s">
        <v>215</v>
      </c>
      <c r="C4" s="141" t="s">
        <v>11</v>
      </c>
      <c r="D4" s="141" t="s">
        <v>260</v>
      </c>
      <c r="E4" s="141" t="s">
        <v>256</v>
      </c>
      <c r="F4" s="155">
        <v>0.5</v>
      </c>
      <c r="G4" s="189"/>
      <c r="H4" s="157">
        <v>4790</v>
      </c>
      <c r="I4" s="210">
        <v>-3144</v>
      </c>
      <c r="J4" s="210">
        <v>241</v>
      </c>
      <c r="K4" s="210">
        <v>7866</v>
      </c>
      <c r="L4" s="210">
        <v>-3563</v>
      </c>
      <c r="M4" s="210">
        <v>15540</v>
      </c>
      <c r="N4" s="210">
        <v>-1771</v>
      </c>
      <c r="O4" s="210">
        <v>799</v>
      </c>
      <c r="P4" s="210">
        <v>2854</v>
      </c>
      <c r="Q4" s="210">
        <v>2857</v>
      </c>
      <c r="R4" s="210">
        <v>-16407</v>
      </c>
      <c r="S4" s="210">
        <v>-6242</v>
      </c>
      <c r="T4" s="210">
        <v>16510</v>
      </c>
      <c r="U4" s="210">
        <v>10350</v>
      </c>
      <c r="V4" s="210">
        <v>0</v>
      </c>
      <c r="W4" s="210">
        <v>5535</v>
      </c>
      <c r="X4" s="210">
        <v>-3229</v>
      </c>
      <c r="Y4" s="210">
        <v>-12487</v>
      </c>
      <c r="Z4" s="210">
        <v>-2604</v>
      </c>
      <c r="AA4" s="210">
        <v>-10819</v>
      </c>
      <c r="AB4" s="210">
        <v>-1413</v>
      </c>
      <c r="AC4" s="210">
        <v>-9091</v>
      </c>
      <c r="AD4" s="210">
        <v>-13213</v>
      </c>
      <c r="AE4" s="170">
        <f t="shared" ref="AE4:AE36" si="0">SUM(H4:AD4)</f>
        <v>-16641</v>
      </c>
      <c r="AF4" s="148">
        <f t="shared" ref="AF4:AF36" si="1">IFERROR(AE4/F4*100,0)/10000000</f>
        <v>-0.33282</v>
      </c>
      <c r="AM4" s="132" t="s">
        <v>170</v>
      </c>
      <c r="AN4" s="132">
        <v>2865</v>
      </c>
    </row>
    <row r="5" spans="1:40" x14ac:dyDescent="0.25">
      <c r="A5" s="141" t="s">
        <v>30</v>
      </c>
      <c r="B5" s="140" t="s">
        <v>176</v>
      </c>
      <c r="C5" s="140" t="s">
        <v>6</v>
      </c>
      <c r="D5" s="159" t="s">
        <v>138</v>
      </c>
      <c r="E5" s="159" t="s">
        <v>256</v>
      </c>
      <c r="F5" s="155">
        <v>3</v>
      </c>
      <c r="G5" s="190"/>
      <c r="H5" s="146">
        <v>111270</v>
      </c>
      <c r="I5" s="173">
        <v>-71600</v>
      </c>
      <c r="J5" s="173">
        <v>69550</v>
      </c>
      <c r="K5" s="173">
        <v>132600</v>
      </c>
      <c r="L5" s="173">
        <v>-25400</v>
      </c>
      <c r="M5" s="173">
        <v>-220300</v>
      </c>
      <c r="N5" s="173">
        <v>75319</v>
      </c>
      <c r="O5" s="173">
        <v>209143</v>
      </c>
      <c r="P5" s="173">
        <v>-2000</v>
      </c>
      <c r="Q5" s="173">
        <v>148423</v>
      </c>
      <c r="R5" s="173">
        <v>-142537</v>
      </c>
      <c r="S5" s="173">
        <v>-105029</v>
      </c>
      <c r="T5" s="173">
        <v>-123488</v>
      </c>
      <c r="U5" s="173">
        <v>-24272</v>
      </c>
      <c r="V5" s="173">
        <v>172650</v>
      </c>
      <c r="W5" s="173">
        <v>51000</v>
      </c>
      <c r="X5" s="173">
        <v>-129300</v>
      </c>
      <c r="Y5" s="173">
        <v>3241</v>
      </c>
      <c r="Z5" s="173">
        <v>101900</v>
      </c>
      <c r="AA5" s="173">
        <v>-27154</v>
      </c>
      <c r="AB5" s="173">
        <v>13090</v>
      </c>
      <c r="AC5" s="173">
        <v>-149200</v>
      </c>
      <c r="AD5" s="173">
        <v>62900</v>
      </c>
      <c r="AE5" s="170">
        <f t="shared" si="0"/>
        <v>130806</v>
      </c>
      <c r="AF5" s="148">
        <f t="shared" si="1"/>
        <v>0.43602000000000002</v>
      </c>
    </row>
    <row r="6" spans="1:40" ht="16.5" customHeight="1" x14ac:dyDescent="0.25">
      <c r="A6" s="141" t="s">
        <v>134</v>
      </c>
      <c r="B6" s="140" t="s">
        <v>133</v>
      </c>
      <c r="C6" s="140" t="s">
        <v>135</v>
      </c>
      <c r="D6" s="159" t="s">
        <v>258</v>
      </c>
      <c r="E6" s="159" t="s">
        <v>290</v>
      </c>
      <c r="F6" s="155">
        <v>3</v>
      </c>
      <c r="G6" s="190"/>
      <c r="H6" s="146">
        <v>0</v>
      </c>
      <c r="I6" s="173">
        <v>650</v>
      </c>
      <c r="J6" s="173">
        <v>300</v>
      </c>
      <c r="K6" s="173">
        <v>-125</v>
      </c>
      <c r="L6" s="173">
        <v>300</v>
      </c>
      <c r="M6" s="173">
        <v>-566</v>
      </c>
      <c r="N6" s="173">
        <v>-114964</v>
      </c>
      <c r="O6" s="173">
        <v>147214</v>
      </c>
      <c r="P6" s="173">
        <v>127200</v>
      </c>
      <c r="Q6" s="173">
        <v>34088</v>
      </c>
      <c r="R6" s="173">
        <v>-127466</v>
      </c>
      <c r="S6" s="173">
        <v>3480</v>
      </c>
      <c r="T6" s="173">
        <v>79443</v>
      </c>
      <c r="U6" s="173">
        <v>127000</v>
      </c>
      <c r="V6" s="173">
        <v>23770</v>
      </c>
      <c r="W6" s="173">
        <v>6180</v>
      </c>
      <c r="X6" s="173">
        <v>-36000</v>
      </c>
      <c r="Y6" s="173">
        <v>-140830</v>
      </c>
      <c r="Z6" s="173">
        <v>-377000</v>
      </c>
      <c r="AA6" s="173">
        <v>24283</v>
      </c>
      <c r="AB6" s="173">
        <v>39143</v>
      </c>
      <c r="AC6" s="173">
        <v>140238</v>
      </c>
      <c r="AD6" s="173">
        <v>83400</v>
      </c>
      <c r="AE6" s="170">
        <f t="shared" si="0"/>
        <v>39738</v>
      </c>
      <c r="AF6" s="148">
        <f t="shared" si="1"/>
        <v>0.13245999999999999</v>
      </c>
      <c r="AH6" s="5"/>
      <c r="AI6" s="133">
        <v>3389</v>
      </c>
    </row>
    <row r="7" spans="1:40" x14ac:dyDescent="0.25">
      <c r="A7" s="141" t="s">
        <v>217</v>
      </c>
      <c r="B7" s="140" t="s">
        <v>133</v>
      </c>
      <c r="C7" s="140" t="s">
        <v>96</v>
      </c>
      <c r="D7" s="159" t="s">
        <v>116</v>
      </c>
      <c r="E7" s="159" t="s">
        <v>256</v>
      </c>
      <c r="F7" s="155">
        <v>1.5</v>
      </c>
      <c r="G7" s="190"/>
      <c r="H7" s="146">
        <v>-31750</v>
      </c>
      <c r="I7" s="173">
        <v>-11773</v>
      </c>
      <c r="J7" s="173">
        <v>-6550</v>
      </c>
      <c r="K7" s="173">
        <v>9276</v>
      </c>
      <c r="L7" s="173">
        <v>12580</v>
      </c>
      <c r="M7" s="173">
        <v>22564</v>
      </c>
      <c r="N7" s="173">
        <v>-7637</v>
      </c>
      <c r="O7" s="173">
        <v>-94177</v>
      </c>
      <c r="P7" s="173">
        <v>77149</v>
      </c>
      <c r="Q7" s="173">
        <v>-66903</v>
      </c>
      <c r="R7" s="173">
        <v>8736</v>
      </c>
      <c r="S7" s="173">
        <v>-31072</v>
      </c>
      <c r="T7" s="173">
        <v>18397</v>
      </c>
      <c r="U7" s="173">
        <v>-26088</v>
      </c>
      <c r="V7" s="173">
        <v>19169</v>
      </c>
      <c r="W7" s="173">
        <v>-8889</v>
      </c>
      <c r="X7" s="173">
        <v>22881</v>
      </c>
      <c r="Y7" s="173">
        <v>-96502</v>
      </c>
      <c r="Z7" s="173">
        <v>-24000</v>
      </c>
      <c r="AA7" s="173">
        <v>-30138</v>
      </c>
      <c r="AB7" s="173">
        <v>-10850</v>
      </c>
      <c r="AC7" s="173">
        <v>-76323</v>
      </c>
      <c r="AD7" s="173">
        <v>13418</v>
      </c>
      <c r="AE7" s="170">
        <f t="shared" si="0"/>
        <v>-318482</v>
      </c>
      <c r="AF7" s="148">
        <f t="shared" si="1"/>
        <v>-2.1232133333333336</v>
      </c>
      <c r="AH7" s="133">
        <v>514796</v>
      </c>
      <c r="AI7" s="133"/>
    </row>
    <row r="8" spans="1:40" x14ac:dyDescent="0.25">
      <c r="A8" s="141" t="s">
        <v>313</v>
      </c>
      <c r="B8" s="140" t="s">
        <v>133</v>
      </c>
      <c r="C8" s="140" t="s">
        <v>294</v>
      </c>
      <c r="D8" s="159" t="s">
        <v>116</v>
      </c>
      <c r="E8" s="159"/>
      <c r="F8" s="155">
        <v>0.6</v>
      </c>
      <c r="G8" s="190"/>
      <c r="H8" s="146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>
        <v>0</v>
      </c>
      <c r="T8" s="173">
        <v>0</v>
      </c>
      <c r="U8" s="173">
        <v>-8735</v>
      </c>
      <c r="V8" s="173">
        <v>5536</v>
      </c>
      <c r="W8" s="173">
        <v>1670</v>
      </c>
      <c r="X8" s="173">
        <v>2400</v>
      </c>
      <c r="Y8" s="173">
        <v>-33450</v>
      </c>
      <c r="Z8" s="173">
        <v>-51933</v>
      </c>
      <c r="AA8" s="173">
        <v>-49304</v>
      </c>
      <c r="AB8" s="173">
        <v>-45678</v>
      </c>
      <c r="AC8" s="173">
        <v>33600</v>
      </c>
      <c r="AD8" s="173">
        <v>19861</v>
      </c>
      <c r="AE8" s="170">
        <f t="shared" ref="AE8" si="2">SUM(H8:AD8)</f>
        <v>-126033</v>
      </c>
      <c r="AF8" s="148">
        <f t="shared" ref="AF8" si="3">IFERROR(AE8/F8*100,0)/10000000</f>
        <v>-2.1005500000000001</v>
      </c>
      <c r="AH8" s="133">
        <v>518186</v>
      </c>
      <c r="AI8" s="133">
        <f>(AH8+AH7)/10000000*13780</f>
        <v>1423.449196</v>
      </c>
    </row>
    <row r="9" spans="1:40" x14ac:dyDescent="0.25">
      <c r="A9" s="142" t="s">
        <v>35</v>
      </c>
      <c r="B9" s="140" t="s">
        <v>55</v>
      </c>
      <c r="C9" s="140" t="s">
        <v>79</v>
      </c>
      <c r="D9" s="142" t="s">
        <v>112</v>
      </c>
      <c r="E9" s="142" t="s">
        <v>256</v>
      </c>
      <c r="F9" s="156">
        <v>15</v>
      </c>
      <c r="G9" s="191"/>
      <c r="H9" s="146">
        <v>0</v>
      </c>
      <c r="I9" s="173">
        <v>152862</v>
      </c>
      <c r="J9" s="173">
        <v>0</v>
      </c>
      <c r="K9" s="173">
        <v>173400</v>
      </c>
      <c r="L9" s="173">
        <v>556800</v>
      </c>
      <c r="M9" s="173">
        <v>1296</v>
      </c>
      <c r="N9" s="173">
        <v>1200</v>
      </c>
      <c r="O9" s="173">
        <v>30300</v>
      </c>
      <c r="P9" s="173">
        <v>-663630</v>
      </c>
      <c r="Q9" s="173">
        <v>794821</v>
      </c>
      <c r="R9" s="173">
        <v>36037</v>
      </c>
      <c r="S9" s="173">
        <v>65510</v>
      </c>
      <c r="T9" s="173">
        <v>-247820</v>
      </c>
      <c r="U9" s="173">
        <v>511000</v>
      </c>
      <c r="V9" s="173">
        <v>690400</v>
      </c>
      <c r="W9" s="173">
        <v>0</v>
      </c>
      <c r="X9" s="173">
        <v>0</v>
      </c>
      <c r="Y9" s="173">
        <v>0</v>
      </c>
      <c r="Z9" s="173">
        <v>0</v>
      </c>
      <c r="AA9" s="173">
        <v>216700</v>
      </c>
      <c r="AB9" s="173">
        <v>0</v>
      </c>
      <c r="AC9" s="173">
        <v>17400</v>
      </c>
      <c r="AD9" s="173">
        <v>0</v>
      </c>
      <c r="AE9" s="170">
        <f t="shared" si="0"/>
        <v>2336276</v>
      </c>
      <c r="AF9" s="148">
        <f t="shared" si="1"/>
        <v>1.5575173333333334</v>
      </c>
      <c r="AH9" s="133"/>
      <c r="AI9" s="133"/>
    </row>
    <row r="10" spans="1:40" ht="16.5" customHeight="1" x14ac:dyDescent="0.25">
      <c r="A10" s="142" t="s">
        <v>137</v>
      </c>
      <c r="B10" s="140" t="s">
        <v>122</v>
      </c>
      <c r="C10" s="140" t="s">
        <v>136</v>
      </c>
      <c r="D10" s="142" t="s">
        <v>259</v>
      </c>
      <c r="E10" s="142" t="s">
        <v>256</v>
      </c>
      <c r="F10" s="156">
        <v>6</v>
      </c>
      <c r="G10" s="191"/>
      <c r="H10" s="146">
        <v>0</v>
      </c>
      <c r="I10" s="173">
        <v>34202</v>
      </c>
      <c r="J10" s="173">
        <v>432</v>
      </c>
      <c r="K10" s="173">
        <v>1337</v>
      </c>
      <c r="L10" s="173">
        <v>75680</v>
      </c>
      <c r="M10" s="173">
        <v>-1450</v>
      </c>
      <c r="N10" s="173">
        <v>-147989</v>
      </c>
      <c r="O10" s="173">
        <v>-309</v>
      </c>
      <c r="P10" s="173">
        <v>2810</v>
      </c>
      <c r="Q10" s="173">
        <v>62906</v>
      </c>
      <c r="R10" s="173">
        <v>0</v>
      </c>
      <c r="S10" s="173">
        <v>37592</v>
      </c>
      <c r="T10" s="173">
        <v>-50</v>
      </c>
      <c r="U10" s="173">
        <v>34451</v>
      </c>
      <c r="V10" s="173">
        <v>301487</v>
      </c>
      <c r="W10" s="173">
        <v>0</v>
      </c>
      <c r="X10" s="173">
        <v>61497</v>
      </c>
      <c r="Y10" s="173">
        <v>0</v>
      </c>
      <c r="Z10" s="173">
        <v>18974</v>
      </c>
      <c r="AA10" s="173">
        <v>12660</v>
      </c>
      <c r="AB10" s="173">
        <v>0</v>
      </c>
      <c r="AC10" s="173">
        <v>-88284</v>
      </c>
      <c r="AD10" s="173">
        <v>0</v>
      </c>
      <c r="AE10" s="170">
        <f t="shared" si="0"/>
        <v>405946</v>
      </c>
      <c r="AF10" s="148">
        <f t="shared" si="1"/>
        <v>0.67657666666666672</v>
      </c>
      <c r="AH10" s="133"/>
      <c r="AI10" s="133"/>
    </row>
    <row r="11" spans="1:40" x14ac:dyDescent="0.25">
      <c r="A11" s="142" t="s">
        <v>42</v>
      </c>
      <c r="B11" s="140" t="s">
        <v>230</v>
      </c>
      <c r="C11" s="140" t="s">
        <v>85</v>
      </c>
      <c r="D11" s="142" t="s">
        <v>106</v>
      </c>
      <c r="E11" s="142" t="s">
        <v>107</v>
      </c>
      <c r="F11" s="156">
        <v>1</v>
      </c>
      <c r="G11" s="191"/>
      <c r="H11" s="146">
        <v>20</v>
      </c>
      <c r="I11" s="173"/>
      <c r="J11" s="173">
        <v>3492</v>
      </c>
      <c r="K11" s="173">
        <v>348</v>
      </c>
      <c r="L11" s="173">
        <v>-2103</v>
      </c>
      <c r="M11" s="173">
        <v>-5059</v>
      </c>
      <c r="N11" s="173">
        <v>2186</v>
      </c>
      <c r="O11" s="173">
        <v>-702</v>
      </c>
      <c r="P11" s="173">
        <v>-800</v>
      </c>
      <c r="Q11" s="173">
        <v>-1547</v>
      </c>
      <c r="R11" s="173">
        <v>755</v>
      </c>
      <c r="S11" s="173">
        <v>-400</v>
      </c>
      <c r="T11" s="173">
        <v>76</v>
      </c>
      <c r="U11" s="173">
        <v>1496</v>
      </c>
      <c r="V11" s="173">
        <v>2360</v>
      </c>
      <c r="W11" s="173">
        <v>762</v>
      </c>
      <c r="X11" s="173">
        <v>-900</v>
      </c>
      <c r="Y11" s="173">
        <v>-1012</v>
      </c>
      <c r="Z11" s="173">
        <v>2311</v>
      </c>
      <c r="AA11" s="173">
        <v>-3022</v>
      </c>
      <c r="AB11" s="173">
        <v>651</v>
      </c>
      <c r="AC11" s="173">
        <v>1227</v>
      </c>
      <c r="AD11" s="173">
        <v>955</v>
      </c>
      <c r="AE11" s="170">
        <f t="shared" si="0"/>
        <v>1094</v>
      </c>
      <c r="AF11" s="148">
        <f t="shared" si="1"/>
        <v>1.094E-2</v>
      </c>
      <c r="AH11" s="133"/>
      <c r="AI11" s="133"/>
    </row>
    <row r="12" spans="1:40" x14ac:dyDescent="0.25">
      <c r="A12" s="141" t="s">
        <v>212</v>
      </c>
      <c r="B12" s="140" t="s">
        <v>230</v>
      </c>
      <c r="C12" s="141" t="s">
        <v>12</v>
      </c>
      <c r="D12" s="141" t="s">
        <v>39</v>
      </c>
      <c r="E12" s="141" t="s">
        <v>256</v>
      </c>
      <c r="F12" s="155">
        <v>2.5</v>
      </c>
      <c r="G12" s="193"/>
      <c r="H12" s="146">
        <v>-1440</v>
      </c>
      <c r="I12" s="173">
        <v>3046</v>
      </c>
      <c r="J12" s="173">
        <v>6317</v>
      </c>
      <c r="K12" s="173">
        <v>-42826</v>
      </c>
      <c r="L12" s="173">
        <v>95540</v>
      </c>
      <c r="M12" s="173">
        <v>-32840</v>
      </c>
      <c r="N12" s="173">
        <v>20131</v>
      </c>
      <c r="O12" s="173">
        <v>21943</v>
      </c>
      <c r="P12" s="173">
        <v>-23715</v>
      </c>
      <c r="Q12" s="173">
        <v>100693</v>
      </c>
      <c r="R12" s="173">
        <v>-64865</v>
      </c>
      <c r="S12" s="173">
        <v>4509</v>
      </c>
      <c r="T12" s="173">
        <v>-34848</v>
      </c>
      <c r="U12" s="173">
        <v>46090</v>
      </c>
      <c r="V12" s="173">
        <v>35687</v>
      </c>
      <c r="W12" s="173">
        <v>7587</v>
      </c>
      <c r="X12" s="173">
        <v>-6124</v>
      </c>
      <c r="Y12" s="173">
        <v>0</v>
      </c>
      <c r="Z12" s="173">
        <v>61509</v>
      </c>
      <c r="AA12" s="173">
        <v>27200</v>
      </c>
      <c r="AB12" s="173">
        <v>-2000</v>
      </c>
      <c r="AC12" s="173">
        <v>-36300</v>
      </c>
      <c r="AD12" s="173">
        <v>22216</v>
      </c>
      <c r="AE12" s="170">
        <f t="shared" si="0"/>
        <v>207510</v>
      </c>
      <c r="AF12" s="148">
        <f t="shared" si="1"/>
        <v>0.83004</v>
      </c>
      <c r="AH12" s="133"/>
      <c r="AI12" s="133"/>
    </row>
    <row r="13" spans="1:40" x14ac:dyDescent="0.25">
      <c r="A13" s="141" t="s">
        <v>51</v>
      </c>
      <c r="B13" s="140" t="s">
        <v>171</v>
      </c>
      <c r="C13" s="141" t="s">
        <v>289</v>
      </c>
      <c r="D13" s="141" t="s">
        <v>39</v>
      </c>
      <c r="E13" s="141" t="s">
        <v>256</v>
      </c>
      <c r="F13" s="155">
        <v>2.2000000000000002</v>
      </c>
      <c r="G13" s="193"/>
      <c r="H13" s="146">
        <v>0</v>
      </c>
      <c r="I13" s="173">
        <v>0</v>
      </c>
      <c r="J13" s="173">
        <v>0</v>
      </c>
      <c r="K13" s="173">
        <v>0</v>
      </c>
      <c r="L13" s="173">
        <v>0</v>
      </c>
      <c r="M13" s="173">
        <v>-6198</v>
      </c>
      <c r="N13" s="173">
        <v>0</v>
      </c>
      <c r="O13" s="173">
        <v>0</v>
      </c>
      <c r="P13" s="173">
        <v>-28707</v>
      </c>
      <c r="Q13" s="173">
        <v>27933</v>
      </c>
      <c r="R13" s="173">
        <v>-49016</v>
      </c>
      <c r="S13" s="173">
        <v>12316</v>
      </c>
      <c r="T13" s="173">
        <v>-44146</v>
      </c>
      <c r="U13" s="173">
        <v>47587</v>
      </c>
      <c r="V13" s="173">
        <v>-5520</v>
      </c>
      <c r="W13" s="173">
        <v>-6686</v>
      </c>
      <c r="X13" s="173">
        <v>2157</v>
      </c>
      <c r="Y13" s="173">
        <v>0</v>
      </c>
      <c r="Z13" s="173">
        <v>62648</v>
      </c>
      <c r="AA13" s="173">
        <v>27205</v>
      </c>
      <c r="AB13" s="173">
        <v>-1556</v>
      </c>
      <c r="AC13" s="173">
        <v>-38377</v>
      </c>
      <c r="AD13" s="173">
        <v>20948</v>
      </c>
      <c r="AE13" s="170">
        <f t="shared" si="0"/>
        <v>20588</v>
      </c>
      <c r="AF13" s="148">
        <f t="shared" si="1"/>
        <v>9.3581818181818183E-2</v>
      </c>
      <c r="AH13" s="133"/>
      <c r="AI13" s="192">
        <f>AI6-AI8</f>
        <v>1965.550804</v>
      </c>
      <c r="AL13" s="132">
        <v>57000</v>
      </c>
      <c r="AM13" s="132">
        <v>44900</v>
      </c>
      <c r="AN13" s="132">
        <f>AM13+AL13</f>
        <v>101900</v>
      </c>
    </row>
    <row r="14" spans="1:40" x14ac:dyDescent="0.25">
      <c r="A14" s="141" t="s">
        <v>62</v>
      </c>
      <c r="B14" s="140" t="s">
        <v>114</v>
      </c>
      <c r="C14" s="140" t="s">
        <v>224</v>
      </c>
      <c r="D14" s="141" t="s">
        <v>39</v>
      </c>
      <c r="E14" s="141" t="s">
        <v>253</v>
      </c>
      <c r="F14" s="155">
        <v>1</v>
      </c>
      <c r="G14" s="189"/>
      <c r="H14" s="146">
        <v>0</v>
      </c>
      <c r="I14" s="173">
        <v>7426</v>
      </c>
      <c r="J14" s="173">
        <v>0</v>
      </c>
      <c r="K14" s="173">
        <v>0</v>
      </c>
      <c r="L14" s="173">
        <v>0</v>
      </c>
      <c r="M14" s="173">
        <v>0</v>
      </c>
      <c r="N14" s="173">
        <v>0</v>
      </c>
      <c r="O14" s="173">
        <v>0</v>
      </c>
      <c r="P14" s="173">
        <v>0</v>
      </c>
      <c r="Q14" s="173">
        <v>0</v>
      </c>
      <c r="R14" s="173">
        <v>0</v>
      </c>
      <c r="S14" s="173">
        <v>0</v>
      </c>
      <c r="T14" s="173">
        <v>0</v>
      </c>
      <c r="U14" s="173">
        <v>0</v>
      </c>
      <c r="V14" s="173">
        <v>0</v>
      </c>
      <c r="W14" s="173">
        <v>0</v>
      </c>
      <c r="X14" s="173">
        <v>0</v>
      </c>
      <c r="Y14" s="173">
        <v>0</v>
      </c>
      <c r="Z14" s="173">
        <v>0</v>
      </c>
      <c r="AA14" s="173">
        <v>0</v>
      </c>
      <c r="AB14" s="173">
        <v>0</v>
      </c>
      <c r="AC14" s="173">
        <v>0</v>
      </c>
      <c r="AD14" s="173">
        <v>0</v>
      </c>
      <c r="AE14" s="170">
        <f t="shared" si="0"/>
        <v>7426</v>
      </c>
      <c r="AF14" s="148">
        <f t="shared" si="1"/>
        <v>7.4260000000000007E-2</v>
      </c>
      <c r="AH14" s="133"/>
      <c r="AI14" s="133"/>
    </row>
    <row r="15" spans="1:40" x14ac:dyDescent="0.25">
      <c r="A15" s="141" t="s">
        <v>43</v>
      </c>
      <c r="B15" s="140" t="s">
        <v>84</v>
      </c>
      <c r="C15" s="140" t="s">
        <v>85</v>
      </c>
      <c r="D15" s="141" t="s">
        <v>106</v>
      </c>
      <c r="E15" s="141" t="s">
        <v>107</v>
      </c>
      <c r="F15" s="156">
        <v>1</v>
      </c>
      <c r="G15" s="189"/>
      <c r="H15" s="146">
        <v>3540</v>
      </c>
      <c r="I15" s="173">
        <v>16100</v>
      </c>
      <c r="J15" s="173">
        <v>4670</v>
      </c>
      <c r="K15" s="173">
        <v>9809</v>
      </c>
      <c r="L15" s="173">
        <v>-12294</v>
      </c>
      <c r="M15" s="173">
        <v>-32094</v>
      </c>
      <c r="N15" s="173">
        <v>21039</v>
      </c>
      <c r="O15" s="173">
        <v>10918</v>
      </c>
      <c r="P15" s="173">
        <v>366</v>
      </c>
      <c r="Q15" s="173">
        <v>-9353</v>
      </c>
      <c r="R15" s="173">
        <v>4897</v>
      </c>
      <c r="S15" s="173">
        <v>-1200</v>
      </c>
      <c r="T15" s="173">
        <v>-2527</v>
      </c>
      <c r="U15" s="173">
        <v>13200</v>
      </c>
      <c r="V15" s="173">
        <v>9792</v>
      </c>
      <c r="W15" s="173">
        <v>-8519</v>
      </c>
      <c r="X15" s="173">
        <v>-14795</v>
      </c>
      <c r="Y15" s="173">
        <v>-3739</v>
      </c>
      <c r="Z15" s="173">
        <v>20640</v>
      </c>
      <c r="AA15" s="173">
        <v>-11425</v>
      </c>
      <c r="AB15" s="173">
        <v>15201</v>
      </c>
      <c r="AC15" s="173">
        <v>-2268</v>
      </c>
      <c r="AD15" s="173">
        <v>8310</v>
      </c>
      <c r="AE15" s="170">
        <f t="shared" si="0"/>
        <v>40268</v>
      </c>
      <c r="AF15" s="148">
        <f t="shared" si="1"/>
        <v>0.40267999999999998</v>
      </c>
    </row>
    <row r="16" spans="1:40" x14ac:dyDescent="0.25">
      <c r="A16" s="141" t="s">
        <v>24</v>
      </c>
      <c r="B16" s="140" t="s">
        <v>73</v>
      </c>
      <c r="C16" s="140" t="s">
        <v>58</v>
      </c>
      <c r="D16" s="141" t="s">
        <v>20</v>
      </c>
      <c r="E16" s="141" t="s">
        <v>256</v>
      </c>
      <c r="F16" s="155">
        <v>2.5</v>
      </c>
      <c r="G16" s="189"/>
      <c r="H16" s="146">
        <v>-54200</v>
      </c>
      <c r="I16" s="173">
        <v>0</v>
      </c>
      <c r="J16" s="173">
        <v>121526</v>
      </c>
      <c r="K16" s="173">
        <v>-6963</v>
      </c>
      <c r="L16" s="173">
        <v>0</v>
      </c>
      <c r="M16" s="173">
        <v>-21308</v>
      </c>
      <c r="N16" s="173">
        <v>-90760</v>
      </c>
      <c r="O16" s="173">
        <v>0</v>
      </c>
      <c r="P16" s="173">
        <v>70752</v>
      </c>
      <c r="Q16" s="173">
        <v>75232</v>
      </c>
      <c r="R16" s="173">
        <v>79058</v>
      </c>
      <c r="S16" s="173">
        <v>-43847</v>
      </c>
      <c r="T16" s="173">
        <v>0</v>
      </c>
      <c r="U16" s="173">
        <v>0</v>
      </c>
      <c r="V16" s="173">
        <v>10700</v>
      </c>
      <c r="W16" s="173">
        <v>-41457</v>
      </c>
      <c r="X16" s="173">
        <v>63900</v>
      </c>
      <c r="Y16" s="173">
        <v>0</v>
      </c>
      <c r="Z16" s="173">
        <v>-39000</v>
      </c>
      <c r="AA16" s="173">
        <v>0</v>
      </c>
      <c r="AB16" s="173">
        <v>-30735</v>
      </c>
      <c r="AC16" s="173">
        <v>-24500</v>
      </c>
      <c r="AD16" s="173">
        <v>-20724</v>
      </c>
      <c r="AE16" s="170">
        <f t="shared" si="0"/>
        <v>47674</v>
      </c>
      <c r="AF16" s="148">
        <f t="shared" si="1"/>
        <v>0.19069599999999998</v>
      </c>
    </row>
    <row r="17" spans="1:41" x14ac:dyDescent="0.25">
      <c r="A17" s="141" t="s">
        <v>23</v>
      </c>
      <c r="B17" s="140" t="s">
        <v>74</v>
      </c>
      <c r="C17" s="140" t="s">
        <v>59</v>
      </c>
      <c r="D17" s="141" t="s">
        <v>3</v>
      </c>
      <c r="E17" s="141" t="s">
        <v>256</v>
      </c>
      <c r="F17" s="155">
        <v>4</v>
      </c>
      <c r="G17" s="189"/>
      <c r="H17" s="146">
        <v>47580</v>
      </c>
      <c r="I17" s="173">
        <v>0</v>
      </c>
      <c r="J17" s="173">
        <v>65158</v>
      </c>
      <c r="K17" s="173">
        <v>-1556</v>
      </c>
      <c r="L17" s="173">
        <v>0</v>
      </c>
      <c r="M17" s="173">
        <v>93116</v>
      </c>
      <c r="N17" s="173">
        <v>-128500</v>
      </c>
      <c r="O17" s="173">
        <v>0</v>
      </c>
      <c r="P17" s="173">
        <v>213057</v>
      </c>
      <c r="Q17" s="173">
        <v>-18706</v>
      </c>
      <c r="R17" s="173">
        <v>98037</v>
      </c>
      <c r="S17" s="173">
        <v>117311</v>
      </c>
      <c r="T17" s="173">
        <v>0</v>
      </c>
      <c r="U17" s="173">
        <v>0</v>
      </c>
      <c r="V17" s="173">
        <v>27600</v>
      </c>
      <c r="W17" s="173">
        <v>-49807</v>
      </c>
      <c r="X17" s="173">
        <v>65236</v>
      </c>
      <c r="Y17" s="173">
        <v>0</v>
      </c>
      <c r="Z17" s="173">
        <v>-93605</v>
      </c>
      <c r="AA17" s="173">
        <v>0</v>
      </c>
      <c r="AB17" s="173">
        <v>3564</v>
      </c>
      <c r="AC17" s="173">
        <v>-65559</v>
      </c>
      <c r="AD17" s="173">
        <v>-22909</v>
      </c>
      <c r="AE17" s="170">
        <f t="shared" si="0"/>
        <v>350017</v>
      </c>
      <c r="AF17" s="148">
        <f t="shared" si="1"/>
        <v>0.87504249999999995</v>
      </c>
    </row>
    <row r="18" spans="1:41" x14ac:dyDescent="0.25">
      <c r="A18" s="141" t="s">
        <v>275</v>
      </c>
      <c r="B18" s="140" t="s">
        <v>164</v>
      </c>
      <c r="C18" s="140" t="s">
        <v>274</v>
      </c>
      <c r="D18" s="141" t="s">
        <v>152</v>
      </c>
      <c r="E18" s="141" t="s">
        <v>256</v>
      </c>
      <c r="F18" s="155">
        <v>1</v>
      </c>
      <c r="G18" s="189"/>
      <c r="H18" s="146">
        <v>71</v>
      </c>
      <c r="I18" s="173">
        <v>-1125</v>
      </c>
      <c r="J18" s="173">
        <v>17550</v>
      </c>
      <c r="K18" s="173">
        <v>-2876</v>
      </c>
      <c r="L18" s="173">
        <v>44850</v>
      </c>
      <c r="M18" s="173">
        <v>2250</v>
      </c>
      <c r="N18" s="173">
        <v>-8636</v>
      </c>
      <c r="O18" s="173">
        <v>14776</v>
      </c>
      <c r="P18" s="173">
        <v>-30410</v>
      </c>
      <c r="Q18" s="173">
        <v>-20810</v>
      </c>
      <c r="R18" s="173">
        <v>-38137</v>
      </c>
      <c r="S18" s="173">
        <v>3947</v>
      </c>
      <c r="T18" s="173">
        <v>0</v>
      </c>
      <c r="U18" s="173">
        <v>0</v>
      </c>
      <c r="V18" s="173">
        <v>0</v>
      </c>
      <c r="W18" s="173">
        <v>0</v>
      </c>
      <c r="X18" s="173">
        <v>0</v>
      </c>
      <c r="Y18" s="173">
        <v>0</v>
      </c>
      <c r="Z18" s="173">
        <v>0</v>
      </c>
      <c r="AA18" s="173">
        <v>0</v>
      </c>
      <c r="AB18" s="173">
        <v>0</v>
      </c>
      <c r="AC18" s="173">
        <v>0</v>
      </c>
      <c r="AD18" s="173">
        <v>0</v>
      </c>
      <c r="AE18" s="170">
        <f t="shared" si="0"/>
        <v>-18550</v>
      </c>
      <c r="AF18" s="148">
        <f t="shared" si="1"/>
        <v>-0.1855</v>
      </c>
    </row>
    <row r="19" spans="1:41" x14ac:dyDescent="0.25">
      <c r="A19" s="141" t="s">
        <v>165</v>
      </c>
      <c r="B19" s="140" t="s">
        <v>164</v>
      </c>
      <c r="C19" s="140" t="s">
        <v>223</v>
      </c>
      <c r="D19" s="141" t="s">
        <v>261</v>
      </c>
      <c r="E19" s="141" t="s">
        <v>256</v>
      </c>
      <c r="F19" s="155">
        <v>1.5</v>
      </c>
      <c r="G19" s="189"/>
      <c r="H19" s="146">
        <v>7800</v>
      </c>
      <c r="I19" s="173">
        <v>-15215</v>
      </c>
      <c r="J19" s="173">
        <v>-7500</v>
      </c>
      <c r="K19" s="173">
        <v>44350</v>
      </c>
      <c r="L19" s="173">
        <v>-56040</v>
      </c>
      <c r="M19" s="173">
        <v>93247</v>
      </c>
      <c r="N19" s="173">
        <v>-42442</v>
      </c>
      <c r="O19" s="173">
        <v>37818</v>
      </c>
      <c r="P19" s="173">
        <v>18985</v>
      </c>
      <c r="Q19" s="173">
        <v>70778</v>
      </c>
      <c r="R19" s="173">
        <v>-23919</v>
      </c>
      <c r="S19" s="173">
        <v>26823</v>
      </c>
      <c r="T19" s="173">
        <v>46200</v>
      </c>
      <c r="U19" s="173">
        <v>22600</v>
      </c>
      <c r="V19" s="173">
        <v>71650</v>
      </c>
      <c r="W19" s="173">
        <v>45400</v>
      </c>
      <c r="X19" s="173">
        <v>-16330</v>
      </c>
      <c r="Y19" s="173">
        <v>-22680</v>
      </c>
      <c r="Z19" s="173">
        <v>34733</v>
      </c>
      <c r="AA19" s="173">
        <v>-12200</v>
      </c>
      <c r="AB19" s="173">
        <v>22000</v>
      </c>
      <c r="AC19" s="173">
        <v>-224584</v>
      </c>
      <c r="AD19" s="173">
        <v>-21126</v>
      </c>
      <c r="AE19" s="170">
        <f>SUM(H19:AD19)</f>
        <v>100348</v>
      </c>
      <c r="AF19" s="148">
        <f>IFERROR(AE19/F19*100,0)/10000000</f>
        <v>0.66898666666666673</v>
      </c>
    </row>
    <row r="20" spans="1:41" x14ac:dyDescent="0.25">
      <c r="A20" s="141" t="s">
        <v>110</v>
      </c>
      <c r="B20" s="140" t="s">
        <v>111</v>
      </c>
      <c r="C20" s="140" t="s">
        <v>109</v>
      </c>
      <c r="D20" s="141" t="s">
        <v>152</v>
      </c>
      <c r="E20" s="141" t="s">
        <v>256</v>
      </c>
      <c r="F20" s="155">
        <v>1.1000000000000001</v>
      </c>
      <c r="G20" s="189"/>
      <c r="H20" s="146">
        <v>24875</v>
      </c>
      <c r="I20" s="173">
        <v>21210</v>
      </c>
      <c r="J20" s="173">
        <v>14964</v>
      </c>
      <c r="K20" s="173">
        <v>5890</v>
      </c>
      <c r="L20" s="173">
        <v>10407</v>
      </c>
      <c r="M20" s="173">
        <v>-20698</v>
      </c>
      <c r="N20" s="173">
        <v>2097</v>
      </c>
      <c r="O20" s="173">
        <v>20173</v>
      </c>
      <c r="P20" s="173">
        <v>16030</v>
      </c>
      <c r="Q20" s="173">
        <v>11795</v>
      </c>
      <c r="R20" s="173">
        <v>5355</v>
      </c>
      <c r="S20" s="173">
        <v>14887</v>
      </c>
      <c r="T20" s="173">
        <v>-51935</v>
      </c>
      <c r="U20" s="173">
        <v>49870</v>
      </c>
      <c r="V20" s="173">
        <v>10480</v>
      </c>
      <c r="W20" s="173">
        <v>0</v>
      </c>
      <c r="X20" s="173">
        <v>0</v>
      </c>
      <c r="Y20" s="173">
        <v>-51923</v>
      </c>
      <c r="Z20" s="173">
        <v>0</v>
      </c>
      <c r="AA20" s="173">
        <v>0</v>
      </c>
      <c r="AB20" s="173">
        <v>0</v>
      </c>
      <c r="AC20" s="173">
        <v>2062</v>
      </c>
      <c r="AD20" s="173">
        <v>-25454</v>
      </c>
      <c r="AE20" s="170">
        <f t="shared" si="0"/>
        <v>60085</v>
      </c>
      <c r="AF20" s="148">
        <f t="shared" si="1"/>
        <v>0.54622727272727267</v>
      </c>
    </row>
    <row r="21" spans="1:41" x14ac:dyDescent="0.25">
      <c r="A21" s="141" t="s">
        <v>319</v>
      </c>
      <c r="B21" s="140" t="s">
        <v>321</v>
      </c>
      <c r="C21" s="140" t="s">
        <v>283</v>
      </c>
      <c r="D21" s="141" t="s">
        <v>152</v>
      </c>
      <c r="E21" s="141" t="s">
        <v>256</v>
      </c>
      <c r="F21" s="155">
        <v>0.25</v>
      </c>
      <c r="G21" s="189"/>
      <c r="H21" s="146">
        <v>0</v>
      </c>
      <c r="I21" s="173">
        <v>3635</v>
      </c>
      <c r="J21" s="173">
        <v>-1348</v>
      </c>
      <c r="K21" s="173">
        <v>-1260</v>
      </c>
      <c r="L21" s="173">
        <v>12355</v>
      </c>
      <c r="M21" s="173">
        <v>-3878</v>
      </c>
      <c r="N21" s="173">
        <v>-15727</v>
      </c>
      <c r="O21" s="173">
        <v>2456</v>
      </c>
      <c r="P21" s="173">
        <v>-13555</v>
      </c>
      <c r="Q21" s="173">
        <v>-702</v>
      </c>
      <c r="R21" s="173">
        <v>1200</v>
      </c>
      <c r="S21" s="173">
        <v>7717</v>
      </c>
      <c r="T21" s="173">
        <v>-16132</v>
      </c>
      <c r="U21" s="173">
        <v>14800</v>
      </c>
      <c r="V21" s="173">
        <v>24317</v>
      </c>
      <c r="W21" s="173">
        <v>-26316</v>
      </c>
      <c r="X21" s="173">
        <v>5568</v>
      </c>
      <c r="Y21" s="173">
        <v>-1924</v>
      </c>
      <c r="Z21" s="173">
        <v>1115</v>
      </c>
      <c r="AA21" s="173">
        <v>7751</v>
      </c>
      <c r="AB21" s="173">
        <v>9340</v>
      </c>
      <c r="AC21" s="173">
        <v>18850</v>
      </c>
      <c r="AD21" s="173">
        <v>282</v>
      </c>
      <c r="AE21" s="170">
        <f t="shared" si="0"/>
        <v>28544</v>
      </c>
      <c r="AF21" s="148">
        <f t="shared" si="1"/>
        <v>1.1417600000000001</v>
      </c>
    </row>
    <row r="22" spans="1:41" x14ac:dyDescent="0.25">
      <c r="A22" s="141" t="s">
        <v>316</v>
      </c>
      <c r="B22" s="140" t="s">
        <v>282</v>
      </c>
      <c r="C22" s="140" t="s">
        <v>38</v>
      </c>
      <c r="D22" s="141" t="s">
        <v>152</v>
      </c>
      <c r="E22" s="141" t="s">
        <v>256</v>
      </c>
      <c r="F22" s="155">
        <v>2</v>
      </c>
      <c r="G22" s="189"/>
      <c r="H22" s="146">
        <v>-50</v>
      </c>
      <c r="I22" s="173">
        <v>3717</v>
      </c>
      <c r="J22" s="173">
        <v>-1518</v>
      </c>
      <c r="K22" s="173">
        <v>2873</v>
      </c>
      <c r="L22" s="173">
        <v>2380</v>
      </c>
      <c r="M22" s="173">
        <v>-56420</v>
      </c>
      <c r="N22" s="173">
        <v>5972</v>
      </c>
      <c r="O22" s="173">
        <v>0</v>
      </c>
      <c r="P22" s="173">
        <v>-3600</v>
      </c>
      <c r="Q22" s="173">
        <v>0</v>
      </c>
      <c r="R22" s="173">
        <v>1660</v>
      </c>
      <c r="S22" s="173">
        <v>0</v>
      </c>
      <c r="T22" s="173">
        <v>0</v>
      </c>
      <c r="U22" s="173">
        <v>1663</v>
      </c>
      <c r="V22" s="173">
        <v>0</v>
      </c>
      <c r="W22" s="173">
        <v>1411</v>
      </c>
      <c r="X22" s="173">
        <v>3247</v>
      </c>
      <c r="Y22" s="173">
        <v>6190</v>
      </c>
      <c r="Z22" s="173">
        <v>6796</v>
      </c>
      <c r="AA22" s="173">
        <v>5877</v>
      </c>
      <c r="AB22" s="173">
        <v>0</v>
      </c>
      <c r="AC22" s="173">
        <v>4586</v>
      </c>
      <c r="AD22" s="173">
        <v>0</v>
      </c>
      <c r="AE22" s="170">
        <f t="shared" si="0"/>
        <v>-15216</v>
      </c>
      <c r="AF22" s="148">
        <f t="shared" si="1"/>
        <v>-7.6079999999999995E-2</v>
      </c>
    </row>
    <row r="23" spans="1:41" x14ac:dyDescent="0.25">
      <c r="A23" s="141" t="s">
        <v>32</v>
      </c>
      <c r="B23" s="140" t="s">
        <v>63</v>
      </c>
      <c r="C23" s="141" t="s">
        <v>21</v>
      </c>
      <c r="D23" s="141" t="s">
        <v>40</v>
      </c>
      <c r="E23" s="141" t="s">
        <v>256</v>
      </c>
      <c r="F23" s="155">
        <v>1.1000000000000001</v>
      </c>
      <c r="G23" s="190"/>
      <c r="H23" s="146">
        <v>16930</v>
      </c>
      <c r="I23" s="173">
        <v>4307</v>
      </c>
      <c r="J23" s="173">
        <v>101709</v>
      </c>
      <c r="K23" s="173">
        <v>86866</v>
      </c>
      <c r="L23" s="173">
        <v>99700</v>
      </c>
      <c r="M23" s="173">
        <v>-50943</v>
      </c>
      <c r="N23" s="173">
        <v>-42439</v>
      </c>
      <c r="O23" s="173">
        <v>36329</v>
      </c>
      <c r="P23" s="173">
        <v>-22950</v>
      </c>
      <c r="Q23" s="173">
        <v>38905</v>
      </c>
      <c r="R23" s="173">
        <v>-77108</v>
      </c>
      <c r="S23" s="173">
        <v>20986</v>
      </c>
      <c r="T23" s="173">
        <v>-50700</v>
      </c>
      <c r="U23" s="173">
        <v>-11018</v>
      </c>
      <c r="V23" s="173">
        <v>71425</v>
      </c>
      <c r="W23" s="173">
        <v>15670</v>
      </c>
      <c r="X23" s="173">
        <v>26521</v>
      </c>
      <c r="Y23" s="173">
        <v>-2134</v>
      </c>
      <c r="Z23" s="173">
        <v>11276</v>
      </c>
      <c r="AA23" s="173">
        <v>29627</v>
      </c>
      <c r="AB23" s="173">
        <v>34780</v>
      </c>
      <c r="AC23" s="173">
        <v>-21700</v>
      </c>
      <c r="AD23" s="173">
        <v>14652</v>
      </c>
      <c r="AE23" s="170">
        <f t="shared" si="0"/>
        <v>330691</v>
      </c>
      <c r="AF23" s="148">
        <f t="shared" si="1"/>
        <v>3.0062818181818174</v>
      </c>
    </row>
    <row r="24" spans="1:41" x14ac:dyDescent="0.25">
      <c r="A24" s="141" t="s">
        <v>97</v>
      </c>
      <c r="B24" s="140" t="s">
        <v>68</v>
      </c>
      <c r="C24" s="140" t="s">
        <v>206</v>
      </c>
      <c r="D24" s="141" t="s">
        <v>107</v>
      </c>
      <c r="E24" s="141" t="s">
        <v>107</v>
      </c>
      <c r="F24" s="155">
        <v>2.2999999999999998</v>
      </c>
      <c r="G24" s="190"/>
      <c r="H24" s="146">
        <v>75300</v>
      </c>
      <c r="I24" s="173">
        <v>242600</v>
      </c>
      <c r="J24" s="173">
        <v>140690</v>
      </c>
      <c r="K24" s="173">
        <v>190993</v>
      </c>
      <c r="L24" s="173">
        <v>-78000</v>
      </c>
      <c r="M24" s="173">
        <v>-596602</v>
      </c>
      <c r="N24" s="173">
        <v>198424</v>
      </c>
      <c r="O24" s="173">
        <v>376600</v>
      </c>
      <c r="P24" s="173">
        <v>10845</v>
      </c>
      <c r="Q24" s="173">
        <v>-147458</v>
      </c>
      <c r="R24" s="173">
        <v>75988</v>
      </c>
      <c r="S24" s="173">
        <v>-52424</v>
      </c>
      <c r="T24" s="173">
        <v>-2730</v>
      </c>
      <c r="U24" s="173">
        <v>161000</v>
      </c>
      <c r="V24" s="173">
        <v>81800</v>
      </c>
      <c r="W24" s="173">
        <v>-264300</v>
      </c>
      <c r="X24" s="173">
        <v>-230700</v>
      </c>
      <c r="Y24" s="173">
        <v>24235</v>
      </c>
      <c r="Z24" s="173">
        <v>312000</v>
      </c>
      <c r="AA24" s="173">
        <v>45700</v>
      </c>
      <c r="AB24" s="173">
        <v>253603</v>
      </c>
      <c r="AC24" s="173">
        <v>-54332</v>
      </c>
      <c r="AD24" s="173">
        <v>117600</v>
      </c>
      <c r="AE24" s="170">
        <f t="shared" si="0"/>
        <v>880832</v>
      </c>
      <c r="AF24" s="148">
        <f t="shared" si="1"/>
        <v>3.8297043478260866</v>
      </c>
    </row>
    <row r="25" spans="1:41" x14ac:dyDescent="0.25">
      <c r="A25" s="141" t="s">
        <v>302</v>
      </c>
      <c r="B25" s="140" t="s">
        <v>297</v>
      </c>
      <c r="C25" s="140" t="s">
        <v>298</v>
      </c>
      <c r="D25" s="141"/>
      <c r="E25" s="141" t="s">
        <v>256</v>
      </c>
      <c r="F25" s="155">
        <v>0.2</v>
      </c>
      <c r="G25" s="190"/>
      <c r="H25" s="146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>
        <v>0</v>
      </c>
      <c r="V25" s="173">
        <v>0</v>
      </c>
      <c r="W25" s="173">
        <v>0</v>
      </c>
      <c r="X25" s="173">
        <v>0</v>
      </c>
      <c r="Y25" s="173">
        <v>0</v>
      </c>
      <c r="Z25" s="173">
        <v>0</v>
      </c>
      <c r="AA25" s="173">
        <v>-50</v>
      </c>
      <c r="AB25" s="173">
        <v>-1190</v>
      </c>
      <c r="AC25" s="173">
        <v>-441</v>
      </c>
      <c r="AD25" s="173">
        <v>-813</v>
      </c>
      <c r="AE25" s="170">
        <f t="shared" ref="AE25" si="4">SUM(H25:AD25)</f>
        <v>-2494</v>
      </c>
      <c r="AF25" s="148">
        <f t="shared" ref="AF25" si="5">IFERROR(AE25/F25*100,0)/10000000</f>
        <v>-0.12470000000000001</v>
      </c>
    </row>
    <row r="26" spans="1:41" x14ac:dyDescent="0.25">
      <c r="A26" s="141" t="s">
        <v>29</v>
      </c>
      <c r="B26" s="140" t="s">
        <v>22</v>
      </c>
      <c r="C26" s="140" t="s">
        <v>151</v>
      </c>
      <c r="D26" s="141" t="s">
        <v>5</v>
      </c>
      <c r="E26" s="141" t="s">
        <v>256</v>
      </c>
      <c r="F26" s="155">
        <v>5</v>
      </c>
      <c r="G26" s="190"/>
      <c r="H26" s="146">
        <v>180000</v>
      </c>
      <c r="I26" s="173">
        <v>93400</v>
      </c>
      <c r="J26" s="173">
        <v>327530</v>
      </c>
      <c r="K26" s="173">
        <v>233700</v>
      </c>
      <c r="L26" s="173">
        <v>0</v>
      </c>
      <c r="M26" s="173">
        <v>42900</v>
      </c>
      <c r="N26" s="173">
        <v>-666900</v>
      </c>
      <c r="O26" s="173">
        <v>0</v>
      </c>
      <c r="P26" s="173">
        <v>282500</v>
      </c>
      <c r="Q26" s="173">
        <v>-7300</v>
      </c>
      <c r="R26" s="173">
        <v>215900</v>
      </c>
      <c r="S26" s="173">
        <v>-60400</v>
      </c>
      <c r="T26" s="173">
        <v>0</v>
      </c>
      <c r="U26" s="173">
        <v>0</v>
      </c>
      <c r="V26" s="173">
        <v>80000</v>
      </c>
      <c r="W26" s="173">
        <v>-214000</v>
      </c>
      <c r="X26" s="173">
        <v>-209700</v>
      </c>
      <c r="Y26" s="173">
        <v>0</v>
      </c>
      <c r="Z26" s="173">
        <v>-261400</v>
      </c>
      <c r="AA26" s="173">
        <v>0</v>
      </c>
      <c r="AB26" s="173">
        <v>-35800</v>
      </c>
      <c r="AC26" s="173">
        <v>-98900</v>
      </c>
      <c r="AD26" s="173">
        <v>0</v>
      </c>
      <c r="AE26" s="170">
        <f t="shared" si="0"/>
        <v>-98470</v>
      </c>
      <c r="AF26" s="148">
        <f t="shared" si="1"/>
        <v>-0.19694</v>
      </c>
    </row>
    <row r="27" spans="1:41" x14ac:dyDescent="0.25">
      <c r="A27" s="141" t="s">
        <v>28</v>
      </c>
      <c r="B27" s="140" t="s">
        <v>155</v>
      </c>
      <c r="C27" s="140" t="s">
        <v>121</v>
      </c>
      <c r="D27" s="141" t="s">
        <v>91</v>
      </c>
      <c r="E27" s="141" t="s">
        <v>256</v>
      </c>
      <c r="F27" s="155">
        <v>10</v>
      </c>
      <c r="G27" s="190"/>
      <c r="H27" s="146">
        <v>426413</v>
      </c>
      <c r="I27" s="173">
        <v>428266</v>
      </c>
      <c r="J27" s="173">
        <v>0</v>
      </c>
      <c r="K27" s="173">
        <v>0</v>
      </c>
      <c r="L27" s="173">
        <v>347380</v>
      </c>
      <c r="M27" s="173">
        <v>37644</v>
      </c>
      <c r="N27" s="173">
        <v>-340535</v>
      </c>
      <c r="O27" s="173">
        <v>300</v>
      </c>
      <c r="P27" s="173">
        <v>-27222</v>
      </c>
      <c r="Q27" s="173">
        <v>402023</v>
      </c>
      <c r="R27" s="173">
        <v>281921</v>
      </c>
      <c r="S27" s="173">
        <v>245200</v>
      </c>
      <c r="T27" s="173">
        <v>0</v>
      </c>
      <c r="U27" s="173">
        <v>0</v>
      </c>
      <c r="V27" s="173">
        <v>454200</v>
      </c>
      <c r="W27" s="173">
        <v>13500</v>
      </c>
      <c r="X27" s="173">
        <v>502600</v>
      </c>
      <c r="Y27" s="173">
        <v>0</v>
      </c>
      <c r="Z27" s="173">
        <v>0</v>
      </c>
      <c r="AA27" s="173">
        <v>408800</v>
      </c>
      <c r="AB27" s="173">
        <v>20145</v>
      </c>
      <c r="AC27" s="173">
        <v>71462</v>
      </c>
      <c r="AD27" s="173">
        <v>0</v>
      </c>
      <c r="AE27" s="170">
        <f t="shared" si="0"/>
        <v>3272097</v>
      </c>
      <c r="AF27" s="148">
        <f t="shared" si="1"/>
        <v>3.272097</v>
      </c>
    </row>
    <row r="28" spans="1:41" x14ac:dyDescent="0.25">
      <c r="A28" s="141" t="s">
        <v>191</v>
      </c>
      <c r="B28" s="140" t="s">
        <v>184</v>
      </c>
      <c r="C28" s="140" t="s">
        <v>185</v>
      </c>
      <c r="D28" s="141" t="s">
        <v>91</v>
      </c>
      <c r="E28" s="141" t="s">
        <v>256</v>
      </c>
      <c r="F28" s="155">
        <v>13</v>
      </c>
      <c r="G28" s="189"/>
      <c r="H28" s="146">
        <v>542629</v>
      </c>
      <c r="I28" s="173">
        <v>546400</v>
      </c>
      <c r="J28" s="173">
        <v>0</v>
      </c>
      <c r="K28" s="173">
        <v>0</v>
      </c>
      <c r="L28" s="173">
        <v>437550</v>
      </c>
      <c r="M28" s="173">
        <v>45970</v>
      </c>
      <c r="N28" s="173">
        <v>-2048050</v>
      </c>
      <c r="O28" s="173">
        <v>100</v>
      </c>
      <c r="P28" s="173">
        <v>-32800</v>
      </c>
      <c r="Q28" s="173">
        <v>543000</v>
      </c>
      <c r="R28" s="173">
        <v>279065</v>
      </c>
      <c r="S28" s="173">
        <v>326100</v>
      </c>
      <c r="T28" s="173">
        <v>0</v>
      </c>
      <c r="U28" s="173">
        <v>0</v>
      </c>
      <c r="V28" s="173">
        <v>602260</v>
      </c>
      <c r="W28" s="173">
        <v>30800</v>
      </c>
      <c r="X28" s="173">
        <v>604100</v>
      </c>
      <c r="Y28" s="173">
        <v>0</v>
      </c>
      <c r="Z28" s="173">
        <v>0</v>
      </c>
      <c r="AA28" s="173">
        <v>529700</v>
      </c>
      <c r="AB28" s="173">
        <v>33464</v>
      </c>
      <c r="AC28" s="173">
        <v>83700</v>
      </c>
      <c r="AD28" s="173">
        <v>0</v>
      </c>
      <c r="AE28" s="170">
        <f t="shared" si="0"/>
        <v>2523988</v>
      </c>
      <c r="AF28" s="148">
        <f t="shared" si="1"/>
        <v>1.9415292307692309</v>
      </c>
      <c r="AI28" s="132">
        <v>-35500</v>
      </c>
    </row>
    <row r="29" spans="1:41" x14ac:dyDescent="0.25">
      <c r="A29" s="141" t="s">
        <v>194</v>
      </c>
      <c r="B29" s="140" t="s">
        <v>178</v>
      </c>
      <c r="C29" s="140" t="s">
        <v>180</v>
      </c>
      <c r="D29" s="141" t="s">
        <v>91</v>
      </c>
      <c r="E29" s="141" t="s">
        <v>256</v>
      </c>
      <c r="F29" s="155">
        <v>6</v>
      </c>
      <c r="G29" s="189"/>
      <c r="H29" s="146">
        <v>241600</v>
      </c>
      <c r="I29" s="173">
        <v>242400</v>
      </c>
      <c r="J29" s="173">
        <v>0</v>
      </c>
      <c r="K29" s="173">
        <v>0</v>
      </c>
      <c r="L29" s="173">
        <v>194660</v>
      </c>
      <c r="M29" s="173">
        <v>2857</v>
      </c>
      <c r="N29" s="173">
        <v>-959689</v>
      </c>
      <c r="O29" s="173">
        <v>0</v>
      </c>
      <c r="P29" s="173">
        <v>-14150</v>
      </c>
      <c r="Q29" s="173">
        <v>240900</v>
      </c>
      <c r="R29" s="173">
        <v>122900</v>
      </c>
      <c r="S29" s="173">
        <v>145000</v>
      </c>
      <c r="T29" s="173">
        <v>0</v>
      </c>
      <c r="U29" s="173">
        <v>0</v>
      </c>
      <c r="V29" s="173">
        <v>267000</v>
      </c>
      <c r="W29" s="173">
        <v>13400</v>
      </c>
      <c r="X29" s="173">
        <v>267600</v>
      </c>
      <c r="Y29" s="173">
        <v>0</v>
      </c>
      <c r="Z29" s="173">
        <v>0</v>
      </c>
      <c r="AA29" s="173">
        <v>235100</v>
      </c>
      <c r="AB29" s="173">
        <v>15444</v>
      </c>
      <c r="AC29" s="173">
        <v>36900</v>
      </c>
      <c r="AD29" s="173">
        <v>0</v>
      </c>
      <c r="AE29" s="170">
        <f t="shared" si="0"/>
        <v>1051922</v>
      </c>
      <c r="AF29" s="148">
        <f t="shared" si="1"/>
        <v>1.7532033333333337</v>
      </c>
      <c r="AI29" s="132">
        <v>-63400</v>
      </c>
      <c r="AL29" s="132">
        <v>90975</v>
      </c>
      <c r="AO29" s="132">
        <v>-38200</v>
      </c>
    </row>
    <row r="30" spans="1:41" x14ac:dyDescent="0.25">
      <c r="A30" s="141" t="s">
        <v>147</v>
      </c>
      <c r="B30" s="140" t="s">
        <v>146</v>
      </c>
      <c r="C30" s="140" t="s">
        <v>140</v>
      </c>
      <c r="D30" s="141" t="s">
        <v>91</v>
      </c>
      <c r="E30" s="141" t="s">
        <v>256</v>
      </c>
      <c r="F30" s="155">
        <v>1.5</v>
      </c>
      <c r="G30" s="189"/>
      <c r="H30" s="146">
        <v>60264</v>
      </c>
      <c r="I30" s="173">
        <v>60825</v>
      </c>
      <c r="J30" s="173">
        <v>0</v>
      </c>
      <c r="K30" s="173">
        <v>0</v>
      </c>
      <c r="L30" s="173">
        <v>48650</v>
      </c>
      <c r="M30" s="173">
        <v>-2319</v>
      </c>
      <c r="N30" s="173">
        <v>-239941</v>
      </c>
      <c r="O30" s="173">
        <v>0</v>
      </c>
      <c r="P30" s="173">
        <v>-3600</v>
      </c>
      <c r="Q30" s="173">
        <v>60366</v>
      </c>
      <c r="R30" s="173">
        <v>30860</v>
      </c>
      <c r="S30" s="173">
        <v>36200</v>
      </c>
      <c r="T30" s="173">
        <v>0</v>
      </c>
      <c r="U30" s="173">
        <v>0</v>
      </c>
      <c r="V30" s="173">
        <v>66880</v>
      </c>
      <c r="W30" s="173">
        <v>3400</v>
      </c>
      <c r="X30" s="173">
        <v>67200</v>
      </c>
      <c r="Y30" s="173">
        <v>0</v>
      </c>
      <c r="Z30" s="173">
        <v>0</v>
      </c>
      <c r="AA30" s="173">
        <v>58800</v>
      </c>
      <c r="AB30" s="173">
        <v>3880</v>
      </c>
      <c r="AC30" s="173">
        <v>9300</v>
      </c>
      <c r="AD30" s="173">
        <v>0</v>
      </c>
      <c r="AE30" s="170">
        <f t="shared" si="0"/>
        <v>260765</v>
      </c>
      <c r="AF30" s="148">
        <f t="shared" si="1"/>
        <v>1.7384333333333335</v>
      </c>
      <c r="AI30" s="132">
        <v>0</v>
      </c>
      <c r="AL30" s="132">
        <v>-31616</v>
      </c>
      <c r="AO30" s="132">
        <v>11900</v>
      </c>
    </row>
    <row r="31" spans="1:41" x14ac:dyDescent="0.25">
      <c r="A31" s="162" t="s">
        <v>205</v>
      </c>
      <c r="B31" s="140" t="s">
        <v>203</v>
      </c>
      <c r="C31" s="140" t="s">
        <v>204</v>
      </c>
      <c r="D31" s="141" t="s">
        <v>91</v>
      </c>
      <c r="E31" s="162" t="s">
        <v>256</v>
      </c>
      <c r="F31" s="163">
        <v>1.25</v>
      </c>
      <c r="G31" s="194"/>
      <c r="H31" s="150">
        <v>60478</v>
      </c>
      <c r="I31" s="173">
        <v>60700</v>
      </c>
      <c r="J31" s="173">
        <v>0</v>
      </c>
      <c r="K31" s="173">
        <v>0</v>
      </c>
      <c r="L31" s="173">
        <v>48600</v>
      </c>
      <c r="M31" s="173">
        <v>990</v>
      </c>
      <c r="N31" s="173">
        <v>-233040</v>
      </c>
      <c r="O31" s="173">
        <v>0</v>
      </c>
      <c r="P31" s="173">
        <v>-3434</v>
      </c>
      <c r="Q31" s="173">
        <v>60000</v>
      </c>
      <c r="R31" s="173">
        <v>31123</v>
      </c>
      <c r="S31" s="173">
        <v>36300</v>
      </c>
      <c r="T31" s="173">
        <v>0</v>
      </c>
      <c r="U31" s="173">
        <v>0</v>
      </c>
      <c r="V31" s="173">
        <v>66830</v>
      </c>
      <c r="W31" s="173">
        <v>3400</v>
      </c>
      <c r="X31" s="173">
        <v>67000</v>
      </c>
      <c r="Y31" s="173">
        <v>0</v>
      </c>
      <c r="Z31" s="173">
        <v>0</v>
      </c>
      <c r="AA31" s="173">
        <v>58600</v>
      </c>
      <c r="AB31" s="173">
        <v>3900</v>
      </c>
      <c r="AC31" s="173">
        <v>9300</v>
      </c>
      <c r="AD31" s="173">
        <v>0</v>
      </c>
      <c r="AE31" s="170">
        <f t="shared" si="0"/>
        <v>270747</v>
      </c>
      <c r="AF31" s="148">
        <f t="shared" si="1"/>
        <v>2.1659760000000001</v>
      </c>
    </row>
    <row r="32" spans="1:41" x14ac:dyDescent="0.25">
      <c r="A32" s="62" t="s">
        <v>1</v>
      </c>
      <c r="B32" s="62" t="s">
        <v>113</v>
      </c>
      <c r="C32" s="62" t="s">
        <v>245</v>
      </c>
      <c r="D32" s="140" t="s">
        <v>92</v>
      </c>
      <c r="E32" s="62" t="s">
        <v>256</v>
      </c>
      <c r="F32" s="114">
        <v>1.5</v>
      </c>
      <c r="G32" s="195"/>
      <c r="H32" s="150">
        <v>60362</v>
      </c>
      <c r="I32" s="173">
        <v>60900</v>
      </c>
      <c r="J32" s="173">
        <v>0</v>
      </c>
      <c r="K32" s="173">
        <v>0</v>
      </c>
      <c r="L32" s="173">
        <v>48700</v>
      </c>
      <c r="M32" s="173">
        <v>626</v>
      </c>
      <c r="N32" s="173">
        <v>-234640</v>
      </c>
      <c r="O32" s="173">
        <v>0</v>
      </c>
      <c r="P32" s="173">
        <v>-3675</v>
      </c>
      <c r="Q32" s="173">
        <v>60565</v>
      </c>
      <c r="R32" s="173">
        <v>31000</v>
      </c>
      <c r="S32" s="173">
        <v>36600</v>
      </c>
      <c r="T32" s="173">
        <v>0</v>
      </c>
      <c r="U32" s="173">
        <v>0</v>
      </c>
      <c r="V32" s="173">
        <v>67000</v>
      </c>
      <c r="W32" s="173">
        <v>3600</v>
      </c>
      <c r="X32" s="173">
        <v>67440</v>
      </c>
      <c r="Y32" s="173">
        <v>0</v>
      </c>
      <c r="Z32" s="173">
        <v>0</v>
      </c>
      <c r="AA32" s="173">
        <v>58700</v>
      </c>
      <c r="AB32" s="173">
        <v>3900</v>
      </c>
      <c r="AC32" s="173">
        <v>9600</v>
      </c>
      <c r="AD32" s="173">
        <v>0</v>
      </c>
      <c r="AE32" s="170">
        <f t="shared" si="0"/>
        <v>270678</v>
      </c>
      <c r="AF32" s="148">
        <f t="shared" si="1"/>
        <v>1.8045199999999999</v>
      </c>
      <c r="AI32" s="132">
        <f>SUM(AI27:AI30)</f>
        <v>-98900</v>
      </c>
      <c r="AL32" s="132">
        <f>SUM(AL29:AL30)</f>
        <v>59359</v>
      </c>
    </row>
    <row r="33" spans="1:35" x14ac:dyDescent="0.25">
      <c r="A33" s="141" t="s">
        <v>65</v>
      </c>
      <c r="B33" s="140" t="s">
        <v>64</v>
      </c>
      <c r="C33" s="140" t="s">
        <v>7</v>
      </c>
      <c r="D33" s="141" t="s">
        <v>152</v>
      </c>
      <c r="E33" s="141" t="s">
        <v>256</v>
      </c>
      <c r="F33" s="155">
        <v>5</v>
      </c>
      <c r="G33" s="189"/>
      <c r="H33" s="146">
        <v>-2266</v>
      </c>
      <c r="I33" s="173">
        <v>258160</v>
      </c>
      <c r="J33" s="173">
        <v>0</v>
      </c>
      <c r="K33" s="173">
        <v>0</v>
      </c>
      <c r="L33" s="173">
        <v>24660</v>
      </c>
      <c r="M33" s="173">
        <v>0</v>
      </c>
      <c r="N33" s="173">
        <v>-309954</v>
      </c>
      <c r="O33" s="173">
        <v>0</v>
      </c>
      <c r="P33" s="173">
        <v>0</v>
      </c>
      <c r="Q33" s="173">
        <v>199997</v>
      </c>
      <c r="R33" s="173">
        <v>0</v>
      </c>
      <c r="S33" s="173">
        <v>62152</v>
      </c>
      <c r="T33" s="173">
        <v>0</v>
      </c>
      <c r="U33" s="173">
        <v>0</v>
      </c>
      <c r="V33" s="173">
        <v>369953</v>
      </c>
      <c r="W33" s="173">
        <v>0</v>
      </c>
      <c r="X33" s="173">
        <v>128936</v>
      </c>
      <c r="Y33" s="173">
        <v>0</v>
      </c>
      <c r="Z33" s="173">
        <v>0</v>
      </c>
      <c r="AA33" s="173">
        <v>333027</v>
      </c>
      <c r="AB33" s="173">
        <v>0</v>
      </c>
      <c r="AC33" s="173">
        <v>140650</v>
      </c>
      <c r="AD33" s="173">
        <v>0</v>
      </c>
      <c r="AE33" s="170">
        <f t="shared" si="0"/>
        <v>1205315</v>
      </c>
      <c r="AF33" s="148">
        <f t="shared" si="1"/>
        <v>2.4106299999999998</v>
      </c>
    </row>
    <row r="34" spans="1:35" x14ac:dyDescent="0.25">
      <c r="A34" s="140" t="s">
        <v>34</v>
      </c>
      <c r="B34" s="142" t="s">
        <v>18</v>
      </c>
      <c r="C34" s="140" t="s">
        <v>10</v>
      </c>
      <c r="D34" s="141" t="s">
        <v>152</v>
      </c>
      <c r="E34" s="141" t="s">
        <v>256</v>
      </c>
      <c r="F34" s="118">
        <v>5</v>
      </c>
      <c r="G34" s="196"/>
      <c r="H34" s="146">
        <v>27542</v>
      </c>
      <c r="I34" s="173">
        <v>60680</v>
      </c>
      <c r="J34" s="173">
        <v>80384</v>
      </c>
      <c r="K34" s="173">
        <v>0</v>
      </c>
      <c r="L34" s="173">
        <v>-71200</v>
      </c>
      <c r="M34" s="173">
        <v>22471</v>
      </c>
      <c r="N34" s="173">
        <v>-80994</v>
      </c>
      <c r="O34" s="173">
        <v>87676</v>
      </c>
      <c r="P34" s="173">
        <v>88216</v>
      </c>
      <c r="Q34" s="173">
        <v>70825</v>
      </c>
      <c r="R34" s="173">
        <v>110800</v>
      </c>
      <c r="S34" s="173">
        <v>-128122</v>
      </c>
      <c r="T34" s="173">
        <v>50809</v>
      </c>
      <c r="U34" s="173">
        <v>-122778</v>
      </c>
      <c r="V34" s="173">
        <v>-20000</v>
      </c>
      <c r="W34" s="173">
        <v>44400</v>
      </c>
      <c r="X34" s="173">
        <v>61044</v>
      </c>
      <c r="Y34" s="173">
        <v>127150</v>
      </c>
      <c r="Z34" s="173">
        <v>-35352</v>
      </c>
      <c r="AA34" s="173">
        <v>4986</v>
      </c>
      <c r="AB34" s="173">
        <v>79831</v>
      </c>
      <c r="AC34" s="173">
        <v>10806</v>
      </c>
      <c r="AD34" s="173">
        <v>-11679</v>
      </c>
      <c r="AE34" s="170">
        <f t="shared" si="0"/>
        <v>457495</v>
      </c>
      <c r="AF34" s="148">
        <f t="shared" si="1"/>
        <v>0.91498999999999997</v>
      </c>
    </row>
    <row r="35" spans="1:35" ht="18" customHeight="1" x14ac:dyDescent="0.25">
      <c r="A35" s="140" t="s">
        <v>131</v>
      </c>
      <c r="B35" s="142" t="s">
        <v>130</v>
      </c>
      <c r="C35" s="140" t="s">
        <v>16</v>
      </c>
      <c r="D35" s="141" t="s">
        <v>262</v>
      </c>
      <c r="E35" s="141" t="s">
        <v>256</v>
      </c>
      <c r="F35" s="118">
        <v>1</v>
      </c>
      <c r="G35" s="196"/>
      <c r="H35" s="146">
        <v>165</v>
      </c>
      <c r="I35" s="173">
        <v>1475</v>
      </c>
      <c r="J35" s="173">
        <v>1414</v>
      </c>
      <c r="K35" s="173">
        <v>35440</v>
      </c>
      <c r="L35" s="173">
        <v>-7500</v>
      </c>
      <c r="M35" s="173">
        <v>-56540</v>
      </c>
      <c r="N35" s="173">
        <v>-43488</v>
      </c>
      <c r="O35" s="173">
        <v>4012</v>
      </c>
      <c r="P35" s="173">
        <v>-15000</v>
      </c>
      <c r="Q35" s="173">
        <v>28160</v>
      </c>
      <c r="R35" s="173">
        <v>-3750</v>
      </c>
      <c r="S35" s="173">
        <v>-9983</v>
      </c>
      <c r="T35" s="173">
        <v>59642</v>
      </c>
      <c r="U35" s="173">
        <v>38874</v>
      </c>
      <c r="V35" s="173">
        <v>50680</v>
      </c>
      <c r="W35" s="173">
        <v>15270</v>
      </c>
      <c r="X35" s="173">
        <v>11816</v>
      </c>
      <c r="Y35" s="173">
        <v>-62554</v>
      </c>
      <c r="Z35" s="173">
        <v>-22238</v>
      </c>
      <c r="AA35" s="173">
        <v>-100</v>
      </c>
      <c r="AB35" s="173">
        <v>5477</v>
      </c>
      <c r="AC35" s="173">
        <v>-48262</v>
      </c>
      <c r="AD35" s="173">
        <v>1965</v>
      </c>
      <c r="AE35" s="170">
        <f t="shared" si="0"/>
        <v>-15025</v>
      </c>
      <c r="AF35" s="148">
        <f t="shared" si="1"/>
        <v>-0.15024999999999999</v>
      </c>
    </row>
    <row r="36" spans="1:35" x14ac:dyDescent="0.25">
      <c r="A36" s="43" t="s">
        <v>67</v>
      </c>
      <c r="B36" s="140" t="s">
        <v>154</v>
      </c>
      <c r="C36" s="140" t="s">
        <v>60</v>
      </c>
      <c r="D36" s="141" t="s">
        <v>4</v>
      </c>
      <c r="E36" s="141" t="s">
        <v>256</v>
      </c>
      <c r="F36" s="155">
        <v>0.4</v>
      </c>
      <c r="G36" s="190"/>
      <c r="H36" s="146">
        <v>-6975</v>
      </c>
      <c r="I36" s="173">
        <v>-6400</v>
      </c>
      <c r="J36" s="173">
        <v>6350</v>
      </c>
      <c r="K36" s="173">
        <v>32800</v>
      </c>
      <c r="L36" s="173">
        <v>-41187</v>
      </c>
      <c r="M36" s="173">
        <v>32000</v>
      </c>
      <c r="N36" s="173">
        <v>-13284</v>
      </c>
      <c r="O36" s="173">
        <v>13600</v>
      </c>
      <c r="P36" s="173">
        <v>34570</v>
      </c>
      <c r="Q36" s="173">
        <v>0</v>
      </c>
      <c r="R36" s="173">
        <v>18390</v>
      </c>
      <c r="S36" s="173">
        <v>-39161</v>
      </c>
      <c r="T36" s="173">
        <v>-12452</v>
      </c>
      <c r="U36" s="173">
        <v>-7179</v>
      </c>
      <c r="V36" s="173">
        <v>22797</v>
      </c>
      <c r="W36" s="173">
        <v>-5203</v>
      </c>
      <c r="X36" s="173">
        <v>-9535</v>
      </c>
      <c r="Y36" s="173">
        <v>-34663</v>
      </c>
      <c r="Z36" s="173">
        <v>-35973</v>
      </c>
      <c r="AA36" s="173">
        <v>9509</v>
      </c>
      <c r="AB36" s="173">
        <v>-3585</v>
      </c>
      <c r="AC36" s="173">
        <v>-17999</v>
      </c>
      <c r="AD36" s="173">
        <v>-55165</v>
      </c>
      <c r="AE36" s="170">
        <f t="shared" si="0"/>
        <v>-118745</v>
      </c>
      <c r="AF36" s="148">
        <f t="shared" si="1"/>
        <v>-2.9686249999999998</v>
      </c>
      <c r="AI36" s="133"/>
    </row>
    <row r="37" spans="1:35" x14ac:dyDescent="0.25">
      <c r="A37" s="43" t="s">
        <v>143</v>
      </c>
      <c r="B37" s="140" t="s">
        <v>19</v>
      </c>
      <c r="C37" s="141" t="s">
        <v>251</v>
      </c>
      <c r="D37" s="141" t="s">
        <v>256</v>
      </c>
      <c r="E37" s="141" t="s">
        <v>284</v>
      </c>
      <c r="F37" s="155">
        <v>0.5</v>
      </c>
      <c r="G37" s="190"/>
      <c r="H37" s="146">
        <v>-1120</v>
      </c>
      <c r="I37" s="173">
        <v>-67404</v>
      </c>
      <c r="J37" s="173">
        <v>-37560</v>
      </c>
      <c r="K37" s="173">
        <v>-1700</v>
      </c>
      <c r="L37" s="173">
        <v>-39807</v>
      </c>
      <c r="M37" s="173">
        <v>18800</v>
      </c>
      <c r="N37" s="173">
        <v>-11514</v>
      </c>
      <c r="O37" s="173">
        <v>40669</v>
      </c>
      <c r="P37" s="173">
        <v>0</v>
      </c>
      <c r="Q37" s="173">
        <v>0</v>
      </c>
      <c r="R37" s="173">
        <v>-48610</v>
      </c>
      <c r="S37" s="173">
        <v>-25924</v>
      </c>
      <c r="T37" s="173">
        <v>48351</v>
      </c>
      <c r="U37" s="173">
        <v>0</v>
      </c>
      <c r="V37" s="173">
        <v>-2242</v>
      </c>
      <c r="W37" s="173">
        <v>54800</v>
      </c>
      <c r="X37" s="173">
        <v>-23011</v>
      </c>
      <c r="Y37" s="173">
        <v>-74288</v>
      </c>
      <c r="Z37" s="173">
        <v>0</v>
      </c>
      <c r="AA37" s="173">
        <v>-44590</v>
      </c>
      <c r="AB37" s="173">
        <v>0</v>
      </c>
      <c r="AC37" s="173">
        <v>0</v>
      </c>
      <c r="AD37" s="173">
        <v>0</v>
      </c>
      <c r="AE37" s="170">
        <f t="shared" ref="AE37:AE60" si="6">SUM(H37:AD37)</f>
        <v>-215150</v>
      </c>
      <c r="AF37" s="148">
        <f t="shared" ref="AF37:AF60" si="7">IFERROR(AE37/F37*100,0)/10000000</f>
        <v>-4.3029999999999999</v>
      </c>
      <c r="AH37" s="5"/>
      <c r="AI37" s="133">
        <v>4218</v>
      </c>
    </row>
    <row r="38" spans="1:35" x14ac:dyDescent="0.25">
      <c r="A38" s="43" t="s">
        <v>144</v>
      </c>
      <c r="B38" s="140" t="s">
        <v>19</v>
      </c>
      <c r="C38" s="141" t="s">
        <v>250</v>
      </c>
      <c r="D38" s="141" t="s">
        <v>256</v>
      </c>
      <c r="E38" s="141" t="s">
        <v>256</v>
      </c>
      <c r="F38" s="155">
        <v>0.5</v>
      </c>
      <c r="G38" s="190"/>
      <c r="H38" s="146">
        <v>-9165</v>
      </c>
      <c r="I38" s="173">
        <v>0</v>
      </c>
      <c r="J38" s="173">
        <v>200</v>
      </c>
      <c r="K38" s="173">
        <v>2808</v>
      </c>
      <c r="L38" s="173">
        <v>-14878</v>
      </c>
      <c r="M38" s="173">
        <v>35226</v>
      </c>
      <c r="N38" s="173">
        <v>-19781</v>
      </c>
      <c r="O38" s="173">
        <v>0</v>
      </c>
      <c r="P38" s="173">
        <v>5200</v>
      </c>
      <c r="Q38" s="173">
        <v>4372</v>
      </c>
      <c r="R38" s="173">
        <v>-16548</v>
      </c>
      <c r="S38" s="173">
        <v>-36749</v>
      </c>
      <c r="T38" s="173">
        <v>0</v>
      </c>
      <c r="U38" s="173">
        <v>0</v>
      </c>
      <c r="V38" s="173">
        <v>-1677</v>
      </c>
      <c r="W38" s="173">
        <v>3425</v>
      </c>
      <c r="X38" s="173">
        <v>-9988</v>
      </c>
      <c r="Y38" s="173">
        <v>0</v>
      </c>
      <c r="Z38" s="173">
        <v>-2150</v>
      </c>
      <c r="AA38" s="173">
        <v>0</v>
      </c>
      <c r="AB38" s="173">
        <v>-4848</v>
      </c>
      <c r="AC38" s="173">
        <v>0</v>
      </c>
      <c r="AD38" s="173">
        <v>0</v>
      </c>
      <c r="AE38" s="170">
        <f t="shared" si="6"/>
        <v>-64553</v>
      </c>
      <c r="AF38" s="148">
        <f t="shared" si="7"/>
        <v>-1.2910600000000001</v>
      </c>
      <c r="AH38" s="5"/>
      <c r="AI38" s="133"/>
    </row>
    <row r="39" spans="1:35" x14ac:dyDescent="0.25">
      <c r="A39" s="141" t="s">
        <v>31</v>
      </c>
      <c r="B39" s="142" t="s">
        <v>153</v>
      </c>
      <c r="C39" s="141" t="s">
        <v>222</v>
      </c>
      <c r="D39" s="141" t="s">
        <v>263</v>
      </c>
      <c r="E39" s="141" t="s">
        <v>256</v>
      </c>
      <c r="F39" s="155">
        <v>4</v>
      </c>
      <c r="G39" s="190"/>
      <c r="H39" s="146">
        <v>-5000</v>
      </c>
      <c r="I39" s="173">
        <v>-13105</v>
      </c>
      <c r="J39" s="173">
        <v>1800</v>
      </c>
      <c r="K39" s="173">
        <v>60260</v>
      </c>
      <c r="L39" s="173">
        <v>-51072</v>
      </c>
      <c r="M39" s="173">
        <v>151300</v>
      </c>
      <c r="N39" s="173">
        <v>-122301</v>
      </c>
      <c r="O39" s="173">
        <v>17800</v>
      </c>
      <c r="P39" s="173">
        <v>51558</v>
      </c>
      <c r="Q39" s="173">
        <v>90413</v>
      </c>
      <c r="R39" s="173">
        <v>-20022</v>
      </c>
      <c r="S39" s="173">
        <v>-7230</v>
      </c>
      <c r="T39" s="173">
        <v>58512</v>
      </c>
      <c r="U39" s="173">
        <v>58400</v>
      </c>
      <c r="V39" s="173">
        <v>53300</v>
      </c>
      <c r="W39" s="173">
        <v>50700</v>
      </c>
      <c r="X39" s="173">
        <v>-15344</v>
      </c>
      <c r="Y39" s="173">
        <v>2795</v>
      </c>
      <c r="Z39" s="173">
        <v>71400</v>
      </c>
      <c r="AA39" s="173">
        <v>-54014</v>
      </c>
      <c r="AB39" s="173">
        <v>-11115</v>
      </c>
      <c r="AC39" s="173">
        <v>19650</v>
      </c>
      <c r="AD39" s="173">
        <v>-28000</v>
      </c>
      <c r="AE39" s="170">
        <f t="shared" si="6"/>
        <v>360685</v>
      </c>
      <c r="AF39" s="148">
        <f t="shared" si="7"/>
        <v>0.90171250000000003</v>
      </c>
      <c r="AH39" s="133">
        <v>106861</v>
      </c>
      <c r="AI39" s="133">
        <f>(AH40+AH39)/10000000*13780</f>
        <v>300.32132000000001</v>
      </c>
    </row>
    <row r="40" spans="1:35" x14ac:dyDescent="0.25">
      <c r="A40" s="141" t="s">
        <v>104</v>
      </c>
      <c r="B40" s="142" t="s">
        <v>105</v>
      </c>
      <c r="C40" s="141" t="s">
        <v>315</v>
      </c>
      <c r="D40" s="141" t="s">
        <v>106</v>
      </c>
      <c r="E40" s="141" t="s">
        <v>106</v>
      </c>
      <c r="F40" s="155">
        <v>1</v>
      </c>
      <c r="G40" s="190"/>
      <c r="H40" s="146">
        <v>23450</v>
      </c>
      <c r="I40" s="173">
        <v>53926</v>
      </c>
      <c r="J40" s="173">
        <v>22400</v>
      </c>
      <c r="K40" s="173">
        <v>29147</v>
      </c>
      <c r="L40" s="173">
        <v>-36500</v>
      </c>
      <c r="M40" s="173">
        <v>-106390</v>
      </c>
      <c r="N40" s="173">
        <v>82961</v>
      </c>
      <c r="O40" s="173">
        <v>75875</v>
      </c>
      <c r="P40" s="173">
        <v>10396</v>
      </c>
      <c r="Q40" s="173">
        <v>-55868</v>
      </c>
      <c r="R40" s="173">
        <v>18362</v>
      </c>
      <c r="S40" s="173">
        <v>-7947</v>
      </c>
      <c r="T40" s="173">
        <v>-5124</v>
      </c>
      <c r="U40" s="173">
        <v>19300</v>
      </c>
      <c r="V40" s="173">
        <v>32755</v>
      </c>
      <c r="W40" s="173">
        <v>-55744</v>
      </c>
      <c r="X40" s="173">
        <v>-51799</v>
      </c>
      <c r="Y40" s="173">
        <v>-11901</v>
      </c>
      <c r="Z40" s="173">
        <v>71551</v>
      </c>
      <c r="AA40" s="173">
        <v>-3073</v>
      </c>
      <c r="AB40" s="173">
        <v>49493</v>
      </c>
      <c r="AC40" s="173">
        <v>-28610</v>
      </c>
      <c r="AD40" s="173">
        <v>23723</v>
      </c>
      <c r="AE40" s="170">
        <f t="shared" si="6"/>
        <v>150383</v>
      </c>
      <c r="AF40" s="148">
        <f t="shared" si="7"/>
        <v>1.50383</v>
      </c>
      <c r="AH40" s="133">
        <v>111079</v>
      </c>
      <c r="AI40" s="133"/>
    </row>
    <row r="41" spans="1:35" x14ac:dyDescent="0.25">
      <c r="A41" s="141" t="s">
        <v>229</v>
      </c>
      <c r="B41" s="142" t="s">
        <v>105</v>
      </c>
      <c r="C41" s="141" t="s">
        <v>218</v>
      </c>
      <c r="D41" s="141" t="s">
        <v>264</v>
      </c>
      <c r="E41" s="141" t="s">
        <v>256</v>
      </c>
      <c r="F41" s="155">
        <v>0.5</v>
      </c>
      <c r="G41" s="190"/>
      <c r="H41" s="146">
        <v>4810</v>
      </c>
      <c r="I41" s="173">
        <v>-3758</v>
      </c>
      <c r="J41" s="173">
        <v>222</v>
      </c>
      <c r="K41" s="173">
        <v>7680</v>
      </c>
      <c r="L41" s="173">
        <v>2650</v>
      </c>
      <c r="M41" s="173">
        <v>15550</v>
      </c>
      <c r="N41" s="173">
        <v>-2277</v>
      </c>
      <c r="O41" s="173">
        <v>831</v>
      </c>
      <c r="P41" s="173">
        <v>2936</v>
      </c>
      <c r="Q41" s="173">
        <v>2714</v>
      </c>
      <c r="R41" s="173">
        <v>-16365</v>
      </c>
      <c r="S41" s="173">
        <v>-6138</v>
      </c>
      <c r="T41" s="173">
        <v>41544</v>
      </c>
      <c r="U41" s="173">
        <v>17724</v>
      </c>
      <c r="V41" s="173">
        <v>0</v>
      </c>
      <c r="W41" s="173">
        <v>15769</v>
      </c>
      <c r="X41" s="173">
        <v>-1637</v>
      </c>
      <c r="Y41" s="173">
        <v>-18365</v>
      </c>
      <c r="Z41" s="173">
        <v>-4667</v>
      </c>
      <c r="AA41" s="173">
        <v>-25225</v>
      </c>
      <c r="AB41" s="173">
        <v>-28429</v>
      </c>
      <c r="AC41" s="173">
        <v>-36340</v>
      </c>
      <c r="AD41" s="173">
        <v>-21335</v>
      </c>
      <c r="AE41" s="170">
        <f t="shared" si="6"/>
        <v>-52106</v>
      </c>
      <c r="AF41" s="148">
        <f t="shared" si="7"/>
        <v>-1.0421199999999999</v>
      </c>
      <c r="AH41" s="133"/>
      <c r="AI41" s="133"/>
    </row>
    <row r="42" spans="1:35" ht="17.25" customHeight="1" x14ac:dyDescent="0.25">
      <c r="A42" s="141" t="s">
        <v>52</v>
      </c>
      <c r="B42" s="142" t="s">
        <v>115</v>
      </c>
      <c r="C42" s="141" t="s">
        <v>219</v>
      </c>
      <c r="D42" s="141" t="s">
        <v>265</v>
      </c>
      <c r="E42" s="141" t="s">
        <v>256</v>
      </c>
      <c r="F42" s="155">
        <v>3</v>
      </c>
      <c r="G42" s="190"/>
      <c r="H42" s="146">
        <v>37150</v>
      </c>
      <c r="I42" s="173">
        <v>60410</v>
      </c>
      <c r="J42" s="173">
        <v>30111</v>
      </c>
      <c r="K42" s="173">
        <v>-2320</v>
      </c>
      <c r="L42" s="173">
        <v>51612</v>
      </c>
      <c r="M42" s="173">
        <v>-61334</v>
      </c>
      <c r="N42" s="173">
        <v>-28346</v>
      </c>
      <c r="O42" s="173">
        <v>62800</v>
      </c>
      <c r="P42" s="173">
        <v>-110724</v>
      </c>
      <c r="Q42" s="173">
        <v>88181</v>
      </c>
      <c r="R42" s="173">
        <v>34200</v>
      </c>
      <c r="S42" s="173">
        <v>-51500</v>
      </c>
      <c r="T42" s="173">
        <v>-67651</v>
      </c>
      <c r="U42" s="173">
        <v>50250</v>
      </c>
      <c r="V42" s="173">
        <v>34700</v>
      </c>
      <c r="W42" s="173">
        <v>-5330</v>
      </c>
      <c r="X42" s="173">
        <v>-12120</v>
      </c>
      <c r="Y42" s="173">
        <v>-12600</v>
      </c>
      <c r="Z42" s="173">
        <v>4300</v>
      </c>
      <c r="AA42" s="173">
        <v>27370</v>
      </c>
      <c r="AB42" s="173">
        <v>28714</v>
      </c>
      <c r="AC42" s="173">
        <v>-41483</v>
      </c>
      <c r="AD42" s="173">
        <v>26448</v>
      </c>
      <c r="AE42" s="170">
        <f t="shared" si="6"/>
        <v>142838</v>
      </c>
      <c r="AF42" s="148">
        <f t="shared" si="7"/>
        <v>0.47612666666666659</v>
      </c>
      <c r="AH42" s="133"/>
      <c r="AI42" s="133"/>
    </row>
    <row r="43" spans="1:35" ht="18.75" customHeight="1" x14ac:dyDescent="0.25">
      <c r="A43" s="141" t="s">
        <v>45</v>
      </c>
      <c r="B43" s="142" t="s">
        <v>98</v>
      </c>
      <c r="C43" s="141" t="s">
        <v>220</v>
      </c>
      <c r="D43" s="141" t="s">
        <v>266</v>
      </c>
      <c r="E43" s="141" t="s">
        <v>256</v>
      </c>
      <c r="F43" s="155">
        <v>3</v>
      </c>
      <c r="G43" s="190"/>
      <c r="H43" s="146">
        <v>-27800</v>
      </c>
      <c r="I43" s="173">
        <v>-36816</v>
      </c>
      <c r="J43" s="173">
        <v>15600</v>
      </c>
      <c r="K43" s="173">
        <v>4943</v>
      </c>
      <c r="L43" s="173">
        <v>13800</v>
      </c>
      <c r="M43" s="173">
        <v>15600</v>
      </c>
      <c r="N43" s="173">
        <v>-101224</v>
      </c>
      <c r="O43" s="173">
        <v>66833</v>
      </c>
      <c r="P43" s="173">
        <v>-19732</v>
      </c>
      <c r="Q43" s="173">
        <v>67314</v>
      </c>
      <c r="R43" s="173">
        <v>-96966</v>
      </c>
      <c r="S43" s="173">
        <v>123857</v>
      </c>
      <c r="T43" s="173">
        <v>775</v>
      </c>
      <c r="U43" s="173">
        <v>28900</v>
      </c>
      <c r="V43" s="173">
        <v>-9782</v>
      </c>
      <c r="W43" s="173">
        <v>-6600</v>
      </c>
      <c r="X43" s="173">
        <v>-6200</v>
      </c>
      <c r="Y43" s="173">
        <v>-19774</v>
      </c>
      <c r="Z43" s="173">
        <v>68600</v>
      </c>
      <c r="AA43" s="173">
        <v>-2150</v>
      </c>
      <c r="AB43" s="173">
        <v>22680</v>
      </c>
      <c r="AC43" s="173">
        <v>-15060</v>
      </c>
      <c r="AD43" s="173">
        <v>-7600</v>
      </c>
      <c r="AE43" s="170">
        <f t="shared" si="6"/>
        <v>79198</v>
      </c>
      <c r="AF43" s="148">
        <f t="shared" si="7"/>
        <v>0.2639933333333333</v>
      </c>
      <c r="AH43" s="133"/>
      <c r="AI43" s="192">
        <f>AI37-AI39</f>
        <v>3917.67868</v>
      </c>
    </row>
    <row r="44" spans="1:35" ht="18.75" customHeight="1" x14ac:dyDescent="0.25">
      <c r="A44" s="141" t="s">
        <v>193</v>
      </c>
      <c r="B44" s="142" t="s">
        <v>186</v>
      </c>
      <c r="C44" s="141" t="s">
        <v>221</v>
      </c>
      <c r="D44" s="141" t="s">
        <v>266</v>
      </c>
      <c r="E44" s="141" t="s">
        <v>256</v>
      </c>
      <c r="F44" s="155">
        <v>3</v>
      </c>
      <c r="G44" s="190"/>
      <c r="H44" s="146">
        <v>-28250</v>
      </c>
      <c r="I44" s="173">
        <v>-37329</v>
      </c>
      <c r="J44" s="173">
        <v>15800</v>
      </c>
      <c r="K44" s="173">
        <v>-6322</v>
      </c>
      <c r="L44" s="173">
        <v>15300</v>
      </c>
      <c r="M44" s="173">
        <v>45970</v>
      </c>
      <c r="N44" s="173">
        <v>-82015</v>
      </c>
      <c r="O44" s="173">
        <v>51530</v>
      </c>
      <c r="P44" s="173">
        <v>-9550</v>
      </c>
      <c r="Q44" s="173">
        <v>49820</v>
      </c>
      <c r="R44" s="173">
        <v>-30365</v>
      </c>
      <c r="S44" s="173">
        <v>25924</v>
      </c>
      <c r="T44" s="173">
        <v>800</v>
      </c>
      <c r="U44" s="173">
        <v>28900</v>
      </c>
      <c r="V44" s="173">
        <v>-10111</v>
      </c>
      <c r="W44" s="173">
        <v>-6600</v>
      </c>
      <c r="X44" s="173">
        <v>-6400</v>
      </c>
      <c r="Y44" s="173">
        <v>-19735</v>
      </c>
      <c r="Z44" s="173">
        <v>68800</v>
      </c>
      <c r="AA44" s="173">
        <v>-2300</v>
      </c>
      <c r="AB44" s="173">
        <v>22680</v>
      </c>
      <c r="AC44" s="173">
        <v>-14870</v>
      </c>
      <c r="AD44" s="173">
        <v>-7600</v>
      </c>
      <c r="AE44" s="170">
        <f t="shared" si="6"/>
        <v>64077</v>
      </c>
      <c r="AF44" s="148">
        <f t="shared" si="7"/>
        <v>0.21359</v>
      </c>
      <c r="AH44" s="133"/>
      <c r="AI44" s="192"/>
    </row>
    <row r="45" spans="1:35" x14ac:dyDescent="0.25">
      <c r="A45" s="141" t="s">
        <v>292</v>
      </c>
      <c r="B45" s="142" t="s">
        <v>291</v>
      </c>
      <c r="C45" s="141" t="s">
        <v>293</v>
      </c>
      <c r="D45" s="141"/>
      <c r="E45" s="141" t="s">
        <v>256</v>
      </c>
      <c r="F45" s="155">
        <v>0.1</v>
      </c>
      <c r="G45" s="190"/>
      <c r="H45" s="146">
        <v>0</v>
      </c>
      <c r="I45" s="173">
        <v>0</v>
      </c>
      <c r="J45" s="173">
        <v>0</v>
      </c>
      <c r="K45" s="173">
        <v>0</v>
      </c>
      <c r="L45" s="173">
        <v>0</v>
      </c>
      <c r="M45" s="173">
        <v>0</v>
      </c>
      <c r="N45" s="173">
        <v>0</v>
      </c>
      <c r="O45" s="173">
        <v>-3000</v>
      </c>
      <c r="P45" s="173">
        <v>4522</v>
      </c>
      <c r="Q45" s="173">
        <v>1336</v>
      </c>
      <c r="R45" s="173">
        <v>2135</v>
      </c>
      <c r="S45" s="173">
        <v>469</v>
      </c>
      <c r="T45" s="173">
        <v>0</v>
      </c>
      <c r="U45" s="173">
        <v>-2583</v>
      </c>
      <c r="V45" s="173">
        <v>3166</v>
      </c>
      <c r="W45" s="173">
        <v>10788</v>
      </c>
      <c r="X45" s="173">
        <v>2857</v>
      </c>
      <c r="Y45" s="173">
        <v>-14992</v>
      </c>
      <c r="Z45" s="173">
        <v>107</v>
      </c>
      <c r="AA45" s="173">
        <v>-5610</v>
      </c>
      <c r="AB45" s="173">
        <v>-100</v>
      </c>
      <c r="AC45" s="173">
        <v>-717</v>
      </c>
      <c r="AD45" s="173">
        <v>-10393</v>
      </c>
      <c r="AE45" s="170">
        <f t="shared" si="6"/>
        <v>-12015</v>
      </c>
      <c r="AF45" s="148">
        <f t="shared" ref="AF45" si="8">IFERROR(AE45/F45*100,0)/10000000</f>
        <v>-1.2015</v>
      </c>
      <c r="AH45" s="133"/>
    </row>
    <row r="46" spans="1:35" x14ac:dyDescent="0.25">
      <c r="A46" s="141" t="s">
        <v>132</v>
      </c>
      <c r="B46" s="142" t="s">
        <v>129</v>
      </c>
      <c r="C46" s="141" t="s">
        <v>17</v>
      </c>
      <c r="D46" s="141" t="s">
        <v>267</v>
      </c>
      <c r="E46" s="141" t="s">
        <v>256</v>
      </c>
      <c r="F46" s="155">
        <v>1</v>
      </c>
      <c r="G46" s="190"/>
      <c r="H46" s="146">
        <v>0</v>
      </c>
      <c r="I46" s="173">
        <v>17642</v>
      </c>
      <c r="J46" s="173">
        <v>0</v>
      </c>
      <c r="K46" s="173">
        <v>2907</v>
      </c>
      <c r="L46" s="173">
        <v>-14902</v>
      </c>
      <c r="M46" s="173">
        <v>14833</v>
      </c>
      <c r="N46" s="173">
        <v>-42825</v>
      </c>
      <c r="O46" s="173">
        <v>8000</v>
      </c>
      <c r="P46" s="173">
        <v>14434</v>
      </c>
      <c r="Q46" s="173">
        <v>-16918</v>
      </c>
      <c r="R46" s="173">
        <v>-20512</v>
      </c>
      <c r="S46" s="173">
        <v>4243</v>
      </c>
      <c r="T46" s="173">
        <v>0</v>
      </c>
      <c r="U46" s="173">
        <v>14057</v>
      </c>
      <c r="V46" s="173">
        <v>16938</v>
      </c>
      <c r="W46" s="173">
        <v>0</v>
      </c>
      <c r="X46" s="173">
        <v>986</v>
      </c>
      <c r="Y46" s="173">
        <v>0</v>
      </c>
      <c r="Z46" s="173">
        <v>23077</v>
      </c>
      <c r="AA46" s="173">
        <v>10100</v>
      </c>
      <c r="AB46" s="173">
        <v>0</v>
      </c>
      <c r="AC46" s="173">
        <v>0</v>
      </c>
      <c r="AD46" s="173">
        <v>0</v>
      </c>
      <c r="AE46" s="170">
        <f t="shared" si="6"/>
        <v>32060</v>
      </c>
      <c r="AF46" s="148">
        <f t="shared" si="7"/>
        <v>0.3206</v>
      </c>
    </row>
    <row r="47" spans="1:35" x14ac:dyDescent="0.25">
      <c r="A47" s="141" t="s">
        <v>48</v>
      </c>
      <c r="B47" s="140" t="s">
        <v>95</v>
      </c>
      <c r="C47" s="141" t="s">
        <v>228</v>
      </c>
      <c r="D47" s="141" t="s">
        <v>107</v>
      </c>
      <c r="E47" s="141" t="s">
        <v>107</v>
      </c>
      <c r="F47" s="155">
        <v>1</v>
      </c>
      <c r="G47" s="190"/>
      <c r="H47" s="146">
        <v>17715</v>
      </c>
      <c r="I47" s="173">
        <v>64000</v>
      </c>
      <c r="J47" s="173">
        <v>-46888</v>
      </c>
      <c r="K47" s="173">
        <v>-8413</v>
      </c>
      <c r="L47" s="173">
        <v>-64400</v>
      </c>
      <c r="M47" s="173">
        <v>-67507</v>
      </c>
      <c r="N47" s="173">
        <v>228860</v>
      </c>
      <c r="O47" s="173">
        <v>97432</v>
      </c>
      <c r="P47" s="173">
        <v>-11280</v>
      </c>
      <c r="Q47" s="173">
        <v>-90708</v>
      </c>
      <c r="R47" s="173">
        <v>135419</v>
      </c>
      <c r="S47" s="173">
        <v>46445</v>
      </c>
      <c r="T47" s="173">
        <v>-131313</v>
      </c>
      <c r="U47" s="173">
        <v>58300</v>
      </c>
      <c r="V47" s="173">
        <v>38420</v>
      </c>
      <c r="W47" s="173">
        <v>-89956</v>
      </c>
      <c r="X47" s="173">
        <v>-70232</v>
      </c>
      <c r="Y47" s="173">
        <v>-16070</v>
      </c>
      <c r="Z47" s="173">
        <v>59000</v>
      </c>
      <c r="AA47" s="173">
        <v>-104069</v>
      </c>
      <c r="AB47" s="173">
        <v>98202</v>
      </c>
      <c r="AC47" s="173">
        <v>-61557</v>
      </c>
      <c r="AD47" s="173">
        <v>102817</v>
      </c>
      <c r="AE47" s="170">
        <f t="shared" si="6"/>
        <v>184217</v>
      </c>
      <c r="AF47" s="148">
        <f t="shared" si="7"/>
        <v>1.8421700000000001</v>
      </c>
    </row>
    <row r="48" spans="1:35" x14ac:dyDescent="0.25">
      <c r="A48" s="141" t="s">
        <v>301</v>
      </c>
      <c r="B48" s="140" t="s">
        <v>295</v>
      </c>
      <c r="C48" s="162" t="s">
        <v>296</v>
      </c>
      <c r="D48" s="162"/>
      <c r="E48" s="162" t="s">
        <v>256</v>
      </c>
      <c r="F48" s="163">
        <v>0.1</v>
      </c>
      <c r="G48" s="190"/>
      <c r="H48" s="146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>
        <v>0</v>
      </c>
      <c r="U48" s="173">
        <v>0</v>
      </c>
      <c r="V48" s="173">
        <v>0</v>
      </c>
      <c r="W48" s="173">
        <v>0</v>
      </c>
      <c r="X48" s="173">
        <v>0</v>
      </c>
      <c r="Y48" s="173">
        <v>0</v>
      </c>
      <c r="Z48" s="173">
        <v>0</v>
      </c>
      <c r="AA48" s="173">
        <v>311</v>
      </c>
      <c r="AB48" s="173">
        <v>-1376</v>
      </c>
      <c r="AC48" s="173">
        <v>-5065</v>
      </c>
      <c r="AD48" s="173">
        <v>1665</v>
      </c>
      <c r="AE48" s="170">
        <f t="shared" ref="AE48" si="9">SUM(H48:AD48)</f>
        <v>-4465</v>
      </c>
      <c r="AF48" s="148">
        <f t="shared" ref="AF48" si="10">IFERROR(AE48/F48*100,0)/10000000</f>
        <v>-0.44650000000000001</v>
      </c>
    </row>
    <row r="49" spans="1:35" x14ac:dyDescent="0.25">
      <c r="A49" s="141" t="s">
        <v>201</v>
      </c>
      <c r="B49" s="140" t="s">
        <v>169</v>
      </c>
      <c r="C49" s="162"/>
      <c r="D49" s="162"/>
      <c r="E49" s="162"/>
      <c r="F49" s="163">
        <v>1</v>
      </c>
      <c r="G49" s="190"/>
      <c r="H49" s="146">
        <v>-7500</v>
      </c>
      <c r="I49" s="173">
        <v>5200</v>
      </c>
      <c r="J49" s="173">
        <v>-2500</v>
      </c>
      <c r="K49" s="173">
        <v>800</v>
      </c>
      <c r="L49" s="173">
        <v>1000</v>
      </c>
      <c r="M49" s="173">
        <v>11000</v>
      </c>
      <c r="N49" s="173">
        <v>-2400</v>
      </c>
      <c r="O49" s="173">
        <v>700</v>
      </c>
      <c r="P49" s="173">
        <v>-7000</v>
      </c>
      <c r="Q49" s="173">
        <v>-10000</v>
      </c>
      <c r="R49" s="173">
        <v>-8500</v>
      </c>
      <c r="S49" s="173">
        <v>-9000</v>
      </c>
      <c r="T49" s="173">
        <v>8000</v>
      </c>
      <c r="U49" s="173">
        <v>-2500</v>
      </c>
      <c r="V49" s="173">
        <v>600</v>
      </c>
      <c r="W49" s="173">
        <v>400</v>
      </c>
      <c r="X49" s="173">
        <v>8000</v>
      </c>
      <c r="Y49" s="173">
        <v>-4684</v>
      </c>
      <c r="Z49" s="173">
        <v>3320</v>
      </c>
      <c r="AA49" s="173">
        <v>-100</v>
      </c>
      <c r="AB49" s="173">
        <v>-990</v>
      </c>
      <c r="AC49" s="173">
        <v>5000</v>
      </c>
      <c r="AD49" s="173">
        <v>0</v>
      </c>
      <c r="AE49" s="170">
        <f t="shared" si="6"/>
        <v>-11154</v>
      </c>
      <c r="AF49" s="148">
        <f t="shared" si="7"/>
        <v>-0.11154</v>
      </c>
    </row>
    <row r="50" spans="1:35" x14ac:dyDescent="0.25">
      <c r="A50" s="142" t="s">
        <v>168</v>
      </c>
      <c r="B50" s="140" t="s">
        <v>169</v>
      </c>
      <c r="C50" s="59" t="s">
        <v>252</v>
      </c>
      <c r="D50" s="162" t="s">
        <v>253</v>
      </c>
      <c r="E50" s="162" t="s">
        <v>253</v>
      </c>
      <c r="F50" s="114">
        <v>4</v>
      </c>
      <c r="G50" s="190"/>
      <c r="H50" s="146">
        <v>38000</v>
      </c>
      <c r="I50" s="173">
        <v>120000</v>
      </c>
      <c r="J50" s="173">
        <v>0</v>
      </c>
      <c r="K50" s="173">
        <v>8000</v>
      </c>
      <c r="L50" s="173">
        <v>13000</v>
      </c>
      <c r="M50" s="173">
        <v>-82000</v>
      </c>
      <c r="N50" s="173">
        <v>41000</v>
      </c>
      <c r="O50" s="173">
        <v>0</v>
      </c>
      <c r="P50" s="173">
        <v>7000</v>
      </c>
      <c r="Q50" s="173">
        <v>40000</v>
      </c>
      <c r="R50" s="173">
        <v>6000</v>
      </c>
      <c r="S50" s="173">
        <v>133000</v>
      </c>
      <c r="T50" s="173">
        <v>0</v>
      </c>
      <c r="U50" s="173">
        <v>4500</v>
      </c>
      <c r="V50" s="173">
        <v>5000</v>
      </c>
      <c r="W50" s="173">
        <v>400</v>
      </c>
      <c r="X50" s="173">
        <v>155000</v>
      </c>
      <c r="Y50" s="173">
        <v>0</v>
      </c>
      <c r="Z50" s="173">
        <v>0</v>
      </c>
      <c r="AA50" s="173">
        <v>0</v>
      </c>
      <c r="AB50" s="173">
        <v>29690</v>
      </c>
      <c r="AC50" s="173">
        <v>-102300</v>
      </c>
      <c r="AD50" s="173">
        <v>-1880</v>
      </c>
      <c r="AE50" s="170">
        <f t="shared" si="6"/>
        <v>414410</v>
      </c>
      <c r="AF50" s="148">
        <f t="shared" si="7"/>
        <v>1.036025</v>
      </c>
    </row>
    <row r="51" spans="1:35" x14ac:dyDescent="0.25">
      <c r="A51" s="142" t="s">
        <v>202</v>
      </c>
      <c r="B51" s="140" t="s">
        <v>169</v>
      </c>
      <c r="C51" s="59" t="s">
        <v>252</v>
      </c>
      <c r="D51" s="162" t="s">
        <v>116</v>
      </c>
      <c r="E51" s="162" t="s">
        <v>256</v>
      </c>
      <c r="F51" s="114">
        <v>4</v>
      </c>
      <c r="G51" s="190"/>
      <c r="H51" s="146">
        <v>0</v>
      </c>
      <c r="I51" s="173">
        <v>0</v>
      </c>
      <c r="J51" s="173">
        <v>-2000</v>
      </c>
      <c r="K51" s="173">
        <v>0</v>
      </c>
      <c r="L51" s="173">
        <v>100000</v>
      </c>
      <c r="M51" s="173">
        <v>0</v>
      </c>
      <c r="N51" s="173">
        <v>0</v>
      </c>
      <c r="O51" s="173">
        <v>700</v>
      </c>
      <c r="P51" s="173">
        <v>-43000</v>
      </c>
      <c r="Q51" s="173">
        <v>37000</v>
      </c>
      <c r="R51" s="173">
        <v>7000</v>
      </c>
      <c r="S51" s="173">
        <v>-1500</v>
      </c>
      <c r="T51" s="173">
        <v>-16000</v>
      </c>
      <c r="U51" s="173">
        <v>19000</v>
      </c>
      <c r="V51" s="173">
        <v>240000</v>
      </c>
      <c r="W51" s="173">
        <v>2000</v>
      </c>
      <c r="X51" s="173">
        <v>-5000</v>
      </c>
      <c r="Y51" s="173">
        <v>-26250</v>
      </c>
      <c r="Z51" s="173">
        <v>11765</v>
      </c>
      <c r="AA51" s="173">
        <v>120200</v>
      </c>
      <c r="AB51" s="173">
        <v>0</v>
      </c>
      <c r="AC51" s="173">
        <v>0</v>
      </c>
      <c r="AD51" s="173">
        <v>0</v>
      </c>
      <c r="AE51" s="170">
        <f t="shared" si="6"/>
        <v>443915</v>
      </c>
      <c r="AF51" s="148">
        <f t="shared" si="7"/>
        <v>1.1097874999999999</v>
      </c>
    </row>
    <row r="52" spans="1:35" x14ac:dyDescent="0.25">
      <c r="A52" s="142" t="s">
        <v>33</v>
      </c>
      <c r="B52" s="140" t="s">
        <v>14</v>
      </c>
      <c r="C52" s="142" t="s">
        <v>13</v>
      </c>
      <c r="D52" s="140" t="s">
        <v>14</v>
      </c>
      <c r="E52" s="140" t="s">
        <v>256</v>
      </c>
      <c r="F52" s="118">
        <v>3</v>
      </c>
      <c r="G52" s="196"/>
      <c r="H52" s="146">
        <v>-100</v>
      </c>
      <c r="I52" s="173">
        <v>189865</v>
      </c>
      <c r="J52" s="173">
        <v>0</v>
      </c>
      <c r="K52" s="173">
        <v>40428</v>
      </c>
      <c r="L52" s="173">
        <v>1930</v>
      </c>
      <c r="M52" s="173">
        <v>223288</v>
      </c>
      <c r="N52" s="173">
        <v>-306449</v>
      </c>
      <c r="O52" s="173">
        <v>0</v>
      </c>
      <c r="P52" s="173">
        <v>0</v>
      </c>
      <c r="Q52" s="173">
        <v>95027</v>
      </c>
      <c r="R52" s="173">
        <v>0</v>
      </c>
      <c r="S52" s="173">
        <v>12737</v>
      </c>
      <c r="T52" s="173">
        <v>0</v>
      </c>
      <c r="U52" s="173">
        <v>0</v>
      </c>
      <c r="V52" s="173">
        <v>266198</v>
      </c>
      <c r="W52" s="173">
        <v>0</v>
      </c>
      <c r="X52" s="173">
        <v>-50366</v>
      </c>
      <c r="Y52" s="173">
        <v>70460</v>
      </c>
      <c r="Z52" s="173">
        <v>32904</v>
      </c>
      <c r="AA52" s="173">
        <v>155658</v>
      </c>
      <c r="AB52" s="173">
        <v>-60456</v>
      </c>
      <c r="AC52" s="173">
        <v>-277986</v>
      </c>
      <c r="AD52" s="173">
        <v>-40160</v>
      </c>
      <c r="AE52" s="170">
        <f t="shared" si="6"/>
        <v>352978</v>
      </c>
      <c r="AF52" s="148">
        <f t="shared" si="7"/>
        <v>1.1765933333333332</v>
      </c>
    </row>
    <row r="53" spans="1:35" x14ac:dyDescent="0.25">
      <c r="A53" s="59" t="s">
        <v>306</v>
      </c>
      <c r="B53" s="62" t="s">
        <v>304</v>
      </c>
      <c r="C53" s="59" t="s">
        <v>128</v>
      </c>
      <c r="D53" s="140"/>
      <c r="E53" s="140" t="s">
        <v>256</v>
      </c>
      <c r="F53" s="114"/>
      <c r="G53" s="23"/>
      <c r="H53" s="150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>
        <v>0</v>
      </c>
      <c r="V53" s="173">
        <v>0</v>
      </c>
      <c r="W53" s="173">
        <v>0</v>
      </c>
      <c r="X53" s="173">
        <v>0</v>
      </c>
      <c r="Y53" s="173">
        <v>0</v>
      </c>
      <c r="Z53" s="173">
        <v>0</v>
      </c>
      <c r="AA53" s="173">
        <v>0</v>
      </c>
      <c r="AB53" s="173">
        <v>0</v>
      </c>
      <c r="AC53" s="173">
        <v>0</v>
      </c>
      <c r="AD53" s="173">
        <v>100</v>
      </c>
      <c r="AE53" s="170">
        <f t="shared" ref="AE53" si="11">SUM(H53:AD53)</f>
        <v>100</v>
      </c>
      <c r="AF53" s="148">
        <f t="shared" ref="AF53" si="12">IFERROR(AE53/F53*100,0)/10000000</f>
        <v>0</v>
      </c>
    </row>
    <row r="54" spans="1:35" x14ac:dyDescent="0.25">
      <c r="A54" s="59" t="s">
        <v>197</v>
      </c>
      <c r="B54" s="62" t="s">
        <v>195</v>
      </c>
      <c r="C54" s="59" t="s">
        <v>196</v>
      </c>
      <c r="D54" s="141" t="s">
        <v>268</v>
      </c>
      <c r="E54" s="162" t="s">
        <v>256</v>
      </c>
      <c r="F54" s="114">
        <v>0.5</v>
      </c>
      <c r="G54" s="23"/>
      <c r="H54" s="150">
        <v>-8850</v>
      </c>
      <c r="I54" s="173">
        <v>-4389</v>
      </c>
      <c r="J54" s="173">
        <v>0</v>
      </c>
      <c r="K54" s="173">
        <v>400</v>
      </c>
      <c r="L54" s="173">
        <v>2850</v>
      </c>
      <c r="M54" s="173">
        <v>-4080</v>
      </c>
      <c r="N54" s="173">
        <v>-2545</v>
      </c>
      <c r="O54" s="173">
        <v>-2000</v>
      </c>
      <c r="P54" s="173">
        <v>-2395</v>
      </c>
      <c r="Q54" s="173">
        <v>0</v>
      </c>
      <c r="R54" s="173">
        <v>0</v>
      </c>
      <c r="S54" s="173">
        <v>5554</v>
      </c>
      <c r="T54" s="173">
        <v>0</v>
      </c>
      <c r="U54" s="173">
        <v>0</v>
      </c>
      <c r="V54" s="173">
        <v>-12969</v>
      </c>
      <c r="W54" s="173">
        <v>3196</v>
      </c>
      <c r="X54" s="173">
        <v>1636</v>
      </c>
      <c r="Y54" s="173">
        <v>-1936</v>
      </c>
      <c r="Z54" s="173">
        <v>0</v>
      </c>
      <c r="AA54" s="173">
        <v>8100</v>
      </c>
      <c r="AB54" s="173">
        <v>-5056</v>
      </c>
      <c r="AC54" s="173">
        <v>-6762</v>
      </c>
      <c r="AD54" s="173">
        <v>2143</v>
      </c>
      <c r="AE54" s="170">
        <f t="shared" si="6"/>
        <v>-27103</v>
      </c>
      <c r="AF54" s="148">
        <f t="shared" si="7"/>
        <v>-0.54205999999999999</v>
      </c>
    </row>
    <row r="55" spans="1:35" x14ac:dyDescent="0.25">
      <c r="A55" s="59" t="s">
        <v>213</v>
      </c>
      <c r="B55" s="62" t="s">
        <v>209</v>
      </c>
      <c r="C55" s="59" t="s">
        <v>210</v>
      </c>
      <c r="D55" s="62" t="s">
        <v>209</v>
      </c>
      <c r="E55" s="62" t="s">
        <v>256</v>
      </c>
      <c r="F55" s="114">
        <v>4</v>
      </c>
      <c r="G55" s="23"/>
      <c r="H55" s="150">
        <v>0</v>
      </c>
      <c r="I55" s="173">
        <v>186659</v>
      </c>
      <c r="J55" s="173">
        <v>0</v>
      </c>
      <c r="K55" s="173">
        <v>0</v>
      </c>
      <c r="L55" s="173">
        <v>70516</v>
      </c>
      <c r="M55" s="173">
        <v>0</v>
      </c>
      <c r="N55" s="173">
        <v>117265</v>
      </c>
      <c r="O55" s="173">
        <v>0</v>
      </c>
      <c r="P55" s="173">
        <v>0</v>
      </c>
      <c r="Q55" s="173">
        <v>106368</v>
      </c>
      <c r="R55" s="173">
        <v>43227</v>
      </c>
      <c r="S55" s="173">
        <v>40092</v>
      </c>
      <c r="T55" s="173">
        <v>0</v>
      </c>
      <c r="U55" s="173">
        <v>76672</v>
      </c>
      <c r="V55" s="173">
        <v>131421</v>
      </c>
      <c r="W55" s="173">
        <v>22916</v>
      </c>
      <c r="X55" s="173">
        <v>-67425</v>
      </c>
      <c r="Y55" s="173">
        <v>0</v>
      </c>
      <c r="Z55" s="173">
        <v>111319</v>
      </c>
      <c r="AA55" s="173">
        <v>84182</v>
      </c>
      <c r="AB55" s="173">
        <v>17580</v>
      </c>
      <c r="AC55" s="173">
        <v>-63667</v>
      </c>
      <c r="AD55" s="173">
        <v>0</v>
      </c>
      <c r="AE55" s="170">
        <f t="shared" si="6"/>
        <v>877125</v>
      </c>
      <c r="AF55" s="148">
        <f t="shared" si="7"/>
        <v>2.1928125000000001</v>
      </c>
    </row>
    <row r="56" spans="1:35" ht="17.25" customHeight="1" x14ac:dyDescent="0.25">
      <c r="A56" s="59" t="s">
        <v>214</v>
      </c>
      <c r="B56" s="62" t="s">
        <v>209</v>
      </c>
      <c r="C56" s="59" t="s">
        <v>211</v>
      </c>
      <c r="D56" s="62" t="s">
        <v>209</v>
      </c>
      <c r="E56" s="62" t="s">
        <v>256</v>
      </c>
      <c r="F56" s="114">
        <v>1.25</v>
      </c>
      <c r="G56" s="23"/>
      <c r="H56" s="150">
        <v>2470</v>
      </c>
      <c r="I56" s="173">
        <v>38785</v>
      </c>
      <c r="J56" s="173">
        <v>21000</v>
      </c>
      <c r="K56" s="173">
        <v>36000</v>
      </c>
      <c r="L56" s="173">
        <v>-51453</v>
      </c>
      <c r="M56" s="173">
        <v>0</v>
      </c>
      <c r="N56" s="173">
        <v>0</v>
      </c>
      <c r="O56" s="173">
        <v>0</v>
      </c>
      <c r="P56" s="173">
        <v>0</v>
      </c>
      <c r="Q56" s="173">
        <v>35309</v>
      </c>
      <c r="R56" s="173">
        <v>83382</v>
      </c>
      <c r="S56" s="173">
        <v>960</v>
      </c>
      <c r="T56" s="173">
        <v>25540</v>
      </c>
      <c r="U56" s="173">
        <v>4713</v>
      </c>
      <c r="V56" s="173">
        <v>46551</v>
      </c>
      <c r="W56" s="173">
        <v>69076</v>
      </c>
      <c r="X56" s="173">
        <v>112980</v>
      </c>
      <c r="Y56" s="173">
        <v>0</v>
      </c>
      <c r="Z56" s="173">
        <v>-51087</v>
      </c>
      <c r="AA56" s="173">
        <v>-103027</v>
      </c>
      <c r="AB56" s="173">
        <v>5881</v>
      </c>
      <c r="AC56" s="173">
        <v>-68061</v>
      </c>
      <c r="AD56" s="173">
        <v>0</v>
      </c>
      <c r="AE56" s="170">
        <f t="shared" si="6"/>
        <v>209019</v>
      </c>
      <c r="AF56" s="148">
        <f t="shared" si="7"/>
        <v>1.6721520000000001</v>
      </c>
    </row>
    <row r="57" spans="1:35" ht="15" customHeight="1" x14ac:dyDescent="0.25">
      <c r="A57" s="59" t="s">
        <v>49</v>
      </c>
      <c r="B57" s="59" t="s">
        <v>99</v>
      </c>
      <c r="C57" s="59" t="s">
        <v>100</v>
      </c>
      <c r="D57" s="59" t="s">
        <v>99</v>
      </c>
      <c r="E57" s="59" t="s">
        <v>256</v>
      </c>
      <c r="F57" s="114">
        <v>3</v>
      </c>
      <c r="G57" s="23"/>
      <c r="H57" s="150">
        <v>0</v>
      </c>
      <c r="I57" s="173">
        <v>187966</v>
      </c>
      <c r="J57" s="173">
        <v>0</v>
      </c>
      <c r="K57" s="173">
        <v>0</v>
      </c>
      <c r="L57" s="173">
        <v>117060</v>
      </c>
      <c r="M57" s="173">
        <v>0</v>
      </c>
      <c r="N57" s="173">
        <v>-155199</v>
      </c>
      <c r="O57" s="173">
        <v>0</v>
      </c>
      <c r="P57" s="173">
        <v>0</v>
      </c>
      <c r="Q57" s="173">
        <v>344511</v>
      </c>
      <c r="R57" s="173">
        <v>0</v>
      </c>
      <c r="S57" s="173">
        <v>129819</v>
      </c>
      <c r="T57" s="173">
        <v>0</v>
      </c>
      <c r="U57" s="173">
        <v>0</v>
      </c>
      <c r="V57" s="173">
        <v>305333</v>
      </c>
      <c r="W57" s="173">
        <v>0</v>
      </c>
      <c r="X57" s="173">
        <v>-56527</v>
      </c>
      <c r="Y57" s="173">
        <v>0</v>
      </c>
      <c r="Z57" s="173">
        <v>0</v>
      </c>
      <c r="AA57" s="173">
        <v>46283</v>
      </c>
      <c r="AB57" s="173">
        <v>0</v>
      </c>
      <c r="AC57" s="173">
        <v>45235</v>
      </c>
      <c r="AD57" s="173">
        <v>0</v>
      </c>
      <c r="AE57" s="170">
        <f t="shared" si="6"/>
        <v>964481</v>
      </c>
      <c r="AF57" s="148">
        <f t="shared" si="7"/>
        <v>3.214936666666667</v>
      </c>
    </row>
    <row r="58" spans="1:35" ht="15" customHeight="1" x14ac:dyDescent="0.25">
      <c r="A58" s="59" t="s">
        <v>41</v>
      </c>
      <c r="B58" s="59" t="s">
        <v>86</v>
      </c>
      <c r="C58" s="59" t="s">
        <v>305</v>
      </c>
      <c r="D58" s="59" t="s">
        <v>86</v>
      </c>
      <c r="E58" s="59" t="s">
        <v>256</v>
      </c>
      <c r="F58" s="114">
        <v>2.5</v>
      </c>
      <c r="G58" s="23"/>
      <c r="H58" s="150">
        <v>2000</v>
      </c>
      <c r="I58" s="173">
        <v>-41390</v>
      </c>
      <c r="J58" s="173">
        <v>10252</v>
      </c>
      <c r="K58" s="173">
        <v>-25733</v>
      </c>
      <c r="L58" s="173">
        <v>-10000</v>
      </c>
      <c r="M58" s="173">
        <v>7400</v>
      </c>
      <c r="N58" s="173">
        <v>-2380</v>
      </c>
      <c r="O58" s="173">
        <v>1500</v>
      </c>
      <c r="P58" s="173">
        <v>17900</v>
      </c>
      <c r="Q58" s="173">
        <v>3350</v>
      </c>
      <c r="R58" s="173">
        <v>2188</v>
      </c>
      <c r="S58" s="173">
        <v>-27900</v>
      </c>
      <c r="T58" s="173">
        <v>-9500</v>
      </c>
      <c r="U58" s="173">
        <v>-22800</v>
      </c>
      <c r="V58" s="173">
        <v>15780</v>
      </c>
      <c r="W58" s="173">
        <v>23500</v>
      </c>
      <c r="X58" s="173">
        <v>34416</v>
      </c>
      <c r="Y58" s="173">
        <v>27080</v>
      </c>
      <c r="Z58" s="173">
        <v>5939</v>
      </c>
      <c r="AA58" s="173">
        <v>-37600</v>
      </c>
      <c r="AB58" s="173">
        <v>17860</v>
      </c>
      <c r="AC58" s="173">
        <v>-44896</v>
      </c>
      <c r="AD58" s="173">
        <v>17840</v>
      </c>
      <c r="AE58" s="170">
        <f t="shared" si="6"/>
        <v>-35194</v>
      </c>
      <c r="AF58" s="148">
        <f t="shared" si="7"/>
        <v>-0.14077600000000001</v>
      </c>
    </row>
    <row r="59" spans="1:35" ht="15" customHeight="1" x14ac:dyDescent="0.25">
      <c r="A59" s="59" t="s">
        <v>300</v>
      </c>
      <c r="B59" s="59" t="s">
        <v>286</v>
      </c>
      <c r="C59" s="59" t="s">
        <v>299</v>
      </c>
      <c r="D59" s="59"/>
      <c r="E59" s="59" t="s">
        <v>256</v>
      </c>
      <c r="F59" s="114">
        <v>0.25</v>
      </c>
      <c r="G59" s="23"/>
      <c r="H59" s="150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>
        <v>0</v>
      </c>
      <c r="W59" s="173">
        <v>0</v>
      </c>
      <c r="X59" s="173">
        <v>0</v>
      </c>
      <c r="Y59" s="173">
        <v>0</v>
      </c>
      <c r="Z59" s="173">
        <v>0</v>
      </c>
      <c r="AA59" s="173">
        <v>-50</v>
      </c>
      <c r="AB59" s="173">
        <v>-380</v>
      </c>
      <c r="AC59" s="173">
        <v>-1548</v>
      </c>
      <c r="AD59" s="173">
        <v>-528</v>
      </c>
      <c r="AE59" s="170">
        <f t="shared" ref="AE59" si="13">SUM(H59:AD59)</f>
        <v>-2506</v>
      </c>
      <c r="AF59" s="148">
        <f t="shared" ref="AF59" si="14">IFERROR(AE59/F59*100,0)/10000000</f>
        <v>-0.10024</v>
      </c>
    </row>
    <row r="60" spans="1:35" ht="15" customHeight="1" x14ac:dyDescent="0.25">
      <c r="A60" s="59" t="s">
        <v>288</v>
      </c>
      <c r="B60" s="59" t="s">
        <v>286</v>
      </c>
      <c r="C60" s="59" t="s">
        <v>285</v>
      </c>
      <c r="D60" s="59"/>
      <c r="E60" s="59" t="s">
        <v>287</v>
      </c>
      <c r="F60" s="114">
        <v>5</v>
      </c>
      <c r="G60" s="23"/>
      <c r="H60" s="150">
        <v>0</v>
      </c>
      <c r="I60" s="173">
        <v>0</v>
      </c>
      <c r="J60" s="173">
        <v>0</v>
      </c>
      <c r="K60" s="173">
        <v>0</v>
      </c>
      <c r="L60" s="173">
        <v>0</v>
      </c>
      <c r="M60" s="173">
        <v>11515</v>
      </c>
      <c r="N60" s="173">
        <v>-75858</v>
      </c>
      <c r="O60" s="173">
        <v>-9000</v>
      </c>
      <c r="P60" s="173">
        <v>-3670</v>
      </c>
      <c r="Q60" s="173">
        <v>26940</v>
      </c>
      <c r="R60" s="173">
        <v>7306</v>
      </c>
      <c r="S60" s="173">
        <v>75025</v>
      </c>
      <c r="T60" s="173">
        <v>2757</v>
      </c>
      <c r="U60" s="173">
        <v>723</v>
      </c>
      <c r="V60" s="173">
        <v>80000</v>
      </c>
      <c r="W60" s="173">
        <v>-3661</v>
      </c>
      <c r="X60" s="173">
        <v>72461</v>
      </c>
      <c r="Y60" s="173">
        <v>0</v>
      </c>
      <c r="Z60" s="173">
        <v>3564</v>
      </c>
      <c r="AA60" s="173">
        <v>59128</v>
      </c>
      <c r="AB60" s="173">
        <v>-1300</v>
      </c>
      <c r="AC60" s="173">
        <v>23300</v>
      </c>
      <c r="AD60" s="173">
        <v>3917</v>
      </c>
      <c r="AE60" s="170">
        <f t="shared" si="6"/>
        <v>273147</v>
      </c>
      <c r="AF60" s="148">
        <f t="shared" si="7"/>
        <v>0.54629399999999995</v>
      </c>
    </row>
    <row r="61" spans="1:35" ht="15.75" thickBot="1" x14ac:dyDescent="0.3">
      <c r="A61" s="20"/>
      <c r="B61" s="21"/>
      <c r="C61" s="20"/>
      <c r="D61" s="22"/>
      <c r="E61" s="22"/>
      <c r="F61" s="114"/>
      <c r="G61" s="23"/>
      <c r="H61" s="150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0"/>
      <c r="AF61" s="148"/>
    </row>
    <row r="62" spans="1:35" ht="15.75" thickBot="1" x14ac:dyDescent="0.3">
      <c r="A62" s="24"/>
      <c r="B62" s="25"/>
      <c r="C62" s="26"/>
      <c r="D62" s="24"/>
      <c r="E62" s="24"/>
      <c r="F62" s="115"/>
      <c r="G62" s="16"/>
      <c r="H62" s="168">
        <f t="shared" ref="H62:AC62" si="15">SUM(H4:H60)</f>
        <v>1832758</v>
      </c>
      <c r="I62" s="252">
        <f t="shared" si="15"/>
        <v>2913966</v>
      </c>
      <c r="J62" s="252">
        <f t="shared" si="15"/>
        <v>973798</v>
      </c>
      <c r="K62" s="252">
        <f t="shared" si="15"/>
        <v>1060827</v>
      </c>
      <c r="L62" s="252">
        <f t="shared" si="15"/>
        <v>1870211</v>
      </c>
      <c r="M62" s="252">
        <f t="shared" si="15"/>
        <v>-464573</v>
      </c>
      <c r="N62" s="252">
        <f t="shared" si="15"/>
        <v>-5930040</v>
      </c>
      <c r="O62" s="252">
        <f t="shared" si="15"/>
        <v>1329639</v>
      </c>
      <c r="P62" s="252">
        <f t="shared" si="15"/>
        <v>-37319</v>
      </c>
      <c r="Q62" s="252">
        <f t="shared" si="15"/>
        <v>3580649</v>
      </c>
      <c r="R62" s="252">
        <f t="shared" si="15"/>
        <v>971808</v>
      </c>
      <c r="S62" s="252">
        <f t="shared" si="15"/>
        <v>1148987</v>
      </c>
      <c r="T62" s="252">
        <f t="shared" si="15"/>
        <v>-359060</v>
      </c>
      <c r="U62" s="252">
        <f t="shared" si="15"/>
        <v>1233467</v>
      </c>
      <c r="V62" s="252">
        <f t="shared" si="15"/>
        <v>4814284</v>
      </c>
      <c r="W62" s="252">
        <f t="shared" si="15"/>
        <v>-273113</v>
      </c>
      <c r="X62" s="252">
        <f t="shared" si="15"/>
        <v>1386817</v>
      </c>
      <c r="Y62" s="252">
        <f t="shared" si="15"/>
        <v>-423342</v>
      </c>
      <c r="Z62" s="252">
        <f t="shared" si="15"/>
        <v>168539</v>
      </c>
      <c r="AA62" s="252">
        <f t="shared" si="15"/>
        <v>2079537</v>
      </c>
      <c r="AB62" s="252">
        <f t="shared" si="15"/>
        <v>603336</v>
      </c>
      <c r="AC62" s="252">
        <f t="shared" si="15"/>
        <v>-1042176</v>
      </c>
      <c r="AD62" s="252">
        <f>SUM(AD4:AD60)</f>
        <v>256581</v>
      </c>
      <c r="AE62" s="253">
        <f>SUM(H62:AD62)</f>
        <v>17695581</v>
      </c>
      <c r="AF62" s="254">
        <f>IFERROR(AE62/F62*100,0)/10000000</f>
        <v>0</v>
      </c>
    </row>
    <row r="63" spans="1:35" s="248" customFormat="1" ht="15.75" thickBot="1" x14ac:dyDescent="0.3">
      <c r="A63" s="249"/>
      <c r="B63" s="249"/>
      <c r="C63" s="249"/>
      <c r="D63" s="249"/>
      <c r="E63" s="249"/>
      <c r="F63" s="250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51"/>
    </row>
    <row r="64" spans="1:35" x14ac:dyDescent="0.25">
      <c r="A64" s="201" t="s">
        <v>241</v>
      </c>
      <c r="B64" s="202" t="s">
        <v>240</v>
      </c>
      <c r="C64" s="202" t="s">
        <v>57</v>
      </c>
      <c r="D64" s="202" t="s">
        <v>87</v>
      </c>
      <c r="E64" s="202" t="s">
        <v>256</v>
      </c>
      <c r="F64" s="203">
        <v>3</v>
      </c>
      <c r="G64" s="204"/>
      <c r="H64" s="161">
        <v>-85850</v>
      </c>
      <c r="I64" s="245">
        <v>-7738</v>
      </c>
      <c r="J64" s="245">
        <v>0</v>
      </c>
      <c r="K64" s="245">
        <v>23670</v>
      </c>
      <c r="L64" s="245">
        <v>87400</v>
      </c>
      <c r="M64" s="245">
        <v>11200</v>
      </c>
      <c r="N64" s="245">
        <v>13200</v>
      </c>
      <c r="O64" s="245">
        <v>0</v>
      </c>
      <c r="P64" s="245">
        <v>-128856</v>
      </c>
      <c r="Q64" s="245">
        <v>244410</v>
      </c>
      <c r="R64" s="245">
        <v>-64821</v>
      </c>
      <c r="S64" s="245">
        <v>40068</v>
      </c>
      <c r="T64" s="245">
        <v>0</v>
      </c>
      <c r="U64" s="245">
        <v>38900</v>
      </c>
      <c r="V64" s="245">
        <v>400</v>
      </c>
      <c r="W64" s="245">
        <v>-72768</v>
      </c>
      <c r="X64" s="245">
        <v>84900</v>
      </c>
      <c r="Y64" s="245">
        <v>0</v>
      </c>
      <c r="Z64" s="245">
        <v>15400</v>
      </c>
      <c r="AA64" s="245">
        <v>293115</v>
      </c>
      <c r="AB64" s="245">
        <v>6000</v>
      </c>
      <c r="AC64" s="245">
        <v>116350</v>
      </c>
      <c r="AD64" s="245">
        <v>0</v>
      </c>
      <c r="AE64" s="246">
        <f>SUM(H64:AD64)</f>
        <v>614980</v>
      </c>
      <c r="AF64" s="247">
        <f>IFERROR(AE64/F64*100,0)/10000000</f>
        <v>2.0499333333333336</v>
      </c>
      <c r="AI64" s="133"/>
    </row>
    <row r="65" spans="1:36" x14ac:dyDescent="0.25">
      <c r="A65" s="201" t="s">
        <v>273</v>
      </c>
      <c r="B65" s="202" t="s">
        <v>272</v>
      </c>
      <c r="C65" s="202" t="s">
        <v>57</v>
      </c>
      <c r="D65" s="202" t="s">
        <v>87</v>
      </c>
      <c r="E65" s="202" t="s">
        <v>256</v>
      </c>
      <c r="F65" s="203"/>
      <c r="G65" s="204"/>
      <c r="H65" s="161">
        <v>1000</v>
      </c>
      <c r="I65" s="173">
        <v>0</v>
      </c>
      <c r="J65" s="173">
        <v>-2000</v>
      </c>
      <c r="K65" s="173">
        <v>13000</v>
      </c>
      <c r="L65" s="173">
        <v>230000</v>
      </c>
      <c r="M65" s="173">
        <v>500</v>
      </c>
      <c r="N65" s="173">
        <v>0</v>
      </c>
      <c r="O65" s="173">
        <v>0</v>
      </c>
      <c r="P65" s="173">
        <v>-27000</v>
      </c>
      <c r="Q65" s="173">
        <v>270000</v>
      </c>
      <c r="R65" s="173">
        <v>-6500</v>
      </c>
      <c r="S65" s="173">
        <v>0</v>
      </c>
      <c r="T65" s="173">
        <v>0</v>
      </c>
      <c r="U65" s="173">
        <v>-22000</v>
      </c>
      <c r="V65" s="173">
        <v>298000</v>
      </c>
      <c r="W65" s="173">
        <v>0</v>
      </c>
      <c r="X65" s="173">
        <v>0</v>
      </c>
      <c r="Y65" s="173">
        <v>0</v>
      </c>
      <c r="Z65" s="173">
        <v>7000</v>
      </c>
      <c r="AA65" s="173">
        <v>209446</v>
      </c>
      <c r="AB65" s="173">
        <v>0</v>
      </c>
      <c r="AC65" s="173">
        <v>0</v>
      </c>
      <c r="AD65" s="173">
        <v>0</v>
      </c>
      <c r="AE65" s="170">
        <f>SUM(H65:AD65)</f>
        <v>971446</v>
      </c>
      <c r="AF65" s="148">
        <f>IFERROR(AE65/F65*100,0)/10000000</f>
        <v>0</v>
      </c>
      <c r="AH65" s="133"/>
    </row>
    <row r="66" spans="1:36" ht="15.75" thickBot="1" x14ac:dyDescent="0.3">
      <c r="A66" s="197"/>
      <c r="B66" s="20"/>
      <c r="C66" s="20"/>
      <c r="D66" s="20"/>
      <c r="E66" s="20"/>
      <c r="F66" s="114"/>
      <c r="G66" s="198"/>
      <c r="H66" s="150"/>
      <c r="I66" s="173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  <c r="AD66" s="174"/>
      <c r="AE66" s="171"/>
      <c r="AF66" s="66"/>
      <c r="AH66" s="236"/>
      <c r="AI66" s="133"/>
      <c r="AJ66" s="236"/>
    </row>
    <row r="67" spans="1:36" ht="15.75" thickBot="1" x14ac:dyDescent="0.3">
      <c r="A67" s="199"/>
      <c r="B67" s="16"/>
      <c r="C67" s="16"/>
      <c r="D67" s="16"/>
      <c r="E67" s="16"/>
      <c r="F67" s="74"/>
      <c r="G67" s="17"/>
      <c r="H67" s="169">
        <f>SUM(H64:H64)</f>
        <v>-85850</v>
      </c>
      <c r="I67" s="211">
        <f t="shared" ref="I67:AD67" si="16">SUM(I64:I65)</f>
        <v>-7738</v>
      </c>
      <c r="J67" s="211">
        <f t="shared" si="16"/>
        <v>-2000</v>
      </c>
      <c r="K67" s="211">
        <f t="shared" si="16"/>
        <v>36670</v>
      </c>
      <c r="L67" s="211">
        <f t="shared" si="16"/>
        <v>317400</v>
      </c>
      <c r="M67" s="211">
        <f t="shared" si="16"/>
        <v>11700</v>
      </c>
      <c r="N67" s="211">
        <f t="shared" si="16"/>
        <v>13200</v>
      </c>
      <c r="O67" s="211">
        <f t="shared" si="16"/>
        <v>0</v>
      </c>
      <c r="P67" s="211">
        <f t="shared" si="16"/>
        <v>-155856</v>
      </c>
      <c r="Q67" s="211">
        <f t="shared" si="16"/>
        <v>514410</v>
      </c>
      <c r="R67" s="211">
        <f t="shared" si="16"/>
        <v>-71321</v>
      </c>
      <c r="S67" s="211">
        <f t="shared" si="16"/>
        <v>40068</v>
      </c>
      <c r="T67" s="211">
        <f t="shared" si="16"/>
        <v>0</v>
      </c>
      <c r="U67" s="211">
        <f t="shared" si="16"/>
        <v>16900</v>
      </c>
      <c r="V67" s="211">
        <f t="shared" si="16"/>
        <v>298400</v>
      </c>
      <c r="W67" s="211">
        <f t="shared" si="16"/>
        <v>-72768</v>
      </c>
      <c r="X67" s="211">
        <f t="shared" si="16"/>
        <v>84900</v>
      </c>
      <c r="Y67" s="211">
        <f t="shared" si="16"/>
        <v>0</v>
      </c>
      <c r="Z67" s="211">
        <f t="shared" si="16"/>
        <v>22400</v>
      </c>
      <c r="AA67" s="211">
        <f t="shared" si="16"/>
        <v>502561</v>
      </c>
      <c r="AB67" s="211">
        <f t="shared" si="16"/>
        <v>6000</v>
      </c>
      <c r="AC67" s="211">
        <f t="shared" si="16"/>
        <v>116350</v>
      </c>
      <c r="AD67" s="211">
        <f t="shared" si="16"/>
        <v>0</v>
      </c>
      <c r="AE67" s="253">
        <f>SUM(H67:AD67)</f>
        <v>1585426</v>
      </c>
      <c r="AF67" s="19"/>
      <c r="AH67" s="5"/>
      <c r="AI67" s="133"/>
      <c r="AJ67" s="236"/>
    </row>
    <row r="68" spans="1:36" x14ac:dyDescent="0.25">
      <c r="AH68" s="133"/>
      <c r="AI68" s="133"/>
      <c r="AJ68" s="236"/>
    </row>
    <row r="69" spans="1:36" x14ac:dyDescent="0.25">
      <c r="AH69" s="133"/>
      <c r="AI69" s="133"/>
      <c r="AJ69" s="236"/>
    </row>
    <row r="70" spans="1:36" x14ac:dyDescent="0.25">
      <c r="AH70" s="133"/>
      <c r="AI70" s="133"/>
      <c r="AJ70" s="236"/>
    </row>
    <row r="71" spans="1:36" x14ac:dyDescent="0.25">
      <c r="AH71" s="133"/>
      <c r="AI71" s="133"/>
      <c r="AJ71" s="236"/>
    </row>
    <row r="72" spans="1:36" x14ac:dyDescent="0.25">
      <c r="AH72" s="133"/>
      <c r="AI72" s="236"/>
      <c r="AJ72" s="236"/>
    </row>
    <row r="73" spans="1:36" x14ac:dyDescent="0.25">
      <c r="AH73" s="236"/>
      <c r="AI73" s="236"/>
      <c r="AJ73" s="236"/>
    </row>
  </sheetData>
  <conditionalFormatting sqref="G2 A3:G3 AF43:AF44 AF50:AF52 AF62:AF63 H2:AF3 AF46:AF47 AF9:AF17 AF23:AF24 AF19:AF21 AE9:AE24 AE5:AF8 AE26:AE47 AF26:AF39 AE60:AF61 AE49:AE52 A64:AF66 AF67 A67:AD67 AE53:AF58 A4:AD20 A23:AD62 C21:AD21 B22:AD22">
    <cfRule type="expression" dxfId="402" priority="20">
      <formula>MOD(ROW(),2)=0</formula>
    </cfRule>
  </conditionalFormatting>
  <conditionalFormatting sqref="AF40">
    <cfRule type="expression" dxfId="401" priority="19">
      <formula>MOD(ROW(),2)=0</formula>
    </cfRule>
  </conditionalFormatting>
  <conditionalFormatting sqref="AF42">
    <cfRule type="expression" dxfId="400" priority="18">
      <formula>MOD(ROW(),2)=0</formula>
    </cfRule>
  </conditionalFormatting>
  <conditionalFormatting sqref="AE4:AF4">
    <cfRule type="expression" dxfId="399" priority="16">
      <formula>MOD(ROW(),2)=0</formula>
    </cfRule>
  </conditionalFormatting>
  <conditionalFormatting sqref="AF41">
    <cfRule type="expression" dxfId="398" priority="14">
      <formula>MOD(ROW(),2)=0</formula>
    </cfRule>
  </conditionalFormatting>
  <conditionalFormatting sqref="AF18">
    <cfRule type="expression" dxfId="397" priority="13">
      <formula>MOD(ROW(),2)=0</formula>
    </cfRule>
  </conditionalFormatting>
  <conditionalFormatting sqref="AF49">
    <cfRule type="expression" dxfId="396" priority="12">
      <formula>MOD(ROW(),2)=0</formula>
    </cfRule>
  </conditionalFormatting>
  <conditionalFormatting sqref="AF22">
    <cfRule type="expression" dxfId="395" priority="11">
      <formula>MOD(ROW(),2)=0</formula>
    </cfRule>
  </conditionalFormatting>
  <conditionalFormatting sqref="AE62">
    <cfRule type="expression" dxfId="394" priority="10">
      <formula>MOD(ROW(),2)=0</formula>
    </cfRule>
  </conditionalFormatting>
  <conditionalFormatting sqref="AF45">
    <cfRule type="expression" dxfId="393" priority="9">
      <formula>MOD(ROW(),2)=0</formula>
    </cfRule>
  </conditionalFormatting>
  <conditionalFormatting sqref="AE25:AF25">
    <cfRule type="expression" dxfId="392" priority="6">
      <formula>MOD(ROW(),2)=0</formula>
    </cfRule>
  </conditionalFormatting>
  <conditionalFormatting sqref="AE59:AF59">
    <cfRule type="expression" dxfId="391" priority="5">
      <formula>MOD(ROW(),2)=0</formula>
    </cfRule>
  </conditionalFormatting>
  <conditionalFormatting sqref="AE48:AF48">
    <cfRule type="expression" dxfId="390" priority="4">
      <formula>MOD(ROW(),2)=0</formula>
    </cfRule>
  </conditionalFormatting>
  <conditionalFormatting sqref="AE67">
    <cfRule type="expression" dxfId="389" priority="3">
      <formula>MOD(ROW(),2)=0</formula>
    </cfRule>
  </conditionalFormatting>
  <conditionalFormatting sqref="B21">
    <cfRule type="expression" dxfId="388" priority="2">
      <formula>MOD(ROW(),2)=0</formula>
    </cfRule>
  </conditionalFormatting>
  <conditionalFormatting sqref="A21:A22">
    <cfRule type="expression" dxfId="387" priority="1">
      <formula>MOD(ROW(),2)=0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71"/>
  <sheetViews>
    <sheetView topLeftCell="A37" workbookViewId="0">
      <selection activeCell="B6" sqref="B6"/>
    </sheetView>
  </sheetViews>
  <sheetFormatPr defaultRowHeight="15" outlineLevelCol="1" x14ac:dyDescent="0.25"/>
  <cols>
    <col min="1" max="1" width="9.140625" style="131"/>
    <col min="2" max="2" width="19.42578125" style="131" customWidth="1"/>
    <col min="3" max="3" width="11.5703125" style="131" customWidth="1"/>
    <col min="4" max="4" width="17.28515625" style="131" customWidth="1"/>
    <col min="5" max="5" width="13.42578125" style="131" customWidth="1"/>
    <col min="6" max="6" width="10.28515625" style="131" bestFit="1" customWidth="1"/>
    <col min="7" max="7" width="11" style="131" customWidth="1"/>
    <col min="8" max="8" width="9.42578125" style="131" customWidth="1"/>
    <col min="9" max="9" width="11.28515625" style="131" customWidth="1"/>
    <col min="10" max="10" width="10" style="131" customWidth="1"/>
    <col min="11" max="11" width="11.140625" style="131" customWidth="1"/>
    <col min="12" max="12" width="10.5703125" style="131" customWidth="1"/>
    <col min="13" max="14" width="10.5703125" style="131" customWidth="1" outlineLevel="1"/>
    <col min="15" max="15" width="19.7109375" style="131" customWidth="1"/>
    <col min="16" max="16384" width="9.140625" style="131"/>
  </cols>
  <sheetData>
    <row r="1" spans="1:14" ht="15.75" thickBot="1" x14ac:dyDescent="0.3"/>
    <row r="2" spans="1:14" ht="16.5" thickBot="1" x14ac:dyDescent="0.3">
      <c r="G2" s="84" t="s">
        <v>276</v>
      </c>
      <c r="H2" s="85" t="s">
        <v>277</v>
      </c>
      <c r="I2" s="95" t="s">
        <v>278</v>
      </c>
      <c r="J2" s="96" t="s">
        <v>279</v>
      </c>
      <c r="K2" s="105" t="s">
        <v>281</v>
      </c>
      <c r="L2" s="106" t="s">
        <v>280</v>
      </c>
      <c r="M2" s="126" t="s">
        <v>89</v>
      </c>
      <c r="N2" s="127" t="s">
        <v>126</v>
      </c>
    </row>
    <row r="3" spans="1:14" ht="16.5" thickBot="1" x14ac:dyDescent="0.3">
      <c r="A3" s="49" t="s">
        <v>54</v>
      </c>
      <c r="B3" s="49" t="s">
        <v>69</v>
      </c>
      <c r="C3" s="49" t="s">
        <v>70</v>
      </c>
      <c r="D3" s="49" t="s">
        <v>2</v>
      </c>
      <c r="E3" s="49" t="s">
        <v>257</v>
      </c>
      <c r="F3" s="55" t="s">
        <v>102</v>
      </c>
      <c r="G3" s="86"/>
      <c r="H3" s="87"/>
      <c r="I3" s="97"/>
      <c r="J3" s="98"/>
      <c r="K3" s="107"/>
      <c r="L3" s="108"/>
      <c r="M3" s="69"/>
      <c r="N3" s="70"/>
    </row>
    <row r="4" spans="1:14" x14ac:dyDescent="0.25">
      <c r="A4" s="141" t="s">
        <v>216</v>
      </c>
      <c r="B4" s="44" t="s">
        <v>215</v>
      </c>
      <c r="C4" s="141" t="s">
        <v>11</v>
      </c>
      <c r="D4" s="141" t="s">
        <v>260</v>
      </c>
      <c r="E4" s="141" t="s">
        <v>256</v>
      </c>
      <c r="F4" s="155">
        <v>0.5</v>
      </c>
      <c r="G4" s="152">
        <f>IFERROR(VLOOKUP($A$3:$A$126,'JULY-2026'!$A$4:$ACS$118,MATCH('FY-(26-27)Q2'!$G$2:$H$2,'JULY-2026'!$A$2:$CT$2,0),0),0)</f>
        <v>-16641</v>
      </c>
      <c r="H4" s="154">
        <f>IFERROR(VLOOKUP($A$3:$A$126,'JULY-2026'!$A$4:$ACS$118,MATCH('FY-(26-27)Q2'!$G$2:$H$2,'JULY-2026'!$A$2:$CT$2,0),0),0)</f>
        <v>-0.33282</v>
      </c>
      <c r="I4" s="152">
        <f>IFERROR(VLOOKUP($A$3:$A$126,'AUG-2026'!$A$4:$ADL$124,MATCH('FY-(26-27)Q2'!$I$2:$J$2,'AUG-2026'!$A$2:$DM$2,0),0),0)</f>
        <v>-10403</v>
      </c>
      <c r="J4" s="154">
        <f>IFERROR(VLOOKUP($A$3:$A$126,'AUG-2026'!$A$4:$ADL$124,MATCH('FY-(26-27)Q2'!$I$2:$J$2,'AUG-2026'!$A$2:$DM$2,0),0),0)</f>
        <v>-0.20805999999999999</v>
      </c>
      <c r="K4" s="152">
        <f>IFERROR(VLOOKUP($A$3:$A$126,'SEP-2026'!$A$4:$AEE$125,MATCH('FY-(26-27)Q2'!$K$2:$L$2,'SEP-2026'!$A$2:$EF$2,0),0),0)</f>
        <v>-477094</v>
      </c>
      <c r="L4" s="154">
        <f>IFERROR(VLOOKUP($A$3:$A$126,'SEP-2026'!$A$4:$AEE$125,MATCH('FY-(26-27)Q2'!$K$2:$L$2,'SEP-2026'!$A$2:$EF$2,0),0),0)</f>
        <v>-9.5418800000000008</v>
      </c>
      <c r="M4" s="71">
        <f t="shared" ref="M4:N62" si="0">G4+I4+K4</f>
        <v>-504138</v>
      </c>
      <c r="N4" s="165">
        <f t="shared" si="0"/>
        <v>-10.08276</v>
      </c>
    </row>
    <row r="5" spans="1:14" x14ac:dyDescent="0.25">
      <c r="A5" s="141" t="s">
        <v>30</v>
      </c>
      <c r="B5" s="140" t="s">
        <v>341</v>
      </c>
      <c r="C5" s="140" t="s">
        <v>6</v>
      </c>
      <c r="D5" s="38" t="s">
        <v>138</v>
      </c>
      <c r="E5" s="38" t="s">
        <v>256</v>
      </c>
      <c r="F5" s="155">
        <v>3.5</v>
      </c>
      <c r="G5" s="152">
        <f>IFERROR(VLOOKUP($A$3:$A$126,'JULY-2026'!$A$4:$ACS$118,MATCH('FY-(26-27)Q2'!$G$2:$H$2,'JULY-2026'!$A$2:$CT$2,0),0),0)</f>
        <v>130806</v>
      </c>
      <c r="H5" s="154">
        <f>IFERROR(VLOOKUP($A$3:$A$126,'JULY-2026'!$A$4:$ACS$118,MATCH('FY-(26-27)Q2'!$G$2:$H$2,'JULY-2026'!$A$2:$CT$2,0),0),0)</f>
        <v>0.43602000000000002</v>
      </c>
      <c r="I5" s="152">
        <f>IFERROR(VLOOKUP($A$3:$A$126,'AUG-2026'!$A$4:$ADL$124,MATCH('FY-(26-27)Q2'!$I$2:$J$2,'AUG-2026'!$A$2:$DM$2,0),0),0)</f>
        <v>-381777</v>
      </c>
      <c r="J5" s="154">
        <f>IFERROR(VLOOKUP($A$3:$A$126,'AUG-2026'!$A$4:$ADL$124,MATCH('FY-(26-27)Q2'!$I$2:$J$2,'AUG-2026'!$A$2:$DM$2,0),0),0)</f>
        <v>-1.2725900000000001</v>
      </c>
      <c r="K5" s="152">
        <f>IFERROR(VLOOKUP($A$3:$A$126,'SEP-2026'!$A$4:$AEE$125,MATCH('FY-(26-27)Q2'!$K$2:$L$2,'SEP-2026'!$A$2:$EF$2,0),0),0)</f>
        <v>158911</v>
      </c>
      <c r="L5" s="154">
        <f>IFERROR(VLOOKUP($A$3:$A$126,'SEP-2026'!$A$4:$AEE$125,MATCH('FY-(26-27)Q2'!$K$2:$L$2,'SEP-2026'!$A$2:$EF$2,0),0),0)</f>
        <v>0.52970333333333341</v>
      </c>
      <c r="M5" s="71">
        <f t="shared" si="0"/>
        <v>-92060</v>
      </c>
      <c r="N5" s="165">
        <f t="shared" si="0"/>
        <v>-0.30686666666666662</v>
      </c>
    </row>
    <row r="6" spans="1:14" x14ac:dyDescent="0.25">
      <c r="A6" s="141" t="s">
        <v>177</v>
      </c>
      <c r="B6" s="140" t="s">
        <v>309</v>
      </c>
      <c r="C6" s="140" t="s">
        <v>310</v>
      </c>
      <c r="D6" s="159" t="s">
        <v>138</v>
      </c>
      <c r="E6" s="159" t="s">
        <v>256</v>
      </c>
      <c r="F6" s="155">
        <v>1</v>
      </c>
      <c r="G6" s="152">
        <f>IFERROR(VLOOKUP($A$3:$A$126,'JULY-2026'!$A$4:$ACS$118,MATCH('FY-(26-27)Q2'!$G$2:$H$2,'JULY-2026'!$A$2:$CT$2,0),0),0)</f>
        <v>0</v>
      </c>
      <c r="H6" s="154">
        <f>IFERROR(VLOOKUP($A$3:$A$126,'JULY-2026'!$A$4:$ACS$118,MATCH('FY-(26-27)Q2'!$G$2:$H$2,'JULY-2026'!$A$2:$CT$2,0),0),0)</f>
        <v>0</v>
      </c>
      <c r="I6" s="152">
        <f>IFERROR(VLOOKUP($A$3:$A$126,'AUG-2026'!$A$4:$ADL$124,MATCH('FY-(26-27)Q2'!$I$2:$J$2,'AUG-2026'!$A$2:$DM$2,0),0),0)</f>
        <v>116185</v>
      </c>
      <c r="J6" s="154">
        <f>IFERROR(VLOOKUP($A$3:$A$126,'AUG-2026'!$A$4:$ADL$124,MATCH('FY-(26-27)Q2'!$I$2:$J$2,'AUG-2026'!$A$2:$DM$2,0),0),0)</f>
        <v>1.16185</v>
      </c>
      <c r="K6" s="152">
        <f>IFERROR(VLOOKUP($A$3:$A$126,'SEP-2026'!$A$4:$AEE$125,MATCH('FY-(26-27)Q2'!$K$2:$L$2,'SEP-2026'!$A$2:$EF$2,0),0),0)</f>
        <v>-6830</v>
      </c>
      <c r="L6" s="154">
        <f>IFERROR(VLOOKUP($A$3:$A$126,'SEP-2026'!$A$4:$AEE$125,MATCH('FY-(26-27)Q2'!$K$2:$L$2,'SEP-2026'!$A$2:$EF$2,0),0),0)</f>
        <v>-6.83E-2</v>
      </c>
      <c r="M6" s="71">
        <f t="shared" ref="M6:M7" si="1">G6+I6+K6</f>
        <v>109355</v>
      </c>
      <c r="N6" s="165">
        <f t="shared" ref="N6:N7" si="2">H6+J6+L6</f>
        <v>1.09355</v>
      </c>
    </row>
    <row r="7" spans="1:14" x14ac:dyDescent="0.25">
      <c r="A7" s="141" t="s">
        <v>323</v>
      </c>
      <c r="B7" s="140" t="s">
        <v>309</v>
      </c>
      <c r="C7" s="140" t="s">
        <v>312</v>
      </c>
      <c r="D7" s="159" t="s">
        <v>311</v>
      </c>
      <c r="E7" s="159" t="s">
        <v>256</v>
      </c>
      <c r="F7" s="155">
        <v>1</v>
      </c>
      <c r="G7" s="152">
        <f>IFERROR(VLOOKUP($A$3:$A$126,'JULY-2026'!$A$4:$ACS$118,MATCH('FY-(26-27)Q2'!$G$2:$H$2,'JULY-2026'!$A$2:$CT$2,0),0),0)</f>
        <v>0</v>
      </c>
      <c r="H7" s="154">
        <f>IFERROR(VLOOKUP($A$3:$A$126,'JULY-2026'!$A$4:$ACS$118,MATCH('FY-(26-27)Q2'!$G$2:$H$2,'JULY-2026'!$A$2:$CT$2,0),0),0)</f>
        <v>0</v>
      </c>
      <c r="I7" s="152">
        <f>IFERROR(VLOOKUP($A$3:$A$126,'AUG-2026'!$A$4:$ADL$124,MATCH('FY-(26-27)Q2'!$I$2:$J$2,'AUG-2026'!$A$2:$DM$2,0),0),0)</f>
        <v>-28990</v>
      </c>
      <c r="J7" s="154">
        <f>IFERROR(VLOOKUP($A$3:$A$126,'AUG-2026'!$A$4:$ADL$124,MATCH('FY-(26-27)Q2'!$I$2:$J$2,'AUG-2026'!$A$2:$DM$2,0),0),0)</f>
        <v>0</v>
      </c>
      <c r="K7" s="152">
        <f>IFERROR(VLOOKUP($A$3:$A$126,'SEP-2026'!$A$4:$AEE$125,MATCH('FY-(26-27)Q2'!$K$2:$L$2,'SEP-2026'!$A$2:$EF$2,0),0),0)</f>
        <v>-107396</v>
      </c>
      <c r="L7" s="154">
        <f>IFERROR(VLOOKUP($A$3:$A$126,'SEP-2026'!$A$4:$AEE$125,MATCH('FY-(26-27)Q2'!$K$2:$L$2,'SEP-2026'!$A$2:$EF$2,0),0),0)</f>
        <v>-1.07396</v>
      </c>
      <c r="M7" s="71">
        <f t="shared" si="1"/>
        <v>-136386</v>
      </c>
      <c r="N7" s="165">
        <f t="shared" si="2"/>
        <v>-1.07396</v>
      </c>
    </row>
    <row r="8" spans="1:14" x14ac:dyDescent="0.25">
      <c r="A8" s="141" t="s">
        <v>134</v>
      </c>
      <c r="B8" s="140" t="s">
        <v>133</v>
      </c>
      <c r="C8" s="140" t="s">
        <v>135</v>
      </c>
      <c r="D8" s="159" t="s">
        <v>258</v>
      </c>
      <c r="E8" s="38" t="s">
        <v>256</v>
      </c>
      <c r="F8" s="155">
        <v>3</v>
      </c>
      <c r="G8" s="152">
        <f>IFERROR(VLOOKUP($A$3:$A$126,'JULY-2026'!$A$4:$ACS$118,MATCH('FY-(26-27)Q2'!$G$2:$H$2,'JULY-2026'!$A$2:$CT$2,0),0),0)</f>
        <v>39738</v>
      </c>
      <c r="H8" s="154">
        <f>IFERROR(VLOOKUP($A$3:$A$126,'JULY-2026'!$A$4:$ACS$118,MATCH('FY-(26-27)Q2'!$G$2:$H$2,'JULY-2026'!$A$2:$CT$2,0),0),0)</f>
        <v>0.13245999999999999</v>
      </c>
      <c r="I8" s="152">
        <f>IFERROR(VLOOKUP($A$3:$A$126,'AUG-2026'!$A$4:$ADL$124,MATCH('FY-(26-27)Q2'!$I$2:$J$2,'AUG-2026'!$A$2:$DM$2,0),0),0)</f>
        <v>-494835</v>
      </c>
      <c r="J8" s="154">
        <f>IFERROR(VLOOKUP($A$3:$A$126,'AUG-2026'!$A$4:$ADL$124,MATCH('FY-(26-27)Q2'!$I$2:$J$2,'AUG-2026'!$A$2:$DM$2,0),0),0)</f>
        <v>-1.6494500000000001</v>
      </c>
      <c r="K8" s="152">
        <f>IFERROR(VLOOKUP($A$3:$A$126,'SEP-2026'!$A$4:$AEE$125,MATCH('FY-(26-27)Q2'!$K$2:$L$2,'SEP-2026'!$A$2:$EF$2,0),0),0)</f>
        <v>-362061</v>
      </c>
      <c r="L8" s="154">
        <f>IFERROR(VLOOKUP($A$3:$A$126,'SEP-2026'!$A$4:$AEE$125,MATCH('FY-(26-27)Q2'!$K$2:$L$2,'SEP-2026'!$A$2:$EF$2,0),0),0)</f>
        <v>-1.2068700000000001</v>
      </c>
      <c r="M8" s="71">
        <f t="shared" si="0"/>
        <v>-817158</v>
      </c>
      <c r="N8" s="165">
        <f t="shared" si="0"/>
        <v>-2.7238600000000002</v>
      </c>
    </row>
    <row r="9" spans="1:14" x14ac:dyDescent="0.25">
      <c r="A9" s="141" t="s">
        <v>217</v>
      </c>
      <c r="B9" s="140" t="s">
        <v>133</v>
      </c>
      <c r="C9" s="140" t="s">
        <v>96</v>
      </c>
      <c r="D9" s="38" t="s">
        <v>116</v>
      </c>
      <c r="E9" s="38" t="s">
        <v>256</v>
      </c>
      <c r="F9" s="155">
        <v>1.5</v>
      </c>
      <c r="G9" s="152">
        <f>IFERROR(VLOOKUP($A$3:$A$126,'JULY-2026'!$A$4:$ACS$118,MATCH('FY-(26-27)Q2'!$G$2:$H$2,'JULY-2026'!$A$2:$CT$2,0),0),0)</f>
        <v>-318482</v>
      </c>
      <c r="H9" s="154">
        <f>IFERROR(VLOOKUP($A$3:$A$126,'JULY-2026'!$A$4:$ACS$118,MATCH('FY-(26-27)Q2'!$G$2:$H$2,'JULY-2026'!$A$2:$CT$2,0),0),0)</f>
        <v>-2.1232133333333336</v>
      </c>
      <c r="I9" s="152">
        <f>IFERROR(VLOOKUP($A$3:$A$126,'AUG-2026'!$A$4:$ADL$124,MATCH('FY-(26-27)Q2'!$I$2:$J$2,'AUG-2026'!$A$2:$DM$2,0),0),0)</f>
        <v>24346</v>
      </c>
      <c r="J9" s="154">
        <f>IFERROR(VLOOKUP($A$3:$A$126,'AUG-2026'!$A$4:$ADL$124,MATCH('FY-(26-27)Q2'!$I$2:$J$2,'AUG-2026'!$A$2:$DM$2,0),0),0)</f>
        <v>0.16230666666666665</v>
      </c>
      <c r="K9" s="152">
        <f>IFERROR(VLOOKUP($A$3:$A$126,'SEP-2026'!$A$4:$AEE$125,MATCH('FY-(26-27)Q2'!$K$2:$L$2,'SEP-2026'!$A$2:$EF$2,0),0),0)</f>
        <v>67223</v>
      </c>
      <c r="L9" s="154">
        <f>IFERROR(VLOOKUP($A$3:$A$126,'SEP-2026'!$A$4:$AEE$125,MATCH('FY-(26-27)Q2'!$K$2:$L$2,'SEP-2026'!$A$2:$EF$2,0),0),0)</f>
        <v>0.4481533333333334</v>
      </c>
      <c r="M9" s="71">
        <f t="shared" si="0"/>
        <v>-226913</v>
      </c>
      <c r="N9" s="165">
        <f t="shared" si="0"/>
        <v>-1.5127533333333336</v>
      </c>
    </row>
    <row r="10" spans="1:14" x14ac:dyDescent="0.25">
      <c r="A10" s="141" t="s">
        <v>313</v>
      </c>
      <c r="B10" s="140" t="s">
        <v>133</v>
      </c>
      <c r="C10" s="140" t="s">
        <v>294</v>
      </c>
      <c r="D10" s="38" t="s">
        <v>116</v>
      </c>
      <c r="E10" s="38" t="s">
        <v>256</v>
      </c>
      <c r="F10" s="155">
        <v>0.6</v>
      </c>
      <c r="G10" s="152">
        <f>IFERROR(VLOOKUP($A$3:$A$126,'JULY-2026'!$A$4:$ACS$118,MATCH('FY-(26-27)Q2'!$G$2:$H$2,'JULY-2026'!$A$2:$CT$2,0),0),0)</f>
        <v>-126033</v>
      </c>
      <c r="H10" s="154">
        <f>IFERROR(VLOOKUP($A$3:$A$126,'JULY-2026'!$A$4:$ACS$118,MATCH('FY-(26-27)Q2'!$G$2:$H$2,'JULY-2026'!$A$2:$CT$2,0),0),0)</f>
        <v>-2.1005500000000001</v>
      </c>
      <c r="I10" s="152">
        <f>IFERROR(VLOOKUP($A$3:$A$126,'AUG-2026'!$A$4:$ADL$124,MATCH('FY-(26-27)Q2'!$I$2:$J$2,'AUG-2026'!$A$2:$DM$2,0),0),0)</f>
        <v>-66216</v>
      </c>
      <c r="J10" s="154">
        <f>IFERROR(VLOOKUP($A$3:$A$126,'AUG-2026'!$A$4:$ADL$124,MATCH('FY-(26-27)Q2'!$I$2:$J$2,'AUG-2026'!$A$2:$DM$2,0),0),0)</f>
        <v>-1.1035999999999999</v>
      </c>
      <c r="K10" s="152">
        <f>IFERROR(VLOOKUP($A$3:$A$126,'SEP-2026'!$A$4:$AEE$125,MATCH('FY-(26-27)Q2'!$K$2:$L$2,'SEP-2026'!$A$2:$EF$2,0),0),0)</f>
        <v>102320</v>
      </c>
      <c r="L10" s="154">
        <f>IFERROR(VLOOKUP($A$3:$A$126,'SEP-2026'!$A$4:$AEE$125,MATCH('FY-(26-27)Q2'!$K$2:$L$2,'SEP-2026'!$A$2:$EF$2,0),0),0)</f>
        <v>1.7053333333333336</v>
      </c>
      <c r="M10" s="71">
        <f t="shared" ref="M10" si="3">G10+I10+K10</f>
        <v>-89929</v>
      </c>
      <c r="N10" s="165">
        <f t="shared" ref="N10" si="4">H10+J10+L10</f>
        <v>-1.4988166666666667</v>
      </c>
    </row>
    <row r="11" spans="1:14" x14ac:dyDescent="0.25">
      <c r="A11" s="142" t="s">
        <v>35</v>
      </c>
      <c r="B11" s="140" t="s">
        <v>55</v>
      </c>
      <c r="C11" s="140" t="s">
        <v>79</v>
      </c>
      <c r="D11" s="142" t="s">
        <v>112</v>
      </c>
      <c r="E11" s="142" t="s">
        <v>256</v>
      </c>
      <c r="F11" s="156">
        <v>15</v>
      </c>
      <c r="G11" s="152">
        <f>IFERROR(VLOOKUP($A$3:$A$126,'JULY-2026'!$A$4:$ACS$118,MATCH('FY-(26-27)Q2'!$G$2:$H$2,'JULY-2026'!$A$2:$CT$2,0),0),0)</f>
        <v>2336276</v>
      </c>
      <c r="H11" s="154">
        <f>IFERROR(VLOOKUP($A$3:$A$126,'JULY-2026'!$A$4:$ACS$118,MATCH('FY-(26-27)Q2'!$G$2:$H$2,'JULY-2026'!$A$2:$CT$2,0),0),0)</f>
        <v>1.5575173333333334</v>
      </c>
      <c r="I11" s="152">
        <f>IFERROR(VLOOKUP($A$3:$A$126,'AUG-2026'!$A$4:$ADL$124,MATCH('FY-(26-27)Q2'!$I$2:$J$2,'AUG-2026'!$A$2:$DM$2,0),0),0)</f>
        <v>-1369011</v>
      </c>
      <c r="J11" s="154">
        <f>IFERROR(VLOOKUP($A$3:$A$126,'AUG-2026'!$A$4:$ADL$124,MATCH('FY-(26-27)Q2'!$I$2:$J$2,'AUG-2026'!$A$2:$DM$2,0),0),0)</f>
        <v>-0.91267399999999999</v>
      </c>
      <c r="K11" s="152">
        <f>IFERROR(VLOOKUP($A$3:$A$126,'SEP-2026'!$A$4:$AEE$125,MATCH('FY-(26-27)Q2'!$K$2:$L$2,'SEP-2026'!$A$2:$EF$2,0),0),0)</f>
        <v>-583334</v>
      </c>
      <c r="L11" s="154">
        <f>IFERROR(VLOOKUP($A$3:$A$126,'SEP-2026'!$A$4:$AEE$125,MATCH('FY-(26-27)Q2'!$K$2:$L$2,'SEP-2026'!$A$2:$EF$2,0),0),0)</f>
        <v>-0.38888933333333336</v>
      </c>
      <c r="M11" s="71">
        <f t="shared" si="0"/>
        <v>383931</v>
      </c>
      <c r="N11" s="165">
        <f t="shared" si="0"/>
        <v>0.25595400000000007</v>
      </c>
    </row>
    <row r="12" spans="1:14" x14ac:dyDescent="0.25">
      <c r="A12" s="142" t="s">
        <v>137</v>
      </c>
      <c r="B12" s="140" t="s">
        <v>122</v>
      </c>
      <c r="C12" s="140" t="s">
        <v>136</v>
      </c>
      <c r="D12" s="142" t="s">
        <v>259</v>
      </c>
      <c r="E12" s="39" t="s">
        <v>256</v>
      </c>
      <c r="F12" s="156">
        <v>6</v>
      </c>
      <c r="G12" s="152">
        <f>IFERROR(VLOOKUP($A$3:$A$126,'JULY-2026'!$A$4:$ACS$118,MATCH('FY-(26-27)Q2'!$G$2:$H$2,'JULY-2026'!$A$2:$CT$2,0),0),0)</f>
        <v>405946</v>
      </c>
      <c r="H12" s="154">
        <f>IFERROR(VLOOKUP($A$3:$A$126,'JULY-2026'!$A$4:$ACS$118,MATCH('FY-(26-27)Q2'!$G$2:$H$2,'JULY-2026'!$A$2:$CT$2,0),0),0)</f>
        <v>0.67657666666666672</v>
      </c>
      <c r="I12" s="152">
        <f>IFERROR(VLOOKUP($A$3:$A$126,'AUG-2026'!$A$4:$ADL$124,MATCH('FY-(26-27)Q2'!$I$2:$J$2,'AUG-2026'!$A$2:$DM$2,0),0),0)</f>
        <v>1834</v>
      </c>
      <c r="J12" s="154">
        <f>IFERROR(VLOOKUP($A$3:$A$126,'AUG-2026'!$A$4:$ADL$124,MATCH('FY-(26-27)Q2'!$I$2:$J$2,'AUG-2026'!$A$2:$DM$2,0),0),0)</f>
        <v>3.0566666666666667E-3</v>
      </c>
      <c r="K12" s="152">
        <f>IFERROR(VLOOKUP($A$3:$A$126,'SEP-2026'!$A$4:$AEE$125,MATCH('FY-(26-27)Q2'!$K$2:$L$2,'SEP-2026'!$A$2:$EF$2,0),0),0)</f>
        <v>-12394</v>
      </c>
      <c r="L12" s="154">
        <f>IFERROR(VLOOKUP($A$3:$A$126,'SEP-2026'!$A$4:$AEE$125,MATCH('FY-(26-27)Q2'!$K$2:$L$2,'SEP-2026'!$A$2:$EF$2,0),0),0)</f>
        <v>-2.0656666666666667E-2</v>
      </c>
      <c r="M12" s="71">
        <f t="shared" si="0"/>
        <v>395386</v>
      </c>
      <c r="N12" s="165">
        <f t="shared" si="0"/>
        <v>0.65897666666666677</v>
      </c>
    </row>
    <row r="13" spans="1:14" x14ac:dyDescent="0.25">
      <c r="A13" s="142" t="s">
        <v>42</v>
      </c>
      <c r="B13" s="140" t="s">
        <v>230</v>
      </c>
      <c r="C13" s="140" t="s">
        <v>85</v>
      </c>
      <c r="D13" s="142" t="s">
        <v>107</v>
      </c>
      <c r="E13" s="142" t="s">
        <v>107</v>
      </c>
      <c r="F13" s="156">
        <v>1</v>
      </c>
      <c r="G13" s="152">
        <f>IFERROR(VLOOKUP($A$3:$A$126,'JULY-2026'!$A$4:$ACS$118,MATCH('FY-(26-27)Q2'!$G$2:$H$2,'JULY-2026'!$A$2:$CT$2,0),0),0)</f>
        <v>1094</v>
      </c>
      <c r="H13" s="154">
        <f>IFERROR(VLOOKUP($A$3:$A$126,'JULY-2026'!$A$4:$ACS$118,MATCH('FY-(26-27)Q2'!$G$2:$H$2,'JULY-2026'!$A$2:$CT$2,0),0),0)</f>
        <v>1.094E-2</v>
      </c>
      <c r="I13" s="152">
        <f>IFERROR(VLOOKUP($A$3:$A$126,'AUG-2026'!$A$4:$ADL$124,MATCH('FY-(26-27)Q2'!$I$2:$J$2,'AUG-2026'!$A$2:$DM$2,0),0),0)</f>
        <v>12322</v>
      </c>
      <c r="J13" s="154">
        <f>IFERROR(VLOOKUP($A$3:$A$126,'AUG-2026'!$A$4:$ADL$124,MATCH('FY-(26-27)Q2'!$I$2:$J$2,'AUG-2026'!$A$2:$DM$2,0),0),0)</f>
        <v>0.12322</v>
      </c>
      <c r="K13" s="152">
        <f>IFERROR(VLOOKUP($A$3:$A$126,'SEP-2026'!$A$4:$AEE$125,MATCH('FY-(26-27)Q2'!$K$2:$L$2,'SEP-2026'!$A$2:$EF$2,0),0),0)</f>
        <v>-14520</v>
      </c>
      <c r="L13" s="154">
        <f>IFERROR(VLOOKUP($A$3:$A$126,'SEP-2026'!$A$4:$AEE$125,MATCH('FY-(26-27)Q2'!$K$2:$L$2,'SEP-2026'!$A$2:$EF$2,0),0),0)</f>
        <v>-0.1452</v>
      </c>
      <c r="M13" s="71">
        <f t="shared" si="0"/>
        <v>-1104</v>
      </c>
      <c r="N13" s="165">
        <f t="shared" si="0"/>
        <v>-1.1039999999999994E-2</v>
      </c>
    </row>
    <row r="14" spans="1:14" x14ac:dyDescent="0.25">
      <c r="A14" s="141" t="s">
        <v>212</v>
      </c>
      <c r="B14" s="140" t="s">
        <v>230</v>
      </c>
      <c r="C14" s="141" t="s">
        <v>12</v>
      </c>
      <c r="D14" s="37" t="s">
        <v>39</v>
      </c>
      <c r="E14" s="37" t="s">
        <v>256</v>
      </c>
      <c r="F14" s="155">
        <v>1</v>
      </c>
      <c r="G14" s="152">
        <f>IFERROR(VLOOKUP($A$3:$A$126,'JULY-2026'!$A$4:$ACS$118,MATCH('FY-(26-27)Q2'!$G$2:$H$2,'JULY-2026'!$A$2:$CT$2,0),0),0)</f>
        <v>207510</v>
      </c>
      <c r="H14" s="154">
        <f>IFERROR(VLOOKUP($A$3:$A$126,'JULY-2026'!$A$4:$ACS$118,MATCH('FY-(26-27)Q2'!$G$2:$H$2,'JULY-2026'!$A$2:$CT$2,0),0),0)</f>
        <v>0.83004</v>
      </c>
      <c r="I14" s="152">
        <f>IFERROR(VLOOKUP($A$3:$A$126,'AUG-2026'!$A$4:$ADL$124,MATCH('FY-(26-27)Q2'!$I$2:$J$2,'AUG-2026'!$A$2:$DM$2,0),0),0)</f>
        <v>-162590</v>
      </c>
      <c r="J14" s="154">
        <f>IFERROR(VLOOKUP($A$3:$A$126,'AUG-2026'!$A$4:$ADL$124,MATCH('FY-(26-27)Q2'!$I$2:$J$2,'AUG-2026'!$A$2:$DM$2,0),0),0)</f>
        <v>-0.65036000000000005</v>
      </c>
      <c r="K14" s="152">
        <f>IFERROR(VLOOKUP($A$3:$A$126,'SEP-2026'!$A$4:$AEE$125,MATCH('FY-(26-27)Q2'!$K$2:$L$2,'SEP-2026'!$A$2:$EF$2,0),0),0)</f>
        <v>-28686</v>
      </c>
      <c r="L14" s="154">
        <f>IFERROR(VLOOKUP($A$3:$A$126,'SEP-2026'!$A$4:$AEE$125,MATCH('FY-(26-27)Q2'!$K$2:$L$2,'SEP-2026'!$A$2:$EF$2,0),0),0)</f>
        <v>-0.114744</v>
      </c>
      <c r="M14" s="71">
        <f t="shared" si="0"/>
        <v>16234</v>
      </c>
      <c r="N14" s="165">
        <f t="shared" si="0"/>
        <v>6.4935999999999952E-2</v>
      </c>
    </row>
    <row r="15" spans="1:14" x14ac:dyDescent="0.25">
      <c r="A15" s="141" t="s">
        <v>62</v>
      </c>
      <c r="B15" s="140" t="s">
        <v>230</v>
      </c>
      <c r="C15" s="140" t="s">
        <v>224</v>
      </c>
      <c r="D15" s="37" t="s">
        <v>39</v>
      </c>
      <c r="E15" s="37" t="s">
        <v>253</v>
      </c>
      <c r="F15" s="155">
        <v>1</v>
      </c>
      <c r="G15" s="152">
        <f>IFERROR(VLOOKUP($A$3:$A$126,'JULY-2026'!$A$4:$ACS$118,MATCH('FY-(26-27)Q2'!$G$2:$H$2,'JULY-2026'!$A$2:$CT$2,0),0),0)</f>
        <v>7426</v>
      </c>
      <c r="H15" s="154">
        <f>IFERROR(VLOOKUP($A$3:$A$126,'JULY-2026'!$A$4:$ACS$118,MATCH('FY-(26-27)Q2'!$G$2:$H$2,'JULY-2026'!$A$2:$CT$2,0),0),0)</f>
        <v>7.4260000000000007E-2</v>
      </c>
      <c r="I15" s="152">
        <f>IFERROR(VLOOKUP($A$3:$A$126,'AUG-2026'!$A$4:$ADL$124,MATCH('FY-(26-27)Q2'!$I$2:$J$2,'AUG-2026'!$A$2:$DM$2,0),0),0)</f>
        <v>0</v>
      </c>
      <c r="J15" s="154">
        <f>IFERROR(VLOOKUP($A$3:$A$126,'AUG-2026'!$A$4:$ADL$124,MATCH('FY-(26-27)Q2'!$I$2:$J$2,'AUG-2026'!$A$2:$DM$2,0),0),0)</f>
        <v>0</v>
      </c>
      <c r="K15" s="152">
        <f>IFERROR(VLOOKUP($A$3:$A$126,'SEP-2026'!$A$4:$AEE$125,MATCH('FY-(26-27)Q2'!$K$2:$L$2,'SEP-2026'!$A$2:$EF$2,0),0),0)</f>
        <v>0</v>
      </c>
      <c r="L15" s="154">
        <f>IFERROR(VLOOKUP($A$3:$A$126,'SEP-2026'!$A$4:$AEE$125,MATCH('FY-(26-27)Q2'!$K$2:$L$2,'SEP-2026'!$A$2:$EF$2,0),0),0)</f>
        <v>0</v>
      </c>
      <c r="M15" s="71">
        <f t="shared" si="0"/>
        <v>7426</v>
      </c>
      <c r="N15" s="165">
        <f t="shared" si="0"/>
        <v>7.4260000000000007E-2</v>
      </c>
    </row>
    <row r="16" spans="1:14" x14ac:dyDescent="0.25">
      <c r="A16" s="141" t="s">
        <v>43</v>
      </c>
      <c r="B16" s="140" t="s">
        <v>84</v>
      </c>
      <c r="C16" s="140" t="s">
        <v>85</v>
      </c>
      <c r="D16" s="37" t="s">
        <v>107</v>
      </c>
      <c r="E16" s="37" t="s">
        <v>107</v>
      </c>
      <c r="F16" s="156">
        <v>1</v>
      </c>
      <c r="G16" s="152">
        <f>IFERROR(VLOOKUP($A$3:$A$126,'JULY-2026'!$A$4:$ACS$118,MATCH('FY-(26-27)Q2'!$G$2:$H$2,'JULY-2026'!$A$2:$CT$2,0),0),0)</f>
        <v>40268</v>
      </c>
      <c r="H16" s="154">
        <f>IFERROR(VLOOKUP($A$3:$A$126,'JULY-2026'!$A$4:$ACS$118,MATCH('FY-(26-27)Q2'!$G$2:$H$2,'JULY-2026'!$A$2:$CT$2,0),0),0)</f>
        <v>0.40267999999999998</v>
      </c>
      <c r="I16" s="152">
        <f>IFERROR(VLOOKUP($A$3:$A$126,'AUG-2026'!$A$4:$ADL$124,MATCH('FY-(26-27)Q2'!$I$2:$J$2,'AUG-2026'!$A$2:$DM$2,0),0),0)</f>
        <v>33139</v>
      </c>
      <c r="J16" s="154">
        <f>IFERROR(VLOOKUP($A$3:$A$126,'AUG-2026'!$A$4:$ADL$124,MATCH('FY-(26-27)Q2'!$I$2:$J$2,'AUG-2026'!$A$2:$DM$2,0),0),0)</f>
        <v>0.33139000000000002</v>
      </c>
      <c r="K16" s="152">
        <f>IFERROR(VLOOKUP($A$3:$A$126,'SEP-2026'!$A$4:$AEE$125,MATCH('FY-(26-27)Q2'!$K$2:$L$2,'SEP-2026'!$A$2:$EF$2,0),0),0)</f>
        <v>-42571</v>
      </c>
      <c r="L16" s="154">
        <f>IFERROR(VLOOKUP($A$3:$A$126,'SEP-2026'!$A$4:$AEE$125,MATCH('FY-(26-27)Q2'!$K$2:$L$2,'SEP-2026'!$A$2:$EF$2,0),0),0)</f>
        <v>-0.42570999999999998</v>
      </c>
      <c r="M16" s="71">
        <f t="shared" si="0"/>
        <v>30836</v>
      </c>
      <c r="N16" s="165">
        <f t="shared" si="0"/>
        <v>0.30836000000000002</v>
      </c>
    </row>
    <row r="17" spans="1:15" x14ac:dyDescent="0.25">
      <c r="A17" s="141" t="s">
        <v>51</v>
      </c>
      <c r="B17" s="140" t="s">
        <v>171</v>
      </c>
      <c r="C17" s="141" t="s">
        <v>289</v>
      </c>
      <c r="D17" s="141" t="s">
        <v>39</v>
      </c>
      <c r="E17" s="141" t="s">
        <v>256</v>
      </c>
      <c r="F17" s="155">
        <v>0.2</v>
      </c>
      <c r="G17" s="152">
        <f>IFERROR(VLOOKUP($A$3:$A$126,'JULY-2026'!$A$4:$ACS$118,MATCH('FY-(26-27)Q2'!$G$2:$H$2,'JULY-2026'!$A$2:$CT$2,0),0),0)</f>
        <v>20588</v>
      </c>
      <c r="H17" s="154">
        <f>IFERROR(VLOOKUP($A$3:$A$126,'JULY-2026'!$A$4:$ACS$118,MATCH('FY-(26-27)Q2'!$G$2:$H$2,'JULY-2026'!$A$2:$CT$2,0),0),0)</f>
        <v>9.3581818181818183E-2</v>
      </c>
      <c r="I17" s="152">
        <f>IFERROR(VLOOKUP($A$3:$A$126,'AUG-2026'!$A$4:$ADL$124,MATCH('FY-(26-27)Q2'!$I$2:$J$2,'AUG-2026'!$A$2:$DM$2,0),0),0)</f>
        <v>-108496</v>
      </c>
      <c r="J17" s="154">
        <f>IFERROR(VLOOKUP($A$3:$A$126,'AUG-2026'!$A$4:$ADL$124,MATCH('FY-(26-27)Q2'!$I$2:$J$2,'AUG-2026'!$A$2:$DM$2,0),0),0)</f>
        <v>-0.4931636363636363</v>
      </c>
      <c r="K17" s="152">
        <f>IFERROR(VLOOKUP($A$3:$A$126,'SEP-2026'!$A$4:$AEE$125,MATCH('FY-(26-27)Q2'!$K$2:$L$2,'SEP-2026'!$A$2:$EF$2,0),0),0)</f>
        <v>-26815</v>
      </c>
      <c r="L17" s="154">
        <f>IFERROR(VLOOKUP($A$3:$A$126,'SEP-2026'!$A$4:$AEE$125,MATCH('FY-(26-27)Q2'!$K$2:$L$2,'SEP-2026'!$A$2:$EF$2,0),0),0)</f>
        <v>-0.12188636363636363</v>
      </c>
      <c r="M17" s="71">
        <f t="shared" ref="M17" si="5">G17+I17+K17</f>
        <v>-114723</v>
      </c>
      <c r="N17" s="165">
        <f t="shared" ref="N17" si="6">H17+J17+L17</f>
        <v>-0.52146818181818178</v>
      </c>
    </row>
    <row r="18" spans="1:15" x14ac:dyDescent="0.25">
      <c r="A18" s="141" t="s">
        <v>24</v>
      </c>
      <c r="B18" s="140" t="s">
        <v>73</v>
      </c>
      <c r="C18" s="140" t="s">
        <v>58</v>
      </c>
      <c r="D18" s="37" t="s">
        <v>20</v>
      </c>
      <c r="E18" s="37" t="s">
        <v>256</v>
      </c>
      <c r="F18" s="155">
        <v>2.5</v>
      </c>
      <c r="G18" s="152">
        <f>IFERROR(VLOOKUP($A$3:$A$126,'JULY-2026'!$A$4:$ACS$118,MATCH('FY-(26-27)Q2'!$G$2:$H$2,'JULY-2026'!$A$2:$CT$2,0),0),0)</f>
        <v>47674</v>
      </c>
      <c r="H18" s="154">
        <f>IFERROR(VLOOKUP($A$3:$A$126,'JULY-2026'!$A$4:$ACS$118,MATCH('FY-(26-27)Q2'!$G$2:$H$2,'JULY-2026'!$A$2:$CT$2,0),0),0)</f>
        <v>0.19069599999999998</v>
      </c>
      <c r="I18" s="152">
        <f>IFERROR(VLOOKUP($A$3:$A$126,'AUG-2026'!$A$4:$ADL$124,MATCH('FY-(26-27)Q2'!$I$2:$J$2,'AUG-2026'!$A$2:$DM$2,0),0),0)</f>
        <v>-111591</v>
      </c>
      <c r="J18" s="154">
        <f>IFERROR(VLOOKUP($A$3:$A$126,'AUG-2026'!$A$4:$ADL$124,MATCH('FY-(26-27)Q2'!$I$2:$J$2,'AUG-2026'!$A$2:$DM$2,0),0),0)</f>
        <v>-0.44636399999999998</v>
      </c>
      <c r="K18" s="152">
        <f>IFERROR(VLOOKUP($A$3:$A$126,'SEP-2026'!$A$4:$AEE$125,MATCH('FY-(26-27)Q2'!$K$2:$L$2,'SEP-2026'!$A$2:$EF$2,0),0),0)</f>
        <v>83972</v>
      </c>
      <c r="L18" s="154">
        <f>IFERROR(VLOOKUP($A$3:$A$126,'SEP-2026'!$A$4:$AEE$125,MATCH('FY-(26-27)Q2'!$K$2:$L$2,'SEP-2026'!$A$2:$EF$2,0),0),0)</f>
        <v>0.33588800000000002</v>
      </c>
      <c r="M18" s="71">
        <f t="shared" si="0"/>
        <v>20055</v>
      </c>
      <c r="N18" s="165">
        <f t="shared" si="0"/>
        <v>8.0220000000000014E-2</v>
      </c>
    </row>
    <row r="19" spans="1:15" x14ac:dyDescent="0.25">
      <c r="A19" s="141" t="s">
        <v>23</v>
      </c>
      <c r="B19" s="140" t="s">
        <v>74</v>
      </c>
      <c r="C19" s="140" t="s">
        <v>59</v>
      </c>
      <c r="D19" s="37" t="s">
        <v>3</v>
      </c>
      <c r="E19" s="37" t="s">
        <v>256</v>
      </c>
      <c r="F19" s="155">
        <v>4</v>
      </c>
      <c r="G19" s="152">
        <f>IFERROR(VLOOKUP($A$3:$A$126,'JULY-2026'!$A$4:$ACS$118,MATCH('FY-(26-27)Q2'!$G$2:$H$2,'JULY-2026'!$A$2:$CT$2,0),0),0)</f>
        <v>350017</v>
      </c>
      <c r="H19" s="154">
        <f>IFERROR(VLOOKUP($A$3:$A$126,'JULY-2026'!$A$4:$ACS$118,MATCH('FY-(26-27)Q2'!$G$2:$H$2,'JULY-2026'!$A$2:$CT$2,0),0),0)</f>
        <v>0.87504249999999995</v>
      </c>
      <c r="I19" s="152">
        <f>IFERROR(VLOOKUP($A$3:$A$126,'AUG-2026'!$A$4:$ADL$124,MATCH('FY-(26-27)Q2'!$I$2:$J$2,'AUG-2026'!$A$2:$DM$2,0),0),0)</f>
        <v>-82702</v>
      </c>
      <c r="J19" s="154">
        <f>IFERROR(VLOOKUP($A$3:$A$126,'AUG-2026'!$A$4:$ADL$124,MATCH('FY-(26-27)Q2'!$I$2:$J$2,'AUG-2026'!$A$2:$DM$2,0),0),0)</f>
        <v>-0.20675499999999999</v>
      </c>
      <c r="K19" s="152">
        <f>IFERROR(VLOOKUP($A$3:$A$126,'SEP-2026'!$A$4:$AEE$125,MATCH('FY-(26-27)Q2'!$K$2:$L$2,'SEP-2026'!$A$2:$EF$2,0),0),0)</f>
        <v>-58325</v>
      </c>
      <c r="L19" s="154">
        <f>IFERROR(VLOOKUP($A$3:$A$126,'SEP-2026'!$A$4:$AEE$125,MATCH('FY-(26-27)Q2'!$K$2:$L$2,'SEP-2026'!$A$2:$EF$2,0),0),0)</f>
        <v>-0.14581250000000001</v>
      </c>
      <c r="M19" s="71">
        <f t="shared" si="0"/>
        <v>208990</v>
      </c>
      <c r="N19" s="165">
        <f t="shared" si="0"/>
        <v>0.52247499999999991</v>
      </c>
    </row>
    <row r="20" spans="1:15" x14ac:dyDescent="0.25">
      <c r="A20" s="141" t="s">
        <v>110</v>
      </c>
      <c r="B20" s="140" t="s">
        <v>111</v>
      </c>
      <c r="C20" s="140" t="s">
        <v>109</v>
      </c>
      <c r="D20" s="37" t="s">
        <v>87</v>
      </c>
      <c r="E20" s="37" t="s">
        <v>256</v>
      </c>
      <c r="F20" s="155">
        <v>0.25</v>
      </c>
      <c r="G20" s="152">
        <f>IFERROR(VLOOKUP($A$3:$A$126,'JULY-2026'!$A$4:$ACS$118,MATCH('FY-(26-27)Q2'!$G$2:$H$2,'JULY-2026'!$A$2:$CT$2,0),0),0)</f>
        <v>60085</v>
      </c>
      <c r="H20" s="154">
        <f>IFERROR(VLOOKUP($A$3:$A$126,'JULY-2026'!$A$4:$ACS$118,MATCH('FY-(26-27)Q2'!$G$2:$H$2,'JULY-2026'!$A$2:$CT$2,0),0),0)</f>
        <v>0.54622727272727267</v>
      </c>
      <c r="I20" s="152">
        <f>IFERROR(VLOOKUP($A$3:$A$126,'AUG-2026'!$A$4:$ADL$124,MATCH('FY-(26-27)Q2'!$I$2:$J$2,'AUG-2026'!$A$2:$DM$2,0),0),0)</f>
        <v>27597</v>
      </c>
      <c r="J20" s="154">
        <f>IFERROR(VLOOKUP($A$3:$A$126,'AUG-2026'!$A$4:$ADL$124,MATCH('FY-(26-27)Q2'!$I$2:$J$2,'AUG-2026'!$A$2:$DM$2,0),0),0)</f>
        <v>0.25088181818181815</v>
      </c>
      <c r="K20" s="152">
        <f>IFERROR(VLOOKUP($A$3:$A$126,'SEP-2026'!$A$4:$AEE$125,MATCH('FY-(26-27)Q2'!$K$2:$L$2,'SEP-2026'!$A$2:$EF$2,0),0),0)</f>
        <v>-29769</v>
      </c>
      <c r="L20" s="154">
        <f>IFERROR(VLOOKUP($A$3:$A$126,'SEP-2026'!$A$4:$AEE$125,MATCH('FY-(26-27)Q2'!$K$2:$L$2,'SEP-2026'!$A$2:$EF$2,0),0),0)</f>
        <v>-0.27062727272727272</v>
      </c>
      <c r="M20" s="71">
        <f t="shared" si="0"/>
        <v>57913</v>
      </c>
      <c r="N20" s="165">
        <f t="shared" si="0"/>
        <v>0.52648181818181805</v>
      </c>
    </row>
    <row r="21" spans="1:15" x14ac:dyDescent="0.25">
      <c r="A21" s="141" t="s">
        <v>319</v>
      </c>
      <c r="B21" s="140" t="s">
        <v>321</v>
      </c>
      <c r="C21" s="140" t="s">
        <v>283</v>
      </c>
      <c r="D21" s="141" t="s">
        <v>152</v>
      </c>
      <c r="E21" s="141" t="s">
        <v>256</v>
      </c>
      <c r="F21" s="155">
        <v>0.25</v>
      </c>
      <c r="G21" s="152">
        <f>IFERROR(VLOOKUP($A$3:$A$126,'JULY-2026'!$A$4:$ACS$118,MATCH('FY-(26-27)Q2'!$G$2:$H$2,'JULY-2026'!$A$2:$CT$2,0),0),0)</f>
        <v>28544</v>
      </c>
      <c r="H21" s="154">
        <f>IFERROR(VLOOKUP($A$3:$A$126,'JULY-2026'!$A$4:$ACS$118,MATCH('FY-(26-27)Q2'!$G$2:$H$2,'JULY-2026'!$A$2:$CT$2,0),0),0)</f>
        <v>1.1417600000000001</v>
      </c>
      <c r="I21" s="152">
        <f>IFERROR(VLOOKUP($A$3:$A$126,'AUG-2026'!$A$4:$ADL$124,MATCH('FY-(26-27)Q2'!$I$2:$J$2,'AUG-2026'!$A$2:$DM$2,0),0),0)</f>
        <v>-72090</v>
      </c>
      <c r="J21" s="154">
        <f>IFERROR(VLOOKUP($A$3:$A$126,'AUG-2026'!$A$4:$ADL$124,MATCH('FY-(26-27)Q2'!$I$2:$J$2,'AUG-2026'!$A$2:$DM$2,0),0),0)</f>
        <v>-2.8835999999999999</v>
      </c>
      <c r="K21" s="152">
        <f>IFERROR(VLOOKUP($A$3:$A$126,'SEP-2026'!$A$4:$AEE$125,MATCH('FY-(26-27)Q2'!$K$2:$L$2,'SEP-2026'!$A$2:$EF$2,0),0),0)</f>
        <v>18773</v>
      </c>
      <c r="L21" s="154">
        <f>IFERROR(VLOOKUP($A$3:$A$126,'SEP-2026'!$A$4:$AEE$125,MATCH('FY-(26-27)Q2'!$K$2:$L$2,'SEP-2026'!$A$2:$EF$2,0),0),0)</f>
        <v>0.75092000000000003</v>
      </c>
      <c r="M21" s="71">
        <f t="shared" ref="M21:M22" si="7">G21+I21+K21</f>
        <v>-24773</v>
      </c>
      <c r="N21" s="165">
        <f t="shared" ref="N21:N22" si="8">H21+J21+L21</f>
        <v>-0.9909199999999998</v>
      </c>
    </row>
    <row r="22" spans="1:15" x14ac:dyDescent="0.25">
      <c r="A22" s="141" t="s">
        <v>316</v>
      </c>
      <c r="B22" s="140" t="s">
        <v>282</v>
      </c>
      <c r="C22" s="140" t="s">
        <v>38</v>
      </c>
      <c r="D22" s="141" t="s">
        <v>152</v>
      </c>
      <c r="E22" s="141" t="s">
        <v>256</v>
      </c>
      <c r="F22" s="155">
        <v>2</v>
      </c>
      <c r="G22" s="152">
        <f>IFERROR(VLOOKUP($A$3:$A$126,'JULY-2026'!$A$4:$ACS$118,MATCH('FY-(26-27)Q2'!$G$2:$H$2,'JULY-2026'!$A$2:$CT$2,0),0),0)</f>
        <v>-15216</v>
      </c>
      <c r="H22" s="154">
        <f>IFERROR(VLOOKUP($A$3:$A$126,'JULY-2026'!$A$4:$ACS$118,MATCH('FY-(26-27)Q2'!$G$2:$H$2,'JULY-2026'!$A$2:$CT$2,0),0),0)</f>
        <v>-7.6079999999999995E-2</v>
      </c>
      <c r="I22" s="152">
        <f>IFERROR(VLOOKUP($A$3:$A$126,'AUG-2026'!$A$4:$ADL$124,MATCH('FY-(26-27)Q2'!$I$2:$J$2,'AUG-2026'!$A$2:$DM$2,0),0),0)</f>
        <v>31348</v>
      </c>
      <c r="J22" s="154">
        <f>IFERROR(VLOOKUP($A$3:$A$126,'AUG-2026'!$A$4:$ADL$124,MATCH('FY-(26-27)Q2'!$I$2:$J$2,'AUG-2026'!$A$2:$DM$2,0),0),0)</f>
        <v>0.15673999999999999</v>
      </c>
      <c r="K22" s="152">
        <f>IFERROR(VLOOKUP($A$3:$A$126,'SEP-2026'!$A$4:$AEE$125,MATCH('FY-(26-27)Q2'!$K$2:$L$2,'SEP-2026'!$A$2:$EF$2,0),0),0)</f>
        <v>-7689</v>
      </c>
      <c r="L22" s="154">
        <f>IFERROR(VLOOKUP($A$3:$A$126,'SEP-2026'!$A$4:$AEE$125,MATCH('FY-(26-27)Q2'!$K$2:$L$2,'SEP-2026'!$A$2:$EF$2,0),0),0)</f>
        <v>-3.8445E-2</v>
      </c>
      <c r="M22" s="71">
        <f t="shared" si="7"/>
        <v>8443</v>
      </c>
      <c r="N22" s="165">
        <f t="shared" si="8"/>
        <v>4.2214999999999996E-2</v>
      </c>
    </row>
    <row r="23" spans="1:15" x14ac:dyDescent="0.25">
      <c r="A23" s="141" t="s">
        <v>165</v>
      </c>
      <c r="B23" s="140" t="s">
        <v>303</v>
      </c>
      <c r="C23" s="140" t="s">
        <v>223</v>
      </c>
      <c r="D23" s="141" t="s">
        <v>261</v>
      </c>
      <c r="E23" s="37" t="s">
        <v>256</v>
      </c>
      <c r="F23" s="155">
        <v>0.5</v>
      </c>
      <c r="G23" s="152">
        <f>IFERROR(VLOOKUP($A$3:$A$126,'JULY-2026'!$A$4:$ACS$118,MATCH('FY-(26-27)Q2'!$G$2:$H$2,'JULY-2026'!$A$2:$CT$2,0),0),0)</f>
        <v>100348</v>
      </c>
      <c r="H23" s="154">
        <f>IFERROR(VLOOKUP($A$3:$A$126,'JULY-2026'!$A$4:$ACS$118,MATCH('FY-(26-27)Q2'!$G$2:$H$2,'JULY-2026'!$A$2:$CT$2,0),0),0)</f>
        <v>0.66898666666666673</v>
      </c>
      <c r="I23" s="152">
        <f>IFERROR(VLOOKUP($A$3:$A$126,'AUG-2026'!$A$4:$ADL$124,MATCH('FY-(26-27)Q2'!$I$2:$J$2,'AUG-2026'!$A$2:$DM$2,0),0),0)</f>
        <v>14665</v>
      </c>
      <c r="J23" s="154">
        <f>IFERROR(VLOOKUP($A$3:$A$126,'AUG-2026'!$A$4:$ADL$124,MATCH('FY-(26-27)Q2'!$I$2:$J$2,'AUG-2026'!$A$2:$DM$2,0),0),0)</f>
        <v>9.7766666666666668E-2</v>
      </c>
      <c r="K23" s="152">
        <f>IFERROR(VLOOKUP($A$3:$A$126,'SEP-2026'!$A$4:$AEE$125,MATCH('FY-(26-27)Q2'!$K$2:$L$2,'SEP-2026'!$A$2:$EF$2,0),0),0)</f>
        <v>-95949</v>
      </c>
      <c r="L23" s="154">
        <f>IFERROR(VLOOKUP($A$3:$A$126,'SEP-2026'!$A$4:$AEE$125,MATCH('FY-(26-27)Q2'!$K$2:$L$2,'SEP-2026'!$A$2:$EF$2,0),0),0)</f>
        <v>-0.63966000000000001</v>
      </c>
      <c r="M23" s="71">
        <f t="shared" si="0"/>
        <v>19064</v>
      </c>
      <c r="N23" s="165">
        <f t="shared" si="0"/>
        <v>0.12709333333333339</v>
      </c>
    </row>
    <row r="24" spans="1:15" x14ac:dyDescent="0.25">
      <c r="A24" s="141" t="s">
        <v>275</v>
      </c>
      <c r="B24" s="140" t="s">
        <v>164</v>
      </c>
      <c r="C24" s="140" t="s">
        <v>274</v>
      </c>
      <c r="D24" s="141" t="s">
        <v>152</v>
      </c>
      <c r="E24" s="141" t="s">
        <v>256</v>
      </c>
      <c r="F24" s="155">
        <v>1</v>
      </c>
      <c r="G24" s="152">
        <f>IFERROR(VLOOKUP($A$3:$A$126,'JULY-2026'!$A$4:$ACS$118,MATCH('FY-(26-27)Q2'!$G$2:$H$2,'JULY-2026'!$A$2:$CT$2,0),0),0)</f>
        <v>-18550</v>
      </c>
      <c r="H24" s="154">
        <f>IFERROR(VLOOKUP($A$3:$A$126,'JULY-2026'!$A$4:$ACS$118,MATCH('FY-(26-27)Q2'!$G$2:$H$2,'JULY-2026'!$A$2:$CT$2,0),0),0)</f>
        <v>-0.1855</v>
      </c>
      <c r="I24" s="152">
        <f>IFERROR(VLOOKUP($A$3:$A$126,'AUG-2026'!$A$4:$ADL$124,MATCH('FY-(26-27)Q2'!$I$2:$J$2,'AUG-2026'!$A$2:$DM$2,0),0),0)</f>
        <v>0</v>
      </c>
      <c r="J24" s="154">
        <f>IFERROR(VLOOKUP($A$3:$A$126,'AUG-2026'!$A$4:$ADL$124,MATCH('FY-(26-27)Q2'!$I$2:$J$2,'AUG-2026'!$A$2:$DM$2,0),0),0)</f>
        <v>0</v>
      </c>
      <c r="K24" s="152">
        <f>IFERROR(VLOOKUP($A$3:$A$126,'SEP-2026'!$A$4:$AEE$125,MATCH('FY-(26-27)Q2'!$K$2:$L$2,'SEP-2026'!$A$2:$EF$2,0),0),0)</f>
        <v>0</v>
      </c>
      <c r="L24" s="154">
        <f>IFERROR(VLOOKUP($A$3:$A$126,'SEP-2026'!$A$4:$AEE$125,MATCH('FY-(26-27)Q2'!$K$2:$L$2,'SEP-2026'!$A$2:$EF$2,0),0),0)</f>
        <v>0</v>
      </c>
      <c r="M24" s="71">
        <f t="shared" si="0"/>
        <v>-18550</v>
      </c>
      <c r="N24" s="165">
        <f t="shared" si="0"/>
        <v>-0.1855</v>
      </c>
    </row>
    <row r="25" spans="1:15" x14ac:dyDescent="0.25">
      <c r="A25" s="141" t="s">
        <v>32</v>
      </c>
      <c r="B25" s="140" t="s">
        <v>63</v>
      </c>
      <c r="C25" s="141" t="s">
        <v>21</v>
      </c>
      <c r="D25" s="37" t="s">
        <v>40</v>
      </c>
      <c r="E25" s="37" t="s">
        <v>256</v>
      </c>
      <c r="F25" s="155">
        <v>1.1000000000000001</v>
      </c>
      <c r="G25" s="152">
        <f>IFERROR(VLOOKUP($A$3:$A$126,'JULY-2026'!$A$4:$ACS$118,MATCH('FY-(26-27)Q2'!$G$2:$H$2,'JULY-2026'!$A$2:$CT$2,0),0),0)</f>
        <v>330691</v>
      </c>
      <c r="H25" s="154">
        <f>IFERROR(VLOOKUP($A$3:$A$126,'JULY-2026'!$A$4:$ACS$118,MATCH('FY-(26-27)Q2'!$G$2:$H$2,'JULY-2026'!$A$2:$CT$2,0),0),0)</f>
        <v>3.0062818181818174</v>
      </c>
      <c r="I25" s="152">
        <f>IFERROR(VLOOKUP($A$3:$A$126,'AUG-2026'!$A$4:$ADL$124,MATCH('FY-(26-27)Q2'!$I$2:$J$2,'AUG-2026'!$A$2:$DM$2,0),0),0)</f>
        <v>-125987</v>
      </c>
      <c r="J25" s="154">
        <f>IFERROR(VLOOKUP($A$3:$A$126,'AUG-2026'!$A$4:$ADL$124,MATCH('FY-(26-27)Q2'!$I$2:$J$2,'AUG-2026'!$A$2:$DM$2,0),0),0)</f>
        <v>-1.1453363636363634</v>
      </c>
      <c r="K25" s="152">
        <f>IFERROR(VLOOKUP($A$3:$A$126,'SEP-2026'!$A$4:$AEE$125,MATCH('FY-(26-27)Q2'!$K$2:$L$2,'SEP-2026'!$A$2:$EF$2,0),0),0)</f>
        <v>-33391</v>
      </c>
      <c r="L25" s="154">
        <f>IFERROR(VLOOKUP($A$3:$A$126,'SEP-2026'!$A$4:$AEE$125,MATCH('FY-(26-27)Q2'!$K$2:$L$2,'SEP-2026'!$A$2:$EF$2,0),0),0)</f>
        <v>-0.30355454545454547</v>
      </c>
      <c r="M25" s="71">
        <f t="shared" si="0"/>
        <v>171313</v>
      </c>
      <c r="N25" s="165">
        <f t="shared" si="0"/>
        <v>1.5573909090909086</v>
      </c>
    </row>
    <row r="26" spans="1:15" x14ac:dyDescent="0.25">
      <c r="A26" s="141" t="s">
        <v>97</v>
      </c>
      <c r="B26" s="140" t="s">
        <v>68</v>
      </c>
      <c r="C26" s="140" t="s">
        <v>206</v>
      </c>
      <c r="D26" s="37" t="s">
        <v>107</v>
      </c>
      <c r="E26" s="37" t="s">
        <v>107</v>
      </c>
      <c r="F26" s="155">
        <v>2.2999999999999998</v>
      </c>
      <c r="G26" s="152">
        <f>IFERROR(VLOOKUP($A$3:$A$126,'JULY-2026'!$A$4:$ACS$118,MATCH('FY-(26-27)Q2'!$G$2:$H$2,'JULY-2026'!$A$2:$CT$2,0),0),0)</f>
        <v>880832</v>
      </c>
      <c r="H26" s="154">
        <f>IFERROR(VLOOKUP($A$3:$A$126,'JULY-2026'!$A$4:$ACS$118,MATCH('FY-(26-27)Q2'!$G$2:$H$2,'JULY-2026'!$A$2:$CT$2,0),0),0)</f>
        <v>3.8297043478260866</v>
      </c>
      <c r="I26" s="152">
        <f>IFERROR(VLOOKUP($A$3:$A$126,'AUG-2026'!$A$4:$ADL$124,MATCH('FY-(26-27)Q2'!$I$2:$J$2,'AUG-2026'!$A$2:$DM$2,0),0),0)</f>
        <v>-526771</v>
      </c>
      <c r="J26" s="154">
        <f>IFERROR(VLOOKUP($A$3:$A$126,'AUG-2026'!$A$4:$ADL$124,MATCH('FY-(26-27)Q2'!$I$2:$J$2,'AUG-2026'!$A$2:$DM$2,0),0),0)</f>
        <v>-2.2903086956521741</v>
      </c>
      <c r="K26" s="152">
        <f>IFERROR(VLOOKUP($A$3:$A$126,'SEP-2026'!$A$4:$AEE$125,MATCH('FY-(26-27)Q2'!$K$2:$L$2,'SEP-2026'!$A$2:$EF$2,0),0),0)</f>
        <v>-1612538</v>
      </c>
      <c r="L26" s="154">
        <f>IFERROR(VLOOKUP($A$3:$A$126,'SEP-2026'!$A$4:$AEE$125,MATCH('FY-(26-27)Q2'!$K$2:$L$2,'SEP-2026'!$A$2:$EF$2,0),0),0)</f>
        <v>-7.0110347826086965</v>
      </c>
      <c r="M26" s="71">
        <f t="shared" si="0"/>
        <v>-1258477</v>
      </c>
      <c r="N26" s="165">
        <f t="shared" si="0"/>
        <v>-5.4716391304347844</v>
      </c>
    </row>
    <row r="27" spans="1:15" x14ac:dyDescent="0.25">
      <c r="A27" s="141" t="s">
        <v>302</v>
      </c>
      <c r="B27" s="140" t="s">
        <v>297</v>
      </c>
      <c r="C27" s="140" t="s">
        <v>298</v>
      </c>
      <c r="D27" s="141"/>
      <c r="E27" s="141" t="s">
        <v>256</v>
      </c>
      <c r="F27" s="155">
        <v>0.2</v>
      </c>
      <c r="G27" s="152">
        <f>IFERROR(VLOOKUP($A$3:$A$126,'JULY-2026'!$A$4:$ACS$118,MATCH('FY-(26-27)Q2'!$G$2:$H$2,'JULY-2026'!$A$2:$CT$2,0),0),0)</f>
        <v>-2494</v>
      </c>
      <c r="H27" s="154">
        <f>IFERROR(VLOOKUP($A$3:$A$126,'JULY-2026'!$A$4:$ACS$118,MATCH('FY-(26-27)Q2'!$G$2:$H$2,'JULY-2026'!$A$2:$CT$2,0),0),0)</f>
        <v>-0.12470000000000001</v>
      </c>
      <c r="I27" s="152">
        <f>IFERROR(VLOOKUP($A$3:$A$126,'AUG-2026'!$A$4:$ADL$124,MATCH('FY-(26-27)Q2'!$I$2:$J$2,'AUG-2026'!$A$2:$DM$2,0),0),0)</f>
        <v>-17802</v>
      </c>
      <c r="J27" s="154">
        <f>IFERROR(VLOOKUP($A$3:$A$126,'AUG-2026'!$A$4:$ADL$124,MATCH('FY-(26-27)Q2'!$I$2:$J$2,'AUG-2026'!$A$2:$DM$2,0),0),0)</f>
        <v>-0.8901</v>
      </c>
      <c r="K27" s="152">
        <f>IFERROR(VLOOKUP($A$3:$A$126,'SEP-2026'!$A$4:$AEE$125,MATCH('FY-(26-27)Q2'!$K$2:$L$2,'SEP-2026'!$A$2:$EF$2,0),0),0)</f>
        <v>-23370</v>
      </c>
      <c r="L27" s="154">
        <f>IFERROR(VLOOKUP($A$3:$A$126,'SEP-2026'!$A$4:$AEE$125,MATCH('FY-(26-27)Q2'!$K$2:$L$2,'SEP-2026'!$A$2:$EF$2,0),0),0)</f>
        <v>-1.1685000000000001</v>
      </c>
      <c r="M27" s="71">
        <f t="shared" ref="M27" si="9">G27+I27+K27</f>
        <v>-43666</v>
      </c>
      <c r="N27" s="165">
        <f t="shared" ref="N27" si="10">H27+J27+L27</f>
        <v>-2.1833</v>
      </c>
    </row>
    <row r="28" spans="1:15" x14ac:dyDescent="0.25">
      <c r="A28" s="141" t="s">
        <v>29</v>
      </c>
      <c r="B28" s="140" t="s">
        <v>22</v>
      </c>
      <c r="C28" s="140" t="s">
        <v>151</v>
      </c>
      <c r="D28" s="37" t="s">
        <v>5</v>
      </c>
      <c r="E28" s="37" t="s">
        <v>256</v>
      </c>
      <c r="F28" s="155">
        <v>5</v>
      </c>
      <c r="G28" s="152">
        <f>IFERROR(VLOOKUP($A$3:$A$126,'JULY-2026'!$A$4:$ACS$118,MATCH('FY-(26-27)Q2'!$G$2:$H$2,'JULY-2026'!$A$2:$CT$2,0),0),0)</f>
        <v>-98470</v>
      </c>
      <c r="H28" s="154">
        <f>IFERROR(VLOOKUP($A$3:$A$126,'JULY-2026'!$A$4:$ACS$118,MATCH('FY-(26-27)Q2'!$G$2:$H$2,'JULY-2026'!$A$2:$CT$2,0),0),0)</f>
        <v>-0.19694</v>
      </c>
      <c r="I28" s="152">
        <f>IFERROR(VLOOKUP($A$3:$A$126,'AUG-2026'!$A$4:$ADL$124,MATCH('FY-(26-27)Q2'!$I$2:$J$2,'AUG-2026'!$A$2:$DM$2,0),0),0)</f>
        <v>-166448</v>
      </c>
      <c r="J28" s="154">
        <f>IFERROR(VLOOKUP($A$3:$A$126,'AUG-2026'!$A$4:$ADL$124,MATCH('FY-(26-27)Q2'!$I$2:$J$2,'AUG-2026'!$A$2:$DM$2,0),0),0)</f>
        <v>-0.33289600000000003</v>
      </c>
      <c r="K28" s="152">
        <f>IFERROR(VLOOKUP($A$3:$A$126,'SEP-2026'!$A$4:$AEE$125,MATCH('FY-(26-27)Q2'!$K$2:$L$2,'SEP-2026'!$A$2:$EF$2,0),0),0)</f>
        <v>-260434</v>
      </c>
      <c r="L28" s="154">
        <f>IFERROR(VLOOKUP($A$3:$A$126,'SEP-2026'!$A$4:$AEE$125,MATCH('FY-(26-27)Q2'!$K$2:$L$2,'SEP-2026'!$A$2:$EF$2,0),0),0)</f>
        <v>-0.520868</v>
      </c>
      <c r="M28" s="71">
        <f t="shared" si="0"/>
        <v>-525352</v>
      </c>
      <c r="N28" s="165">
        <f t="shared" si="0"/>
        <v>-1.0507040000000001</v>
      </c>
    </row>
    <row r="29" spans="1:15" x14ac:dyDescent="0.25">
      <c r="A29" s="141" t="s">
        <v>28</v>
      </c>
      <c r="B29" s="140" t="s">
        <v>247</v>
      </c>
      <c r="C29" s="140" t="s">
        <v>121</v>
      </c>
      <c r="D29" s="37" t="s">
        <v>91</v>
      </c>
      <c r="E29" s="37" t="s">
        <v>256</v>
      </c>
      <c r="F29" s="155">
        <v>10</v>
      </c>
      <c r="G29" s="152">
        <f>IFERROR(VLOOKUP($A$3:$A$126,'JULY-2026'!$A$4:$ACS$118,MATCH('FY-(26-27)Q2'!$G$2:$H$2,'JULY-2026'!$A$2:$CT$2,0),0),0)</f>
        <v>3272097</v>
      </c>
      <c r="H29" s="154">
        <f>IFERROR(VLOOKUP($A$3:$A$126,'JULY-2026'!$A$4:$ACS$118,MATCH('FY-(26-27)Q2'!$G$2:$H$2,'JULY-2026'!$A$2:$CT$2,0),0),0)</f>
        <v>3.272097</v>
      </c>
      <c r="I29" s="152">
        <f>IFERROR(VLOOKUP($A$3:$A$126,'AUG-2026'!$A$4:$ADL$124,MATCH('FY-(26-27)Q2'!$I$2:$J$2,'AUG-2026'!$A$2:$DM$2,0),0),0)</f>
        <v>195315</v>
      </c>
      <c r="J29" s="154">
        <f>IFERROR(VLOOKUP($A$3:$A$126,'AUG-2026'!$A$4:$ADL$124,MATCH('FY-(26-27)Q2'!$I$2:$J$2,'AUG-2026'!$A$2:$DM$2,0),0),0)</f>
        <v>0.19531499999999999</v>
      </c>
      <c r="K29" s="152">
        <f>IFERROR(VLOOKUP($A$3:$A$126,'SEP-2026'!$A$4:$AEE$125,MATCH('FY-(26-27)Q2'!$K$2:$L$2,'SEP-2026'!$A$2:$EF$2,0),0),0)</f>
        <v>-1780071</v>
      </c>
      <c r="L29" s="154">
        <f>IFERROR(VLOOKUP($A$3:$A$126,'SEP-2026'!$A$4:$AEE$125,MATCH('FY-(26-27)Q2'!$K$2:$L$2,'SEP-2026'!$A$2:$EF$2,0),0),0)</f>
        <v>-1.780071</v>
      </c>
      <c r="M29" s="71">
        <f t="shared" si="0"/>
        <v>1687341</v>
      </c>
      <c r="N29" s="165">
        <f t="shared" si="0"/>
        <v>1.687341</v>
      </c>
      <c r="O29" s="130"/>
    </row>
    <row r="30" spans="1:15" x14ac:dyDescent="0.25">
      <c r="A30" s="141" t="s">
        <v>191</v>
      </c>
      <c r="B30" s="140" t="s">
        <v>184</v>
      </c>
      <c r="C30" s="140" t="s">
        <v>185</v>
      </c>
      <c r="D30" s="141" t="s">
        <v>91</v>
      </c>
      <c r="E30" s="141" t="s">
        <v>256</v>
      </c>
      <c r="F30" s="155">
        <v>13</v>
      </c>
      <c r="G30" s="152">
        <f>IFERROR(VLOOKUP($A$3:$A$126,'JULY-2026'!$A$4:$ACS$118,MATCH('FY-(26-27)Q2'!$G$2:$H$2,'JULY-2026'!$A$2:$CT$2,0),0),0)</f>
        <v>2523988</v>
      </c>
      <c r="H30" s="154">
        <f>IFERROR(VLOOKUP($A$3:$A$126,'JULY-2026'!$A$4:$ACS$118,MATCH('FY-(26-27)Q2'!$G$2:$H$2,'JULY-2026'!$A$2:$CT$2,0),0),0)</f>
        <v>1.9415292307692309</v>
      </c>
      <c r="I30" s="152">
        <f>IFERROR(VLOOKUP($A$3:$A$126,'AUG-2026'!$A$4:$ADL$124,MATCH('FY-(26-27)Q2'!$I$2:$J$2,'AUG-2026'!$A$2:$DM$2,0),0),0)</f>
        <v>-787722</v>
      </c>
      <c r="J30" s="154">
        <f>IFERROR(VLOOKUP($A$3:$A$126,'AUG-2026'!$A$4:$ADL$124,MATCH('FY-(26-27)Q2'!$I$2:$J$2,'AUG-2026'!$A$2:$DM$2,0),0),0)</f>
        <v>-0.60594000000000003</v>
      </c>
      <c r="K30" s="152">
        <f>IFERROR(VLOOKUP($A$3:$A$126,'SEP-2026'!$A$4:$AEE$125,MATCH('FY-(26-27)Q2'!$K$2:$L$2,'SEP-2026'!$A$2:$EF$2,0),0),0)</f>
        <v>0</v>
      </c>
      <c r="L30" s="154">
        <f>IFERROR(VLOOKUP($A$3:$A$126,'SEP-2026'!$A$4:$AEE$125,MATCH('FY-(26-27)Q2'!$K$2:$L$2,'SEP-2026'!$A$2:$EF$2,0),0),0)</f>
        <v>0</v>
      </c>
      <c r="M30" s="71">
        <f t="shared" si="0"/>
        <v>1736266</v>
      </c>
      <c r="N30" s="165">
        <f t="shared" si="0"/>
        <v>1.335589230769231</v>
      </c>
    </row>
    <row r="31" spans="1:15" ht="18" customHeight="1" x14ac:dyDescent="0.25">
      <c r="A31" s="141" t="s">
        <v>147</v>
      </c>
      <c r="B31" s="140" t="s">
        <v>146</v>
      </c>
      <c r="C31" s="140" t="s">
        <v>140</v>
      </c>
      <c r="D31" s="141" t="s">
        <v>91</v>
      </c>
      <c r="E31" s="141" t="s">
        <v>256</v>
      </c>
      <c r="F31" s="155">
        <v>1.5</v>
      </c>
      <c r="G31" s="152">
        <f>IFERROR(VLOOKUP($A$3:$A$126,'JULY-2026'!$A$4:$ACS$118,MATCH('FY-(26-27)Q2'!$G$2:$H$2,'JULY-2026'!$A$2:$CT$2,0),0),0)</f>
        <v>260765</v>
      </c>
      <c r="H31" s="154">
        <f>IFERROR(VLOOKUP($A$3:$A$126,'JULY-2026'!$A$4:$ACS$118,MATCH('FY-(26-27)Q2'!$G$2:$H$2,'JULY-2026'!$A$2:$CT$2,0),0),0)</f>
        <v>1.7384333333333335</v>
      </c>
      <c r="I31" s="152">
        <f>IFERROR(VLOOKUP($A$3:$A$126,'AUG-2026'!$A$4:$ADL$124,MATCH('FY-(26-27)Q2'!$I$2:$J$2,'AUG-2026'!$A$2:$DM$2,0),0),0)</f>
        <v>-87345</v>
      </c>
      <c r="J31" s="154">
        <f>IFERROR(VLOOKUP($A$3:$A$126,'AUG-2026'!$A$4:$ADL$124,MATCH('FY-(26-27)Q2'!$I$2:$J$2,'AUG-2026'!$A$2:$DM$2,0),0),0)</f>
        <v>-0.58230000000000004</v>
      </c>
      <c r="K31" s="152">
        <f>IFERROR(VLOOKUP($A$3:$A$126,'SEP-2026'!$A$4:$AEE$125,MATCH('FY-(26-27)Q2'!$K$2:$L$2,'SEP-2026'!$A$2:$EF$2,0),0),0)</f>
        <v>0</v>
      </c>
      <c r="L31" s="154">
        <f>IFERROR(VLOOKUP($A$3:$A$126,'SEP-2026'!$A$4:$AEE$125,MATCH('FY-(26-27)Q2'!$K$2:$L$2,'SEP-2026'!$A$2:$EF$2,0),0),0)</f>
        <v>0</v>
      </c>
      <c r="M31" s="71">
        <f t="shared" si="0"/>
        <v>173420</v>
      </c>
      <c r="N31" s="165">
        <f t="shared" si="0"/>
        <v>1.1561333333333335</v>
      </c>
    </row>
    <row r="32" spans="1:15" x14ac:dyDescent="0.25">
      <c r="A32" s="141" t="s">
        <v>194</v>
      </c>
      <c r="B32" s="140" t="s">
        <v>246</v>
      </c>
      <c r="C32" s="140" t="s">
        <v>180</v>
      </c>
      <c r="D32" s="37" t="s">
        <v>91</v>
      </c>
      <c r="E32" s="37" t="s">
        <v>256</v>
      </c>
      <c r="F32" s="155">
        <v>6</v>
      </c>
      <c r="G32" s="152">
        <f>IFERROR(VLOOKUP($A$3:$A$126,'JULY-2026'!$A$4:$ACS$118,MATCH('FY-(26-27)Q2'!$G$2:$H$2,'JULY-2026'!$A$2:$CT$2,0),0),0)</f>
        <v>1051922</v>
      </c>
      <c r="H32" s="154">
        <f>IFERROR(VLOOKUP($A$3:$A$126,'JULY-2026'!$A$4:$ACS$118,MATCH('FY-(26-27)Q2'!$G$2:$H$2,'JULY-2026'!$A$2:$CT$2,0),0),0)</f>
        <v>1.7532033333333337</v>
      </c>
      <c r="I32" s="152">
        <f>IFERROR(VLOOKUP($A$3:$A$126,'AUG-2026'!$A$4:$ADL$124,MATCH('FY-(26-27)Q2'!$I$2:$J$2,'AUG-2026'!$A$2:$DM$2,0),0),0)</f>
        <v>-348894</v>
      </c>
      <c r="J32" s="154">
        <f>IFERROR(VLOOKUP($A$3:$A$126,'AUG-2026'!$A$4:$ADL$124,MATCH('FY-(26-27)Q2'!$I$2:$J$2,'AUG-2026'!$A$2:$DM$2,0),0),0)</f>
        <v>-0.58148999999999995</v>
      </c>
      <c r="K32" s="152">
        <f>IFERROR(VLOOKUP($A$3:$A$126,'SEP-2026'!$A$4:$AEE$125,MATCH('FY-(26-27)Q2'!$K$2:$L$2,'SEP-2026'!$A$2:$EF$2,0),0),0)</f>
        <v>0</v>
      </c>
      <c r="L32" s="154">
        <f>IFERROR(VLOOKUP($A$3:$A$126,'SEP-2026'!$A$4:$AEE$125,MATCH('FY-(26-27)Q2'!$K$2:$L$2,'SEP-2026'!$A$2:$EF$2,0),0),0)</f>
        <v>0</v>
      </c>
      <c r="M32" s="71">
        <f t="shared" si="0"/>
        <v>703028</v>
      </c>
      <c r="N32" s="165">
        <f t="shared" si="0"/>
        <v>1.1717133333333338</v>
      </c>
    </row>
    <row r="33" spans="1:14" x14ac:dyDescent="0.25">
      <c r="A33" s="162" t="s">
        <v>205</v>
      </c>
      <c r="B33" s="140" t="s">
        <v>203</v>
      </c>
      <c r="C33" s="140" t="s">
        <v>204</v>
      </c>
      <c r="D33" s="141" t="s">
        <v>91</v>
      </c>
      <c r="E33" s="162" t="s">
        <v>256</v>
      </c>
      <c r="F33" s="163">
        <v>1.3</v>
      </c>
      <c r="G33" s="152">
        <f>IFERROR(VLOOKUP($A$3:$A$126,'JULY-2026'!$A$4:$ACS$118,MATCH('FY-(26-27)Q2'!$G$2:$H$2,'JULY-2026'!$A$2:$CT$2,0),0),0)</f>
        <v>270747</v>
      </c>
      <c r="H33" s="154">
        <f>IFERROR(VLOOKUP($A$3:$A$126,'JULY-2026'!$A$4:$ACS$118,MATCH('FY-(26-27)Q2'!$G$2:$H$2,'JULY-2026'!$A$2:$CT$2,0),0),0)</f>
        <v>2.1659760000000001</v>
      </c>
      <c r="I33" s="152">
        <f>IFERROR(VLOOKUP($A$3:$A$126,'AUG-2026'!$A$4:$ADL$124,MATCH('FY-(26-27)Q2'!$I$2:$J$2,'AUG-2026'!$A$2:$DM$2,0),0),0)</f>
        <v>-87240</v>
      </c>
      <c r="J33" s="154">
        <f>IFERROR(VLOOKUP($A$3:$A$126,'AUG-2026'!$A$4:$ADL$124,MATCH('FY-(26-27)Q2'!$I$2:$J$2,'AUG-2026'!$A$2:$DM$2,0),0),0)</f>
        <v>-0.69791999999999998</v>
      </c>
      <c r="K33" s="152">
        <f>IFERROR(VLOOKUP($A$3:$A$126,'SEP-2026'!$A$4:$AEE$125,MATCH('FY-(26-27)Q2'!$K$2:$L$2,'SEP-2026'!$A$2:$EF$2,0),0),0)</f>
        <v>0</v>
      </c>
      <c r="L33" s="154">
        <f>IFERROR(VLOOKUP($A$3:$A$126,'SEP-2026'!$A$4:$AEE$125,MATCH('FY-(26-27)Q2'!$K$2:$L$2,'SEP-2026'!$A$2:$EF$2,0),0),0)</f>
        <v>0</v>
      </c>
      <c r="M33" s="71">
        <f t="shared" si="0"/>
        <v>183507</v>
      </c>
      <c r="N33" s="165">
        <f t="shared" si="0"/>
        <v>1.4680560000000002</v>
      </c>
    </row>
    <row r="34" spans="1:14" x14ac:dyDescent="0.25">
      <c r="A34" s="62" t="s">
        <v>1</v>
      </c>
      <c r="B34" s="62" t="s">
        <v>93</v>
      </c>
      <c r="C34" s="62" t="s">
        <v>248</v>
      </c>
      <c r="D34" s="42" t="s">
        <v>92</v>
      </c>
      <c r="E34" s="42" t="s">
        <v>256</v>
      </c>
      <c r="F34" s="200">
        <v>1.5</v>
      </c>
      <c r="G34" s="152">
        <f>IFERROR(VLOOKUP($A$3:$A$126,'JULY-2026'!$A$4:$ACS$118,MATCH('FY-(26-27)Q2'!$G$2:$H$2,'JULY-2026'!$A$2:$CT$2,0),0),0)</f>
        <v>270678</v>
      </c>
      <c r="H34" s="154">
        <f>IFERROR(VLOOKUP($A$3:$A$126,'JULY-2026'!$A$4:$ACS$118,MATCH('FY-(26-27)Q2'!$G$2:$H$2,'JULY-2026'!$A$2:$CT$2,0),0),0)</f>
        <v>1.8045199999999999</v>
      </c>
      <c r="I34" s="152">
        <f>IFERROR(VLOOKUP($A$3:$A$126,'AUG-2026'!$A$4:$ADL$124,MATCH('FY-(26-27)Q2'!$I$2:$J$2,'AUG-2026'!$A$2:$DM$2,0),0),0)</f>
        <v>-87014</v>
      </c>
      <c r="J34" s="154">
        <f>IFERROR(VLOOKUP($A$3:$A$126,'AUG-2026'!$A$4:$ADL$124,MATCH('FY-(26-27)Q2'!$I$2:$J$2,'AUG-2026'!$A$2:$DM$2,0),0),0)</f>
        <v>-0.58009333333333335</v>
      </c>
      <c r="K34" s="152">
        <f>IFERROR(VLOOKUP($A$3:$A$126,'SEP-2026'!$A$4:$AEE$125,MATCH('FY-(26-27)Q2'!$K$2:$L$2,'SEP-2026'!$A$2:$EF$2,0),0),0)</f>
        <v>0</v>
      </c>
      <c r="L34" s="154">
        <f>IFERROR(VLOOKUP($A$3:$A$126,'SEP-2026'!$A$4:$AEE$125,MATCH('FY-(26-27)Q2'!$K$2:$L$2,'SEP-2026'!$A$2:$EF$2,0),0),0)</f>
        <v>0</v>
      </c>
      <c r="M34" s="71">
        <f t="shared" si="0"/>
        <v>183664</v>
      </c>
      <c r="N34" s="165">
        <f t="shared" si="0"/>
        <v>1.2244266666666666</v>
      </c>
    </row>
    <row r="35" spans="1:14" x14ac:dyDescent="0.25">
      <c r="A35" s="141" t="s">
        <v>65</v>
      </c>
      <c r="B35" s="140" t="s">
        <v>64</v>
      </c>
      <c r="C35" s="140" t="s">
        <v>7</v>
      </c>
      <c r="D35" s="140" t="s">
        <v>64</v>
      </c>
      <c r="E35" s="37" t="s">
        <v>256</v>
      </c>
      <c r="F35" s="155">
        <v>5</v>
      </c>
      <c r="G35" s="152">
        <f>IFERROR(VLOOKUP($A$3:$A$126,'JULY-2026'!$A$4:$ACS$118,MATCH('FY-(26-27)Q2'!$G$2:$H$2,'JULY-2026'!$A$2:$CT$2,0),0),0)</f>
        <v>1205315</v>
      </c>
      <c r="H35" s="154">
        <f>IFERROR(VLOOKUP($A$3:$A$126,'JULY-2026'!$A$4:$ACS$118,MATCH('FY-(26-27)Q2'!$G$2:$H$2,'JULY-2026'!$A$2:$CT$2,0),0),0)</f>
        <v>2.4106299999999998</v>
      </c>
      <c r="I35" s="152">
        <f>IFERROR(VLOOKUP($A$3:$A$126,'AUG-2026'!$A$4:$ADL$124,MATCH('FY-(26-27)Q2'!$I$2:$J$2,'AUG-2026'!$A$2:$DM$2,0),0),0)</f>
        <v>-505463</v>
      </c>
      <c r="J35" s="154">
        <f>IFERROR(VLOOKUP($A$3:$A$126,'AUG-2026'!$A$4:$ADL$124,MATCH('FY-(26-27)Q2'!$I$2:$J$2,'AUG-2026'!$A$2:$DM$2,0),0),0)</f>
        <v>-1.010926</v>
      </c>
      <c r="K35" s="152">
        <f>IFERROR(VLOOKUP($A$3:$A$126,'SEP-2026'!$A$4:$AEE$125,MATCH('FY-(26-27)Q2'!$K$2:$L$2,'SEP-2026'!$A$2:$EF$2,0),0),0)</f>
        <v>-816292</v>
      </c>
      <c r="L35" s="154">
        <f>IFERROR(VLOOKUP($A$3:$A$126,'SEP-2026'!$A$4:$AEE$125,MATCH('FY-(26-27)Q2'!$K$2:$L$2,'SEP-2026'!$A$2:$EF$2,0),0),0)</f>
        <v>-1.632584</v>
      </c>
      <c r="M35" s="71">
        <f t="shared" si="0"/>
        <v>-116440</v>
      </c>
      <c r="N35" s="165">
        <f t="shared" si="0"/>
        <v>-0.2328800000000002</v>
      </c>
    </row>
    <row r="36" spans="1:14" x14ac:dyDescent="0.25">
      <c r="A36" s="140" t="s">
        <v>34</v>
      </c>
      <c r="B36" s="142" t="s">
        <v>18</v>
      </c>
      <c r="C36" s="140" t="s">
        <v>10</v>
      </c>
      <c r="D36" s="142" t="s">
        <v>18</v>
      </c>
      <c r="E36" s="37" t="s">
        <v>256</v>
      </c>
      <c r="F36" s="118">
        <v>5</v>
      </c>
      <c r="G36" s="152">
        <f>IFERROR(VLOOKUP($A$3:$A$126,'JULY-2026'!$A$4:$ACS$118,MATCH('FY-(26-27)Q2'!$G$2:$H$2,'JULY-2026'!$A$2:$CT$2,0),0),0)</f>
        <v>457495</v>
      </c>
      <c r="H36" s="154">
        <f>IFERROR(VLOOKUP($A$3:$A$126,'JULY-2026'!$A$4:$ACS$118,MATCH('FY-(26-27)Q2'!$G$2:$H$2,'JULY-2026'!$A$2:$CT$2,0),0),0)</f>
        <v>0.91498999999999997</v>
      </c>
      <c r="I36" s="152">
        <f>IFERROR(VLOOKUP($A$3:$A$126,'AUG-2026'!$A$4:$ADL$124,MATCH('FY-(26-27)Q2'!$I$2:$J$2,'AUG-2026'!$A$2:$DM$2,0),0),0)</f>
        <v>569912</v>
      </c>
      <c r="J36" s="154">
        <f>IFERROR(VLOOKUP($A$3:$A$126,'AUG-2026'!$A$4:$ADL$124,MATCH('FY-(26-27)Q2'!$I$2:$J$2,'AUG-2026'!$A$2:$DM$2,0),0),0)</f>
        <v>1.1398239999999999</v>
      </c>
      <c r="K36" s="152">
        <f>IFERROR(VLOOKUP($A$3:$A$126,'SEP-2026'!$A$4:$AEE$125,MATCH('FY-(26-27)Q2'!$K$2:$L$2,'SEP-2026'!$A$2:$EF$2,0),0),0)</f>
        <v>-206798</v>
      </c>
      <c r="L36" s="154">
        <f>IFERROR(VLOOKUP($A$3:$A$126,'SEP-2026'!$A$4:$AEE$125,MATCH('FY-(26-27)Q2'!$K$2:$L$2,'SEP-2026'!$A$2:$EF$2,0),0),0)</f>
        <v>-0.41359600000000002</v>
      </c>
      <c r="M36" s="71">
        <f t="shared" si="0"/>
        <v>820609</v>
      </c>
      <c r="N36" s="165">
        <f t="shared" si="0"/>
        <v>1.6412179999999998</v>
      </c>
    </row>
    <row r="37" spans="1:14" x14ac:dyDescent="0.25">
      <c r="A37" s="140" t="s">
        <v>131</v>
      </c>
      <c r="B37" s="142" t="s">
        <v>130</v>
      </c>
      <c r="C37" s="140" t="s">
        <v>16</v>
      </c>
      <c r="D37" s="141" t="s">
        <v>262</v>
      </c>
      <c r="E37" s="37" t="s">
        <v>256</v>
      </c>
      <c r="F37" s="118">
        <v>0.5</v>
      </c>
      <c r="G37" s="152">
        <f>IFERROR(VLOOKUP($A$3:$A$126,'JULY-2026'!$A$4:$ACS$118,MATCH('FY-(26-27)Q2'!$G$2:$H$2,'JULY-2026'!$A$2:$CT$2,0),0),0)</f>
        <v>-15025</v>
      </c>
      <c r="H37" s="154">
        <f>IFERROR(VLOOKUP($A$3:$A$126,'JULY-2026'!$A$4:$ACS$118,MATCH('FY-(26-27)Q2'!$G$2:$H$2,'JULY-2026'!$A$2:$CT$2,0),0),0)</f>
        <v>-0.15024999999999999</v>
      </c>
      <c r="I37" s="152">
        <f>IFERROR(VLOOKUP($A$3:$A$126,'AUG-2026'!$A$4:$ADL$124,MATCH('FY-(26-27)Q2'!$I$2:$J$2,'AUG-2026'!$A$2:$DM$2,0),0),0)</f>
        <v>-64339</v>
      </c>
      <c r="J37" s="154">
        <f>IFERROR(VLOOKUP($A$3:$A$126,'AUG-2026'!$A$4:$ADL$124,MATCH('FY-(26-27)Q2'!$I$2:$J$2,'AUG-2026'!$A$2:$DM$2,0),0),0)</f>
        <v>-0.64339000000000002</v>
      </c>
      <c r="K37" s="152">
        <f>IFERROR(VLOOKUP($A$3:$A$126,'SEP-2026'!$A$4:$AEE$125,MATCH('FY-(26-27)Q2'!$K$2:$L$2,'SEP-2026'!$A$2:$EF$2,0),0),0)</f>
        <v>-116581</v>
      </c>
      <c r="L37" s="154">
        <f>IFERROR(VLOOKUP($A$3:$A$126,'SEP-2026'!$A$4:$AEE$125,MATCH('FY-(26-27)Q2'!$K$2:$L$2,'SEP-2026'!$A$2:$EF$2,0),0),0)</f>
        <v>-1.16581</v>
      </c>
      <c r="M37" s="71">
        <f t="shared" si="0"/>
        <v>-195945</v>
      </c>
      <c r="N37" s="165">
        <f t="shared" si="0"/>
        <v>-1.9594499999999999</v>
      </c>
    </row>
    <row r="38" spans="1:14" x14ac:dyDescent="0.25">
      <c r="A38" s="43" t="s">
        <v>67</v>
      </c>
      <c r="B38" s="140" t="s">
        <v>76</v>
      </c>
      <c r="C38" s="140" t="s">
        <v>60</v>
      </c>
      <c r="D38" s="37" t="s">
        <v>4</v>
      </c>
      <c r="E38" s="37" t="s">
        <v>256</v>
      </c>
      <c r="F38" s="155">
        <v>0.4</v>
      </c>
      <c r="G38" s="152">
        <f>IFERROR(VLOOKUP($A$3:$A$126,'JULY-2026'!$A$4:$ACS$118,MATCH('FY-(26-27)Q2'!$G$2:$H$2,'JULY-2026'!$A$2:$CT$2,0),0),0)</f>
        <v>-118745</v>
      </c>
      <c r="H38" s="154">
        <f>IFERROR(VLOOKUP($A$3:$A$126,'JULY-2026'!$A$4:$ACS$118,MATCH('FY-(26-27)Q2'!$G$2:$H$2,'JULY-2026'!$A$2:$CT$2,0),0),0)</f>
        <v>-2.9686249999999998</v>
      </c>
      <c r="I38" s="152">
        <f>IFERROR(VLOOKUP($A$3:$A$126,'AUG-2026'!$A$4:$ADL$124,MATCH('FY-(26-27)Q2'!$I$2:$J$2,'AUG-2026'!$A$2:$DM$2,0),0),0)</f>
        <v>53220</v>
      </c>
      <c r="J38" s="154">
        <f>IFERROR(VLOOKUP($A$3:$A$126,'AUG-2026'!$A$4:$ADL$124,MATCH('FY-(26-27)Q2'!$I$2:$J$2,'AUG-2026'!$A$2:$DM$2,0),0),0)</f>
        <v>1.3305</v>
      </c>
      <c r="K38" s="152">
        <f>IFERROR(VLOOKUP($A$3:$A$126,'SEP-2026'!$A$4:$AEE$125,MATCH('FY-(26-27)Q2'!$K$2:$L$2,'SEP-2026'!$A$2:$EF$2,0),0),0)</f>
        <v>145618</v>
      </c>
      <c r="L38" s="154">
        <f>IFERROR(VLOOKUP($A$3:$A$126,'SEP-2026'!$A$4:$AEE$125,MATCH('FY-(26-27)Q2'!$K$2:$L$2,'SEP-2026'!$A$2:$EF$2,0),0),0)</f>
        <v>3.64045</v>
      </c>
      <c r="M38" s="71">
        <f t="shared" si="0"/>
        <v>80093</v>
      </c>
      <c r="N38" s="165">
        <f t="shared" si="0"/>
        <v>2.0023249999999999</v>
      </c>
    </row>
    <row r="39" spans="1:14" x14ac:dyDescent="0.25">
      <c r="A39" s="43" t="s">
        <v>143</v>
      </c>
      <c r="B39" s="140" t="s">
        <v>19</v>
      </c>
      <c r="C39" s="141" t="s">
        <v>232</v>
      </c>
      <c r="D39" s="141" t="s">
        <v>145</v>
      </c>
      <c r="E39" s="141" t="s">
        <v>256</v>
      </c>
      <c r="F39" s="155">
        <v>0.5</v>
      </c>
      <c r="G39" s="152">
        <f>IFERROR(VLOOKUP($A$3:$A$126,'JULY-2026'!$A$4:$ACS$118,MATCH('FY-(26-27)Q2'!$G$2:$H$2,'JULY-2026'!$A$2:$CT$2,0),0),0)</f>
        <v>-215150</v>
      </c>
      <c r="H39" s="154">
        <f>IFERROR(VLOOKUP($A$3:$A$126,'JULY-2026'!$A$4:$ACS$118,MATCH('FY-(26-27)Q2'!$G$2:$H$2,'JULY-2026'!$A$2:$CT$2,0),0),0)</f>
        <v>-4.3029999999999999</v>
      </c>
      <c r="I39" s="152">
        <f>IFERROR(VLOOKUP($A$3:$A$126,'AUG-2026'!$A$4:$ADL$124,MATCH('FY-(26-27)Q2'!$I$2:$J$2,'AUG-2026'!$A$2:$DM$2,0),0),0)</f>
        <v>6333</v>
      </c>
      <c r="J39" s="154">
        <f>IFERROR(VLOOKUP($A$3:$A$126,'AUG-2026'!$A$4:$ADL$124,MATCH('FY-(26-27)Q2'!$I$2:$J$2,'AUG-2026'!$A$2:$DM$2,0),0),0)</f>
        <v>0.12665999999999999</v>
      </c>
      <c r="K39" s="152">
        <f>IFERROR(VLOOKUP($A$3:$A$126,'SEP-2026'!$A$4:$AEE$125,MATCH('FY-(26-27)Q2'!$K$2:$L$2,'SEP-2026'!$A$2:$EF$2,0),0),0)</f>
        <v>0</v>
      </c>
      <c r="L39" s="154">
        <f>IFERROR(VLOOKUP($A$3:$A$126,'SEP-2026'!$A$4:$AEE$125,MATCH('FY-(26-27)Q2'!$K$2:$L$2,'SEP-2026'!$A$2:$EF$2,0),0),0)</f>
        <v>0</v>
      </c>
      <c r="M39" s="71">
        <f t="shared" si="0"/>
        <v>-208817</v>
      </c>
      <c r="N39" s="165">
        <f t="shared" si="0"/>
        <v>-4.1763399999999997</v>
      </c>
    </row>
    <row r="40" spans="1:14" x14ac:dyDescent="0.25">
      <c r="A40" s="43" t="s">
        <v>144</v>
      </c>
      <c r="B40" s="140" t="s">
        <v>19</v>
      </c>
      <c r="C40" s="141" t="s">
        <v>250</v>
      </c>
      <c r="D40" s="141" t="s">
        <v>256</v>
      </c>
      <c r="E40" s="141" t="s">
        <v>256</v>
      </c>
      <c r="F40" s="155">
        <v>0.5</v>
      </c>
      <c r="G40" s="152">
        <f>IFERROR(VLOOKUP($A$3:$A$126,'JULY-2026'!$A$4:$ACS$118,MATCH('FY-(26-27)Q2'!$G$2:$H$2,'JULY-2026'!$A$2:$CT$2,0),0),0)</f>
        <v>-64553</v>
      </c>
      <c r="H40" s="154">
        <f>IFERROR(VLOOKUP($A$3:$A$126,'JULY-2026'!$A$4:$ACS$118,MATCH('FY-(26-27)Q2'!$G$2:$H$2,'JULY-2026'!$A$2:$CT$2,0),0),0)</f>
        <v>-1.2910600000000001</v>
      </c>
      <c r="I40" s="152">
        <f>IFERROR(VLOOKUP($A$3:$A$126,'AUG-2026'!$A$4:$ADL$124,MATCH('FY-(26-27)Q2'!$I$2:$J$2,'AUG-2026'!$A$2:$DM$2,0),0),0)</f>
        <v>0</v>
      </c>
      <c r="J40" s="154">
        <f>IFERROR(VLOOKUP($A$3:$A$126,'AUG-2026'!$A$4:$ADL$124,MATCH('FY-(26-27)Q2'!$I$2:$J$2,'AUG-2026'!$A$2:$DM$2,0),0),0)</f>
        <v>0</v>
      </c>
      <c r="K40" s="152">
        <f>IFERROR(VLOOKUP($A$3:$A$126,'SEP-2026'!$A$4:$AEE$125,MATCH('FY-(26-27)Q2'!$K$2:$L$2,'SEP-2026'!$A$2:$EF$2,0),0),0)</f>
        <v>0</v>
      </c>
      <c r="L40" s="154">
        <f>IFERROR(VLOOKUP($A$3:$A$126,'SEP-2026'!$A$4:$AEE$125,MATCH('FY-(26-27)Q2'!$K$2:$L$2,'SEP-2026'!$A$2:$EF$2,0),0),0)</f>
        <v>0</v>
      </c>
      <c r="M40" s="71">
        <f t="shared" ref="M40" si="11">G40+I40+K40</f>
        <v>-64553</v>
      </c>
      <c r="N40" s="165">
        <f t="shared" ref="N40" si="12">H40+J40+L40</f>
        <v>-1.2910600000000001</v>
      </c>
    </row>
    <row r="41" spans="1:14" x14ac:dyDescent="0.25">
      <c r="A41" s="141" t="s">
        <v>31</v>
      </c>
      <c r="B41" s="142" t="s">
        <v>153</v>
      </c>
      <c r="C41" s="141" t="s">
        <v>222</v>
      </c>
      <c r="D41" s="141" t="s">
        <v>263</v>
      </c>
      <c r="E41" s="40" t="s">
        <v>256</v>
      </c>
      <c r="F41" s="155">
        <v>4</v>
      </c>
      <c r="G41" s="152">
        <f>IFERROR(VLOOKUP($A$3:$A$126,'JULY-2026'!$A$4:$ACS$118,MATCH('FY-(26-27)Q2'!$G$2:$H$2,'JULY-2026'!$A$2:$CT$2,0),0),0)</f>
        <v>360685</v>
      </c>
      <c r="H41" s="154">
        <f>IFERROR(VLOOKUP($A$3:$A$126,'JULY-2026'!$A$4:$ACS$118,MATCH('FY-(26-27)Q2'!$G$2:$H$2,'JULY-2026'!$A$2:$CT$2,0),0),0)</f>
        <v>0.90171250000000003</v>
      </c>
      <c r="I41" s="152">
        <f>IFERROR(VLOOKUP($A$3:$A$126,'AUG-2026'!$A$4:$ADL$124,MATCH('FY-(26-27)Q2'!$I$2:$J$2,'AUG-2026'!$A$2:$DM$2,0),0),0)</f>
        <v>350251</v>
      </c>
      <c r="J41" s="154">
        <f>IFERROR(VLOOKUP($A$3:$A$126,'AUG-2026'!$A$4:$ADL$124,MATCH('FY-(26-27)Q2'!$I$2:$J$2,'AUG-2026'!$A$2:$DM$2,0),0),0)</f>
        <v>0.8756275</v>
      </c>
      <c r="K41" s="152">
        <f>IFERROR(VLOOKUP($A$3:$A$126,'SEP-2026'!$A$4:$AEE$125,MATCH('FY-(26-27)Q2'!$K$2:$L$2,'SEP-2026'!$A$2:$EF$2,0),0),0)</f>
        <v>-115576</v>
      </c>
      <c r="L41" s="154">
        <f>IFERROR(VLOOKUP($A$3:$A$126,'SEP-2026'!$A$4:$AEE$125,MATCH('FY-(26-27)Q2'!$K$2:$L$2,'SEP-2026'!$A$2:$EF$2,0),0),0)</f>
        <v>-0.28893999999999997</v>
      </c>
      <c r="M41" s="71">
        <f t="shared" si="0"/>
        <v>595360</v>
      </c>
      <c r="N41" s="165">
        <f t="shared" si="0"/>
        <v>1.4884000000000002</v>
      </c>
    </row>
    <row r="42" spans="1:14" x14ac:dyDescent="0.25">
      <c r="A42" s="141" t="s">
        <v>104</v>
      </c>
      <c r="B42" s="142" t="s">
        <v>105</v>
      </c>
      <c r="C42" s="141" t="s">
        <v>315</v>
      </c>
      <c r="D42" s="141" t="s">
        <v>106</v>
      </c>
      <c r="E42" s="40" t="s">
        <v>106</v>
      </c>
      <c r="F42" s="155">
        <v>1</v>
      </c>
      <c r="G42" s="152">
        <f>IFERROR(VLOOKUP($A$3:$A$126,'JULY-2026'!$A$4:$ACS$118,MATCH('FY-(26-27)Q2'!$G$2:$H$2,'JULY-2026'!$A$2:$CT$2,0),0),0)</f>
        <v>150383</v>
      </c>
      <c r="H42" s="154">
        <f>IFERROR(VLOOKUP($A$3:$A$126,'JULY-2026'!$A$4:$ACS$118,MATCH('FY-(26-27)Q2'!$G$2:$H$2,'JULY-2026'!$A$2:$CT$2,0),0),0)</f>
        <v>1.50383</v>
      </c>
      <c r="I42" s="152">
        <f>IFERROR(VLOOKUP($A$3:$A$126,'AUG-2026'!$A$4:$ADL$124,MATCH('FY-(26-27)Q2'!$I$2:$J$2,'AUG-2026'!$A$2:$DM$2,0),0),0)</f>
        <v>53249</v>
      </c>
      <c r="J42" s="154">
        <f>IFERROR(VLOOKUP($A$3:$A$126,'AUG-2026'!$A$4:$ADL$124,MATCH('FY-(26-27)Q2'!$I$2:$J$2,'AUG-2026'!$A$2:$DM$2,0),0),0)</f>
        <v>0.53249000000000002</v>
      </c>
      <c r="K42" s="152">
        <f>IFERROR(VLOOKUP($A$3:$A$126,'SEP-2026'!$A$4:$AEE$125,MATCH('FY-(26-27)Q2'!$K$2:$L$2,'SEP-2026'!$A$2:$EF$2,0),0),0)</f>
        <v>-289176</v>
      </c>
      <c r="L42" s="154">
        <f>IFERROR(VLOOKUP($A$3:$A$126,'SEP-2026'!$A$4:$AEE$125,MATCH('FY-(26-27)Q2'!$K$2:$L$2,'SEP-2026'!$A$2:$EF$2,0),0),0)</f>
        <v>-2.8917600000000001</v>
      </c>
      <c r="M42" s="71">
        <f t="shared" si="0"/>
        <v>-85544</v>
      </c>
      <c r="N42" s="165">
        <f t="shared" si="0"/>
        <v>-0.8554400000000002</v>
      </c>
    </row>
    <row r="43" spans="1:14" x14ac:dyDescent="0.25">
      <c r="A43" s="141" t="s">
        <v>314</v>
      </c>
      <c r="B43" s="142" t="s">
        <v>105</v>
      </c>
      <c r="C43" s="141" t="s">
        <v>15</v>
      </c>
      <c r="D43" s="141" t="s">
        <v>256</v>
      </c>
      <c r="E43" s="141" t="s">
        <v>256</v>
      </c>
      <c r="F43" s="155"/>
      <c r="G43" s="152">
        <f>IFERROR(VLOOKUP($A$3:$A$126,'JULY-2026'!$A$4:$ACS$118,MATCH('FY-(26-27)Q2'!$G$2:$H$2,'JULY-2026'!$A$2:$CT$2,0),0),0)</f>
        <v>0</v>
      </c>
      <c r="H43" s="154">
        <f>IFERROR(VLOOKUP($A$3:$A$126,'JULY-2026'!$A$4:$ACS$118,MATCH('FY-(26-27)Q2'!$G$2:$H$2,'JULY-2026'!$A$2:$CT$2,0),0),0)</f>
        <v>0</v>
      </c>
      <c r="I43" s="152">
        <f>IFERROR(VLOOKUP($A$3:$A$126,'AUG-2026'!$A$4:$ADL$124,MATCH('FY-(26-27)Q2'!$I$2:$J$2,'AUG-2026'!$A$2:$DM$2,0),0),0)</f>
        <v>0</v>
      </c>
      <c r="J43" s="154">
        <f>IFERROR(VLOOKUP($A$3:$A$126,'AUG-2026'!$A$4:$ADL$124,MATCH('FY-(26-27)Q2'!$I$2:$J$2,'AUG-2026'!$A$2:$DM$2,0),0),0)</f>
        <v>0</v>
      </c>
      <c r="K43" s="152">
        <f>IFERROR(VLOOKUP($A$3:$A$126,'SEP-2026'!$A$4:$AEE$125,MATCH('FY-(26-27)Q2'!$K$2:$L$2,'SEP-2026'!$A$2:$EF$2,0),0),0)</f>
        <v>0</v>
      </c>
      <c r="L43" s="154">
        <f>IFERROR(VLOOKUP($A$3:$A$126,'SEP-2026'!$A$4:$AEE$125,MATCH('FY-(26-27)Q2'!$K$2:$L$2,'SEP-2026'!$A$2:$EF$2,0),0),0)</f>
        <v>0</v>
      </c>
      <c r="M43" s="71">
        <f t="shared" ref="M43" si="13">G43+I43+K43</f>
        <v>0</v>
      </c>
      <c r="N43" s="165">
        <f t="shared" ref="N43" si="14">H43+J43+L43</f>
        <v>0</v>
      </c>
    </row>
    <row r="44" spans="1:14" x14ac:dyDescent="0.25">
      <c r="A44" s="141" t="s">
        <v>229</v>
      </c>
      <c r="B44" s="142" t="s">
        <v>105</v>
      </c>
      <c r="C44" s="141" t="s">
        <v>218</v>
      </c>
      <c r="D44" s="141" t="s">
        <v>269</v>
      </c>
      <c r="E44" s="141" t="s">
        <v>256</v>
      </c>
      <c r="F44" s="155">
        <v>0.5</v>
      </c>
      <c r="G44" s="152">
        <f>IFERROR(VLOOKUP($A$3:$A$126,'JULY-2026'!$A$4:$ACS$118,MATCH('FY-(26-27)Q2'!$G$2:$H$2,'JULY-2026'!$A$2:$CT$2,0),0),0)</f>
        <v>-52106</v>
      </c>
      <c r="H44" s="154">
        <f>IFERROR(VLOOKUP($A$3:$A$126,'JULY-2026'!$A$4:$ACS$118,MATCH('FY-(26-27)Q2'!$G$2:$H$2,'JULY-2026'!$A$2:$CT$2,0),0),0)</f>
        <v>-1.0421199999999999</v>
      </c>
      <c r="I44" s="152">
        <f>IFERROR(VLOOKUP($A$3:$A$126,'AUG-2026'!$A$4:$ADL$124,MATCH('FY-(26-27)Q2'!$I$2:$J$2,'AUG-2026'!$A$2:$DM$2,0),0),0)</f>
        <v>-14277</v>
      </c>
      <c r="J44" s="154">
        <f>IFERROR(VLOOKUP($A$3:$A$126,'AUG-2026'!$A$4:$ADL$124,MATCH('FY-(26-27)Q2'!$I$2:$J$2,'AUG-2026'!$A$2:$DM$2,0),0),0)</f>
        <v>-0.28554000000000002</v>
      </c>
      <c r="K44" s="152">
        <f>IFERROR(VLOOKUP($A$3:$A$126,'SEP-2026'!$A$4:$AEE$125,MATCH('FY-(26-27)Q2'!$K$2:$L$2,'SEP-2026'!$A$2:$EF$2,0),0),0)</f>
        <v>38136</v>
      </c>
      <c r="L44" s="154">
        <f>IFERROR(VLOOKUP($A$3:$A$126,'SEP-2026'!$A$4:$AEE$125,MATCH('FY-(26-27)Q2'!$K$2:$L$2,'SEP-2026'!$A$2:$EF$2,0),0),0)</f>
        <v>0.76271999999999995</v>
      </c>
      <c r="M44" s="71">
        <f t="shared" si="0"/>
        <v>-28247</v>
      </c>
      <c r="N44" s="165">
        <f t="shared" si="0"/>
        <v>-0.56493999999999989</v>
      </c>
    </row>
    <row r="45" spans="1:14" x14ac:dyDescent="0.25">
      <c r="A45" s="141" t="s">
        <v>45</v>
      </c>
      <c r="B45" s="142" t="s">
        <v>98</v>
      </c>
      <c r="C45" s="141" t="s">
        <v>220</v>
      </c>
      <c r="D45" s="141" t="s">
        <v>265</v>
      </c>
      <c r="E45" s="60" t="s">
        <v>256</v>
      </c>
      <c r="F45" s="155">
        <v>1</v>
      </c>
      <c r="G45" s="152">
        <f>IFERROR(VLOOKUP($A$3:$A$126,'JULY-2026'!$A$4:$ACS$118,MATCH('FY-(26-27)Q2'!$G$2:$H$2,'JULY-2026'!$A$2:$CT$2,0),0),0)</f>
        <v>79198</v>
      </c>
      <c r="H45" s="154">
        <f>IFERROR(VLOOKUP($A$3:$A$126,'JULY-2026'!$A$4:$ACS$118,MATCH('FY-(26-27)Q2'!$G$2:$H$2,'JULY-2026'!$A$2:$CT$2,0),0),0)</f>
        <v>0.2639933333333333</v>
      </c>
      <c r="I45" s="152">
        <f>IFERROR(VLOOKUP($A$3:$A$126,'AUG-2026'!$A$4:$ADL$124,MATCH('FY-(26-27)Q2'!$I$2:$J$2,'AUG-2026'!$A$2:$DM$2,0),0),0)</f>
        <v>-189990</v>
      </c>
      <c r="J45" s="154">
        <f>IFERROR(VLOOKUP($A$3:$A$126,'AUG-2026'!$A$4:$ADL$124,MATCH('FY-(26-27)Q2'!$I$2:$J$2,'AUG-2026'!$A$2:$DM$2,0),0),0)</f>
        <v>-0.63329999999999997</v>
      </c>
      <c r="K45" s="152">
        <f>IFERROR(VLOOKUP($A$3:$A$126,'SEP-2026'!$A$4:$AEE$125,MATCH('FY-(26-27)Q2'!$K$2:$L$2,'SEP-2026'!$A$2:$EF$2,0),0),0)</f>
        <v>155432</v>
      </c>
      <c r="L45" s="154">
        <f>IFERROR(VLOOKUP($A$3:$A$126,'SEP-2026'!$A$4:$AEE$125,MATCH('FY-(26-27)Q2'!$K$2:$L$2,'SEP-2026'!$A$2:$EF$2,0),0),0)</f>
        <v>0.5181066666666666</v>
      </c>
      <c r="M45" s="71">
        <f t="shared" si="0"/>
        <v>44640</v>
      </c>
      <c r="N45" s="165">
        <f t="shared" si="0"/>
        <v>0.14879999999999993</v>
      </c>
    </row>
    <row r="46" spans="1:14" x14ac:dyDescent="0.25">
      <c r="A46" s="141" t="s">
        <v>193</v>
      </c>
      <c r="B46" s="142" t="s">
        <v>186</v>
      </c>
      <c r="C46" s="141" t="s">
        <v>221</v>
      </c>
      <c r="D46" s="141" t="s">
        <v>265</v>
      </c>
      <c r="E46" s="141" t="s">
        <v>256</v>
      </c>
      <c r="F46" s="155">
        <v>3</v>
      </c>
      <c r="G46" s="152">
        <f>IFERROR(VLOOKUP($A$3:$A$126,'JULY-2026'!$A$4:$ACS$118,MATCH('FY-(26-27)Q2'!$G$2:$H$2,'JULY-2026'!$A$2:$CT$2,0),0),0)</f>
        <v>64077</v>
      </c>
      <c r="H46" s="154">
        <f>IFERROR(VLOOKUP($A$3:$A$126,'JULY-2026'!$A$4:$ACS$118,MATCH('FY-(26-27)Q2'!$G$2:$H$2,'JULY-2026'!$A$2:$CT$2,0),0),0)</f>
        <v>0.21359</v>
      </c>
      <c r="I46" s="152">
        <f>IFERROR(VLOOKUP($A$3:$A$126,'AUG-2026'!$A$4:$ADL$124,MATCH('FY-(26-27)Q2'!$I$2:$J$2,'AUG-2026'!$A$2:$DM$2,0),0),0)</f>
        <v>-103924</v>
      </c>
      <c r="J46" s="154">
        <f>IFERROR(VLOOKUP($A$3:$A$126,'AUG-2026'!$A$4:$ADL$124,MATCH('FY-(26-27)Q2'!$I$2:$J$2,'AUG-2026'!$A$2:$DM$2,0),0),0)</f>
        <v>-0.34641333333333335</v>
      </c>
      <c r="K46" s="152">
        <f>IFERROR(VLOOKUP($A$3:$A$126,'SEP-2026'!$A$4:$AEE$125,MATCH('FY-(26-27)Q2'!$K$2:$L$2,'SEP-2026'!$A$2:$EF$2,0),0),0)</f>
        <v>0</v>
      </c>
      <c r="L46" s="154">
        <f>IFERROR(VLOOKUP($A$3:$A$126,'SEP-2026'!$A$4:$AEE$125,MATCH('FY-(26-27)Q2'!$K$2:$L$2,'SEP-2026'!$A$2:$EF$2,0),0),0)</f>
        <v>0</v>
      </c>
      <c r="M46" s="71">
        <f t="shared" si="0"/>
        <v>-39847</v>
      </c>
      <c r="N46" s="165">
        <f t="shared" si="0"/>
        <v>-0.13282333333333335</v>
      </c>
    </row>
    <row r="47" spans="1:14" x14ac:dyDescent="0.25">
      <c r="A47" s="141" t="s">
        <v>52</v>
      </c>
      <c r="B47" s="142" t="s">
        <v>115</v>
      </c>
      <c r="C47" s="141" t="s">
        <v>219</v>
      </c>
      <c r="D47" s="141" t="s">
        <v>269</v>
      </c>
      <c r="E47" s="37" t="s">
        <v>256</v>
      </c>
      <c r="F47" s="155">
        <v>3</v>
      </c>
      <c r="G47" s="152">
        <f>IFERROR(VLOOKUP($A$3:$A$126,'JULY-2026'!$A$4:$ACS$118,MATCH('FY-(26-27)Q2'!$G$2:$H$2,'JULY-2026'!$A$2:$CT$2,0),0),0)</f>
        <v>142838</v>
      </c>
      <c r="H47" s="154">
        <f>IFERROR(VLOOKUP($A$3:$A$126,'JULY-2026'!$A$4:$ACS$118,MATCH('FY-(26-27)Q2'!$G$2:$H$2,'JULY-2026'!$A$2:$CT$2,0),0),0)</f>
        <v>0.47612666666666659</v>
      </c>
      <c r="I47" s="152">
        <f>IFERROR(VLOOKUP($A$3:$A$126,'AUG-2026'!$A$4:$ADL$124,MATCH('FY-(26-27)Q2'!$I$2:$J$2,'AUG-2026'!$A$2:$DM$2,0),0),0)</f>
        <v>-111880</v>
      </c>
      <c r="J47" s="154">
        <f>IFERROR(VLOOKUP($A$3:$A$126,'AUG-2026'!$A$4:$ADL$124,MATCH('FY-(26-27)Q2'!$I$2:$J$2,'AUG-2026'!$A$2:$DM$2,0),0),0)</f>
        <v>-0.37293333333333334</v>
      </c>
      <c r="K47" s="152">
        <f>IFERROR(VLOOKUP($A$3:$A$126,'SEP-2026'!$A$4:$AEE$125,MATCH('FY-(26-27)Q2'!$K$2:$L$2,'SEP-2026'!$A$2:$EF$2,0),0),0)</f>
        <v>0</v>
      </c>
      <c r="L47" s="154">
        <f>IFERROR(VLOOKUP($A$3:$A$126,'SEP-2026'!$A$4:$AEE$125,MATCH('FY-(26-27)Q2'!$K$2:$L$2,'SEP-2026'!$A$2:$EF$2,0),0),0)</f>
        <v>0</v>
      </c>
      <c r="M47" s="71">
        <f t="shared" si="0"/>
        <v>30958</v>
      </c>
      <c r="N47" s="165">
        <f t="shared" si="0"/>
        <v>0.10319333333333325</v>
      </c>
    </row>
    <row r="48" spans="1:14" x14ac:dyDescent="0.25">
      <c r="A48" s="141" t="s">
        <v>292</v>
      </c>
      <c r="B48" s="142" t="s">
        <v>291</v>
      </c>
      <c r="C48" s="141" t="s">
        <v>293</v>
      </c>
      <c r="D48" s="141"/>
      <c r="E48" s="141" t="s">
        <v>256</v>
      </c>
      <c r="F48" s="155">
        <v>0.1</v>
      </c>
      <c r="G48" s="152">
        <f>IFERROR(VLOOKUP($A$3:$A$126,'JULY-2026'!$A$4:$ACS$118,MATCH('FY-(26-27)Q2'!$G$2:$H$2,'JULY-2026'!$A$2:$CT$2,0),0),0)</f>
        <v>-12015</v>
      </c>
      <c r="H48" s="154">
        <f>IFERROR(VLOOKUP($A$3:$A$126,'JULY-2026'!$A$4:$ACS$118,MATCH('FY-(26-27)Q2'!$G$2:$H$2,'JULY-2026'!$A$2:$CT$2,0),0),0)</f>
        <v>-1.2015</v>
      </c>
      <c r="I48" s="152">
        <f>IFERROR(VLOOKUP($A$3:$A$126,'AUG-2026'!$A$4:$ADL$124,MATCH('FY-(26-27)Q2'!$I$2:$J$2,'AUG-2026'!$A$2:$DM$2,0),0),0)</f>
        <v>-4917</v>
      </c>
      <c r="J48" s="154">
        <f>IFERROR(VLOOKUP($A$3:$A$126,'AUG-2026'!$A$4:$ADL$124,MATCH('FY-(26-27)Q2'!$I$2:$J$2,'AUG-2026'!$A$2:$DM$2,0),0),0)</f>
        <v>-0.49170000000000003</v>
      </c>
      <c r="K48" s="152">
        <f>IFERROR(VLOOKUP($A$3:$A$126,'SEP-2026'!$A$4:$AEE$125,MATCH('FY-(26-27)Q2'!$K$2:$L$2,'SEP-2026'!$A$2:$EF$2,0),0),0)</f>
        <v>-3189</v>
      </c>
      <c r="L48" s="154">
        <f>IFERROR(VLOOKUP($A$3:$A$126,'SEP-2026'!$A$4:$AEE$125,MATCH('FY-(26-27)Q2'!$K$2:$L$2,'SEP-2026'!$A$2:$EF$2,0),0),0)</f>
        <v>-0.31890000000000002</v>
      </c>
      <c r="M48" s="71">
        <f t="shared" ref="M48" si="15">G48+I48+K48</f>
        <v>-20121</v>
      </c>
      <c r="N48" s="165">
        <f t="shared" ref="N48" si="16">H48+J48+L48</f>
        <v>-2.0121000000000002</v>
      </c>
    </row>
    <row r="49" spans="1:14" x14ac:dyDescent="0.25">
      <c r="A49" s="141" t="s">
        <v>132</v>
      </c>
      <c r="B49" s="142" t="s">
        <v>129</v>
      </c>
      <c r="C49" s="141" t="s">
        <v>17</v>
      </c>
      <c r="D49" s="141" t="s">
        <v>267</v>
      </c>
      <c r="E49" s="37" t="s">
        <v>256</v>
      </c>
      <c r="F49" s="155">
        <v>1</v>
      </c>
      <c r="G49" s="152">
        <f>IFERROR(VLOOKUP($A$3:$A$126,'JULY-2026'!$A$4:$ACS$118,MATCH('FY-(26-27)Q2'!$G$2:$H$2,'JULY-2026'!$A$2:$CT$2,0),0),0)</f>
        <v>32060</v>
      </c>
      <c r="H49" s="154">
        <f>IFERROR(VLOOKUP($A$3:$A$126,'JULY-2026'!$A$4:$ACS$118,MATCH('FY-(26-27)Q2'!$G$2:$H$2,'JULY-2026'!$A$2:$CT$2,0),0),0)</f>
        <v>0.3206</v>
      </c>
      <c r="I49" s="152">
        <f>IFERROR(VLOOKUP($A$3:$A$126,'AUG-2026'!$A$4:$ADL$124,MATCH('FY-(26-27)Q2'!$I$2:$J$2,'AUG-2026'!$A$2:$DM$2,0),0),0)</f>
        <v>2268</v>
      </c>
      <c r="J49" s="154">
        <f>IFERROR(VLOOKUP($A$3:$A$126,'AUG-2026'!$A$4:$ADL$124,MATCH('FY-(26-27)Q2'!$I$2:$J$2,'AUG-2026'!$A$2:$DM$2,0),0),0)</f>
        <v>4.5359999999999998E-2</v>
      </c>
      <c r="K49" s="152">
        <f>IFERROR(VLOOKUP($A$3:$A$126,'SEP-2026'!$A$4:$AEE$125,MATCH('FY-(26-27)Q2'!$K$2:$L$2,'SEP-2026'!$A$2:$EF$2,0),0),0)</f>
        <v>-38360</v>
      </c>
      <c r="L49" s="154">
        <f>IFERROR(VLOOKUP($A$3:$A$126,'SEP-2026'!$A$4:$AEE$125,MATCH('FY-(26-27)Q2'!$K$2:$L$2,'SEP-2026'!$A$2:$EF$2,0),0),0)</f>
        <v>-0.76719999999999999</v>
      </c>
      <c r="M49" s="71">
        <f t="shared" si="0"/>
        <v>-4032</v>
      </c>
      <c r="N49" s="165">
        <f t="shared" si="0"/>
        <v>-0.40123999999999999</v>
      </c>
    </row>
    <row r="50" spans="1:14" x14ac:dyDescent="0.25">
      <c r="A50" s="141" t="s">
        <v>48</v>
      </c>
      <c r="B50" s="140" t="s">
        <v>95</v>
      </c>
      <c r="C50" s="141" t="s">
        <v>50</v>
      </c>
      <c r="D50" s="40" t="s">
        <v>107</v>
      </c>
      <c r="E50" s="40" t="s">
        <v>107</v>
      </c>
      <c r="F50" s="118">
        <v>1</v>
      </c>
      <c r="G50" s="152">
        <f>IFERROR(VLOOKUP($A$3:$A$126,'JULY-2026'!$A$4:$ACS$118,MATCH('FY-(26-27)Q2'!$G$2:$H$2,'JULY-2026'!$A$2:$CT$2,0),0),0)</f>
        <v>184217</v>
      </c>
      <c r="H50" s="154">
        <f>IFERROR(VLOOKUP($A$3:$A$126,'JULY-2026'!$A$4:$ACS$118,MATCH('FY-(26-27)Q2'!$G$2:$H$2,'JULY-2026'!$A$2:$CT$2,0),0),0)</f>
        <v>1.8421700000000001</v>
      </c>
      <c r="I50" s="152">
        <f>IFERROR(VLOOKUP($A$3:$A$126,'AUG-2026'!$A$4:$ADL$124,MATCH('FY-(26-27)Q2'!$I$2:$J$2,'AUG-2026'!$A$2:$DM$2,0),0),0)</f>
        <v>703157</v>
      </c>
      <c r="J50" s="154">
        <f>IFERROR(VLOOKUP($A$3:$A$126,'AUG-2026'!$A$4:$ADL$124,MATCH('FY-(26-27)Q2'!$I$2:$J$2,'AUG-2026'!$A$2:$DM$2,0),0),0)</f>
        <v>7.0315700000000003</v>
      </c>
      <c r="K50" s="152">
        <f>IFERROR(VLOOKUP($A$3:$A$126,'SEP-2026'!$A$4:$AEE$125,MATCH('FY-(26-27)Q2'!$K$2:$L$2,'SEP-2026'!$A$2:$EF$2,0),0),0)</f>
        <v>-757828</v>
      </c>
      <c r="L50" s="154">
        <f>IFERROR(VLOOKUP($A$3:$A$126,'SEP-2026'!$A$4:$AEE$125,MATCH('FY-(26-27)Q2'!$K$2:$L$2,'SEP-2026'!$A$2:$EF$2,0),0),0)</f>
        <v>-7.5782800000000003</v>
      </c>
      <c r="M50" s="71">
        <f t="shared" si="0"/>
        <v>129546</v>
      </c>
      <c r="N50" s="165">
        <f t="shared" si="0"/>
        <v>1.2954599999999994</v>
      </c>
    </row>
    <row r="51" spans="1:14" x14ac:dyDescent="0.25">
      <c r="A51" s="141" t="s">
        <v>301</v>
      </c>
      <c r="B51" s="140" t="s">
        <v>295</v>
      </c>
      <c r="C51" s="162" t="s">
        <v>296</v>
      </c>
      <c r="D51" s="162"/>
      <c r="E51" s="162" t="s">
        <v>256</v>
      </c>
      <c r="F51" s="163">
        <v>0.1</v>
      </c>
      <c r="G51" s="152">
        <f>IFERROR(VLOOKUP($A$3:$A$126,'JULY-2026'!$A$4:$ACS$118,MATCH('FY-(26-27)Q2'!$G$2:$H$2,'JULY-2026'!$A$2:$CT$2,0),0),0)</f>
        <v>-4465</v>
      </c>
      <c r="H51" s="154">
        <f>IFERROR(VLOOKUP($A$3:$A$126,'JULY-2026'!$A$4:$ACS$118,MATCH('FY-(26-27)Q2'!$G$2:$H$2,'JULY-2026'!$A$2:$CT$2,0),0),0)</f>
        <v>-0.44650000000000001</v>
      </c>
      <c r="I51" s="152">
        <f>IFERROR(VLOOKUP($A$3:$A$126,'AUG-2026'!$A$4:$ADL$124,MATCH('FY-(26-27)Q2'!$I$2:$J$2,'AUG-2026'!$A$2:$DM$2,0),0),0)</f>
        <v>919</v>
      </c>
      <c r="J51" s="154">
        <f>IFERROR(VLOOKUP($A$3:$A$126,'AUG-2026'!$A$4:$ADL$124,MATCH('FY-(26-27)Q2'!$I$2:$J$2,'AUG-2026'!$A$2:$DM$2,0),0),0)</f>
        <v>9.1899999999999996E-2</v>
      </c>
      <c r="K51" s="152">
        <f>IFERROR(VLOOKUP($A$3:$A$126,'SEP-2026'!$A$4:$AEE$125,MATCH('FY-(26-27)Q2'!$K$2:$L$2,'SEP-2026'!$A$2:$EF$2,0),0),0)</f>
        <v>16837</v>
      </c>
      <c r="L51" s="154">
        <f>IFERROR(VLOOKUP($A$3:$A$126,'SEP-2026'!$A$4:$AEE$125,MATCH('FY-(26-27)Q2'!$K$2:$L$2,'SEP-2026'!$A$2:$EF$2,0),0),0)</f>
        <v>1.6837</v>
      </c>
      <c r="M51" s="71">
        <f t="shared" ref="M51" si="17">G51+I51+K51</f>
        <v>13291</v>
      </c>
      <c r="N51" s="165">
        <f t="shared" ref="N51" si="18">H51+J51+L51</f>
        <v>1.3290999999999999</v>
      </c>
    </row>
    <row r="52" spans="1:14" x14ac:dyDescent="0.25">
      <c r="A52" s="142" t="s">
        <v>33</v>
      </c>
      <c r="B52" s="140" t="s">
        <v>14</v>
      </c>
      <c r="C52" s="142" t="s">
        <v>13</v>
      </c>
      <c r="D52" s="140" t="s">
        <v>14</v>
      </c>
      <c r="E52" s="37" t="s">
        <v>256</v>
      </c>
      <c r="F52" s="118">
        <v>1</v>
      </c>
      <c r="G52" s="152">
        <f>IFERROR(VLOOKUP($A$3:$A$126,'JULY-2026'!$A$4:$ACS$118,MATCH('FY-(26-27)Q2'!$G$2:$H$2,'JULY-2026'!$A$2:$CT$2,0),0),0)</f>
        <v>352978</v>
      </c>
      <c r="H52" s="154">
        <f>IFERROR(VLOOKUP($A$3:$A$126,'JULY-2026'!$A$4:$ACS$118,MATCH('FY-(26-27)Q2'!$G$2:$H$2,'JULY-2026'!$A$2:$CT$2,0),0),0)</f>
        <v>1.1765933333333332</v>
      </c>
      <c r="I52" s="152">
        <f>IFERROR(VLOOKUP($A$3:$A$126,'AUG-2026'!$A$4:$ADL$124,MATCH('FY-(26-27)Q2'!$I$2:$J$2,'AUG-2026'!$A$2:$DM$2,0),0),0)</f>
        <v>-361711</v>
      </c>
      <c r="J52" s="154">
        <f>IFERROR(VLOOKUP($A$3:$A$126,'AUG-2026'!$A$4:$ADL$124,MATCH('FY-(26-27)Q2'!$I$2:$J$2,'AUG-2026'!$A$2:$DM$2,0),0),0)</f>
        <v>-1.2057033333333331</v>
      </c>
      <c r="K52" s="152">
        <f>IFERROR(VLOOKUP($A$3:$A$126,'SEP-2026'!$A$4:$AEE$125,MATCH('FY-(26-27)Q2'!$K$2:$L$2,'SEP-2026'!$A$2:$EF$2,0),0),0)</f>
        <v>178985</v>
      </c>
      <c r="L52" s="154">
        <f>IFERROR(VLOOKUP($A$3:$A$126,'SEP-2026'!$A$4:$AEE$125,MATCH('FY-(26-27)Q2'!$K$2:$L$2,'SEP-2026'!$A$2:$EF$2,0),0),0)</f>
        <v>0.59661666666666657</v>
      </c>
      <c r="M52" s="71">
        <f t="shared" si="0"/>
        <v>170252</v>
      </c>
      <c r="N52" s="165">
        <f t="shared" si="0"/>
        <v>0.5675066666666666</v>
      </c>
    </row>
    <row r="53" spans="1:14" x14ac:dyDescent="0.25">
      <c r="A53" s="141" t="s">
        <v>201</v>
      </c>
      <c r="B53" s="140" t="s">
        <v>169</v>
      </c>
      <c r="C53" s="142"/>
      <c r="D53" s="62"/>
      <c r="E53" s="60"/>
      <c r="F53" s="114">
        <v>1</v>
      </c>
      <c r="G53" s="152">
        <f>IFERROR(VLOOKUP($A$3:$A$126,'JULY-2026'!$A$4:$ACS$118,MATCH('FY-(26-27)Q2'!$G$2:$H$2,'JULY-2026'!$A$2:$CT$2,0),0),0)</f>
        <v>-11154</v>
      </c>
      <c r="H53" s="154">
        <f>IFERROR(VLOOKUP($A$3:$A$126,'JULY-2026'!$A$4:$ACS$118,MATCH('FY-(26-27)Q2'!$G$2:$H$2,'JULY-2026'!$A$2:$CT$2,0),0),0)</f>
        <v>-0.11154</v>
      </c>
      <c r="I53" s="152">
        <f>IFERROR(VLOOKUP($A$3:$A$126,'AUG-2026'!$A$4:$ADL$124,MATCH('FY-(26-27)Q2'!$I$2:$J$2,'AUG-2026'!$A$2:$DM$2,0),0),0)</f>
        <v>-9015</v>
      </c>
      <c r="J53" s="154">
        <f>IFERROR(VLOOKUP($A$3:$A$126,'AUG-2026'!$A$4:$ADL$124,MATCH('FY-(26-27)Q2'!$I$2:$J$2,'AUG-2026'!$A$2:$DM$2,0),0),0)</f>
        <v>-9.0149999999999994E-2</v>
      </c>
      <c r="K53" s="152">
        <f>IFERROR(VLOOKUP($A$3:$A$126,'SEP-2026'!$A$4:$AEE$125,MATCH('FY-(26-27)Q2'!$K$2:$L$2,'SEP-2026'!$A$2:$EF$2,0),0),0)</f>
        <v>0</v>
      </c>
      <c r="L53" s="154">
        <f>IFERROR(VLOOKUP($A$3:$A$126,'SEP-2026'!$A$4:$AEE$125,MATCH('FY-(26-27)Q2'!$K$2:$L$2,'SEP-2026'!$A$2:$EF$2,0),0),0)</f>
        <v>0</v>
      </c>
      <c r="M53" s="71">
        <f t="shared" ref="M53" si="19">G53+I53+K53</f>
        <v>-20169</v>
      </c>
      <c r="N53" s="165">
        <f t="shared" ref="N53" si="20">H53+J53+L53</f>
        <v>-0.20168999999999998</v>
      </c>
    </row>
    <row r="54" spans="1:14" x14ac:dyDescent="0.25">
      <c r="A54" s="142" t="s">
        <v>168</v>
      </c>
      <c r="B54" s="140" t="s">
        <v>169</v>
      </c>
      <c r="C54" s="132" t="s">
        <v>255</v>
      </c>
      <c r="D54" s="162" t="s">
        <v>253</v>
      </c>
      <c r="E54" s="162" t="s">
        <v>253</v>
      </c>
      <c r="F54" s="114">
        <v>4</v>
      </c>
      <c r="G54" s="152">
        <f>IFERROR(VLOOKUP($A$3:$A$126,'JULY-2026'!$A$4:$ACS$118,MATCH('FY-(26-27)Q2'!$G$2:$H$2,'JULY-2026'!$A$2:$CT$2,0),0),0)</f>
        <v>414410</v>
      </c>
      <c r="H54" s="154">
        <f>IFERROR(VLOOKUP($A$3:$A$126,'JULY-2026'!$A$4:$ACS$118,MATCH('FY-(26-27)Q2'!$G$2:$H$2,'JULY-2026'!$A$2:$CT$2,0),0),0)</f>
        <v>1.036025</v>
      </c>
      <c r="I54" s="152">
        <f>IFERROR(VLOOKUP($A$3:$A$126,'AUG-2026'!$A$4:$ADL$124,MATCH('FY-(26-27)Q2'!$I$2:$J$2,'AUG-2026'!$A$2:$DM$2,0),0),0)</f>
        <v>60792</v>
      </c>
      <c r="J54" s="154">
        <f>IFERROR(VLOOKUP($A$3:$A$126,'AUG-2026'!$A$4:$ADL$124,MATCH('FY-(26-27)Q2'!$I$2:$J$2,'AUG-2026'!$A$2:$DM$2,0),0),0)</f>
        <v>0.15198</v>
      </c>
      <c r="K54" s="152">
        <f>IFERROR(VLOOKUP($A$3:$A$126,'SEP-2026'!$A$4:$AEE$125,MATCH('FY-(26-27)Q2'!$K$2:$L$2,'SEP-2026'!$A$2:$EF$2,0),0),0)</f>
        <v>-185329</v>
      </c>
      <c r="L54" s="154">
        <f>IFERROR(VLOOKUP($A$3:$A$126,'SEP-2026'!$A$4:$AEE$125,MATCH('FY-(26-27)Q2'!$K$2:$L$2,'SEP-2026'!$A$2:$EF$2,0),0),0)</f>
        <v>-0.46332250000000003</v>
      </c>
      <c r="M54" s="71">
        <f t="shared" si="0"/>
        <v>289873</v>
      </c>
      <c r="N54" s="165">
        <f t="shared" si="0"/>
        <v>0.7246824999999999</v>
      </c>
    </row>
    <row r="55" spans="1:14" x14ac:dyDescent="0.25">
      <c r="A55" s="142" t="s">
        <v>202</v>
      </c>
      <c r="B55" s="140" t="s">
        <v>169</v>
      </c>
      <c r="C55" s="59" t="s">
        <v>255</v>
      </c>
      <c r="D55" s="162" t="s">
        <v>116</v>
      </c>
      <c r="E55" s="162" t="s">
        <v>256</v>
      </c>
      <c r="F55" s="114">
        <v>4</v>
      </c>
      <c r="G55" s="152">
        <f>IFERROR(VLOOKUP($A$3:$A$126,'JULY-2026'!$A$4:$ACS$118,MATCH('FY-(26-27)Q2'!$G$2:$H$2,'JULY-2026'!$A$2:$CT$2,0),0),0)</f>
        <v>443915</v>
      </c>
      <c r="H55" s="154">
        <f>IFERROR(VLOOKUP($A$3:$A$126,'JULY-2026'!$A$4:$ACS$118,MATCH('FY-(26-27)Q2'!$G$2:$H$2,'JULY-2026'!$A$2:$CT$2,0),0),0)</f>
        <v>1.1097874999999999</v>
      </c>
      <c r="I55" s="152">
        <f>IFERROR(VLOOKUP($A$3:$A$126,'AUG-2026'!$A$4:$ADL$124,MATCH('FY-(26-27)Q2'!$I$2:$J$2,'AUG-2026'!$A$2:$DM$2,0),0),0)</f>
        <v>-101641</v>
      </c>
      <c r="J55" s="154">
        <f>IFERROR(VLOOKUP($A$3:$A$126,'AUG-2026'!$A$4:$ADL$124,MATCH('FY-(26-27)Q2'!$I$2:$J$2,'AUG-2026'!$A$2:$DM$2,0),0),0)</f>
        <v>-0.25410250000000001</v>
      </c>
      <c r="K55" s="152">
        <f>IFERROR(VLOOKUP($A$3:$A$126,'SEP-2026'!$A$4:$AEE$125,MATCH('FY-(26-27)Q2'!$K$2:$L$2,'SEP-2026'!$A$2:$EF$2,0),0),0)</f>
        <v>-83905</v>
      </c>
      <c r="L55" s="154">
        <f>IFERROR(VLOOKUP($A$3:$A$126,'SEP-2026'!$A$4:$AEE$125,MATCH('FY-(26-27)Q2'!$K$2:$L$2,'SEP-2026'!$A$2:$EF$2,0),0),0)</f>
        <v>-0.20976249999999999</v>
      </c>
      <c r="M55" s="71">
        <f t="shared" si="0"/>
        <v>258369</v>
      </c>
      <c r="N55" s="165">
        <f t="shared" si="0"/>
        <v>0.64592249999999996</v>
      </c>
    </row>
    <row r="56" spans="1:14" x14ac:dyDescent="0.25">
      <c r="A56" s="59" t="s">
        <v>306</v>
      </c>
      <c r="B56" s="62" t="s">
        <v>304</v>
      </c>
      <c r="C56" s="59" t="s">
        <v>128</v>
      </c>
      <c r="D56" s="140"/>
      <c r="E56" s="140" t="s">
        <v>256</v>
      </c>
      <c r="F56" s="114">
        <v>0.1</v>
      </c>
      <c r="G56" s="152">
        <f>IFERROR(VLOOKUP($A$3:$A$126,'JULY-2026'!$A$4:$ACS$118,MATCH('FY-(26-27)Q2'!$G$2:$H$2,'JULY-2026'!$A$2:$CT$2,0),0),0)</f>
        <v>100</v>
      </c>
      <c r="H56" s="154">
        <f>IFERROR(VLOOKUP($A$3:$A$126,'JULY-2026'!$A$4:$ACS$118,MATCH('FY-(26-27)Q2'!$G$2:$H$2,'JULY-2026'!$A$2:$CT$2,0),0),0)</f>
        <v>0</v>
      </c>
      <c r="I56" s="152">
        <f>IFERROR(VLOOKUP($A$3:$A$126,'AUG-2026'!$A$4:$ADL$124,MATCH('FY-(26-27)Q2'!$I$2:$J$2,'AUG-2026'!$A$2:$DM$2,0),0),0)</f>
        <v>-1035180</v>
      </c>
      <c r="J56" s="154">
        <f>IFERROR(VLOOKUP($A$3:$A$126,'AUG-2026'!$A$4:$ADL$124,MATCH('FY-(26-27)Q2'!$I$2:$J$2,'AUG-2026'!$A$2:$DM$2,0),0),0)</f>
        <v>-1.03518</v>
      </c>
      <c r="K56" s="152">
        <f>IFERROR(VLOOKUP($A$3:$A$126,'SEP-2026'!$A$4:$AEE$125,MATCH('FY-(26-27)Q2'!$K$2:$L$2,'SEP-2026'!$A$2:$EF$2,0),0),0)</f>
        <v>72251</v>
      </c>
      <c r="L56" s="154">
        <f>IFERROR(VLOOKUP($A$3:$A$126,'SEP-2026'!$A$4:$AEE$125,MATCH('FY-(26-27)Q2'!$K$2:$L$2,'SEP-2026'!$A$2:$EF$2,0),0),0)</f>
        <v>7.2250999999999996E-2</v>
      </c>
      <c r="M56" s="71">
        <f t="shared" ref="M56" si="21">G56+I56+K56</f>
        <v>-962829</v>
      </c>
      <c r="N56" s="165">
        <f t="shared" ref="N56" si="22">H56+J56+L56</f>
        <v>-0.96292900000000003</v>
      </c>
    </row>
    <row r="57" spans="1:14" x14ac:dyDescent="0.25">
      <c r="A57" s="59"/>
      <c r="B57" s="62" t="s">
        <v>304</v>
      </c>
      <c r="C57" s="59" t="s">
        <v>274</v>
      </c>
      <c r="D57" s="140"/>
      <c r="E57" s="140" t="s">
        <v>256</v>
      </c>
      <c r="F57" s="114"/>
      <c r="G57" s="152">
        <f>IFERROR(VLOOKUP($A$3:$A$126,'JULY-2026'!$A$4:$ACS$118,MATCH('FY-(26-27)Q2'!$G$2:$H$2,'JULY-2026'!$A$2:$CT$2,0),0),0)</f>
        <v>0</v>
      </c>
      <c r="H57" s="154">
        <f>IFERROR(VLOOKUP($A$3:$A$126,'JULY-2026'!$A$4:$ACS$118,MATCH('FY-(26-27)Q2'!$G$2:$H$2,'JULY-2026'!$A$2:$CT$2,0),0),0)</f>
        <v>0</v>
      </c>
      <c r="I57" s="152">
        <f>IFERROR(VLOOKUP($A$3:$A$126,'AUG-2026'!$A$4:$ADL$124,MATCH('FY-(26-27)Q2'!$I$2:$J$2,'AUG-2026'!$A$2:$DM$2,0),0),0)</f>
        <v>0</v>
      </c>
      <c r="J57" s="154">
        <f>IFERROR(VLOOKUP($A$3:$A$126,'AUG-2026'!$A$4:$ADL$124,MATCH('FY-(26-27)Q2'!$I$2:$J$2,'AUG-2026'!$A$2:$DM$2,0),0),0)</f>
        <v>0</v>
      </c>
      <c r="K57" s="152">
        <f>IFERROR(VLOOKUP($A$3:$A$126,'SEP-2026'!$A$4:$AEE$125,MATCH('FY-(26-27)Q2'!$K$2:$L$2,'SEP-2026'!$A$2:$EF$2,0),0),0)</f>
        <v>0</v>
      </c>
      <c r="L57" s="154">
        <f>IFERROR(VLOOKUP($A$3:$A$126,'SEP-2026'!$A$4:$AEE$125,MATCH('FY-(26-27)Q2'!$K$2:$L$2,'SEP-2026'!$A$2:$EF$2,0),0),0)</f>
        <v>0</v>
      </c>
      <c r="M57" s="71">
        <f t="shared" ref="M57" si="23">G57+I57+K57</f>
        <v>0</v>
      </c>
      <c r="N57" s="165">
        <f t="shared" ref="N57" si="24">H57+J57+L57</f>
        <v>0</v>
      </c>
    </row>
    <row r="58" spans="1:14" x14ac:dyDescent="0.25">
      <c r="A58" s="59" t="s">
        <v>197</v>
      </c>
      <c r="B58" s="62" t="s">
        <v>195</v>
      </c>
      <c r="C58" s="59" t="s">
        <v>196</v>
      </c>
      <c r="D58" s="62" t="s">
        <v>195</v>
      </c>
      <c r="E58" s="162" t="s">
        <v>256</v>
      </c>
      <c r="F58" s="114">
        <v>0.5</v>
      </c>
      <c r="G58" s="152">
        <f>IFERROR(VLOOKUP($A$3:$A$126,'JULY-2026'!$A$4:$ACS$118,MATCH('FY-(26-27)Q2'!$G$2:$H$2,'JULY-2026'!$A$2:$CT$2,0),0),0)</f>
        <v>-27103</v>
      </c>
      <c r="H58" s="154">
        <f>IFERROR(VLOOKUP($A$3:$A$126,'JULY-2026'!$A$4:$ACS$118,MATCH('FY-(26-27)Q2'!$G$2:$H$2,'JULY-2026'!$A$2:$CT$2,0),0),0)</f>
        <v>-0.54205999999999999</v>
      </c>
      <c r="I58" s="152">
        <f>IFERROR(VLOOKUP($A$3:$A$126,'AUG-2026'!$A$4:$ADL$124,MATCH('FY-(26-27)Q2'!$I$2:$J$2,'AUG-2026'!$A$2:$DM$2,0),0),0)</f>
        <v>-7192</v>
      </c>
      <c r="J58" s="154">
        <f>IFERROR(VLOOKUP($A$3:$A$126,'AUG-2026'!$A$4:$ADL$124,MATCH('FY-(26-27)Q2'!$I$2:$J$2,'AUG-2026'!$A$2:$DM$2,0),0),0)</f>
        <v>-0.14384</v>
      </c>
      <c r="K58" s="152">
        <f>IFERROR(VLOOKUP($A$3:$A$126,'SEP-2026'!$A$4:$AEE$125,MATCH('FY-(26-27)Q2'!$K$2:$L$2,'SEP-2026'!$A$2:$EF$2,0),0),0)</f>
        <v>11064</v>
      </c>
      <c r="L58" s="154">
        <f>IFERROR(VLOOKUP($A$3:$A$126,'SEP-2026'!$A$4:$AEE$125,MATCH('FY-(26-27)Q2'!$K$2:$L$2,'SEP-2026'!$A$2:$EF$2,0),0),0)</f>
        <v>0.22128</v>
      </c>
      <c r="M58" s="71">
        <f t="shared" si="0"/>
        <v>-23231</v>
      </c>
      <c r="N58" s="165">
        <f t="shared" si="0"/>
        <v>-0.46461999999999992</v>
      </c>
    </row>
    <row r="59" spans="1:14" x14ac:dyDescent="0.25">
      <c r="A59" s="59" t="s">
        <v>213</v>
      </c>
      <c r="B59" s="62" t="s">
        <v>209</v>
      </c>
      <c r="C59" s="59" t="s">
        <v>210</v>
      </c>
      <c r="D59" s="62" t="s">
        <v>209</v>
      </c>
      <c r="E59" s="162" t="s">
        <v>256</v>
      </c>
      <c r="F59" s="114">
        <v>5</v>
      </c>
      <c r="G59" s="152">
        <f>IFERROR(VLOOKUP($A$3:$A$126,'JULY-2026'!$A$4:$ACS$118,MATCH('FY-(26-27)Q2'!$G$2:$H$2,'JULY-2026'!$A$2:$CT$2,0),0),0)</f>
        <v>877125</v>
      </c>
      <c r="H59" s="154">
        <f>IFERROR(VLOOKUP($A$3:$A$126,'JULY-2026'!$A$4:$ACS$118,MATCH('FY-(26-27)Q2'!$G$2:$H$2,'JULY-2026'!$A$2:$CT$2,0),0),0)</f>
        <v>2.1928125000000001</v>
      </c>
      <c r="I59" s="152">
        <f>IFERROR(VLOOKUP($A$3:$A$126,'AUG-2026'!$A$4:$ADL$124,MATCH('FY-(26-27)Q2'!$I$2:$J$2,'AUG-2026'!$A$2:$DM$2,0),0),0)</f>
        <v>66819</v>
      </c>
      <c r="J59" s="154">
        <f>IFERROR(VLOOKUP($A$3:$A$126,'AUG-2026'!$A$4:$ADL$124,MATCH('FY-(26-27)Q2'!$I$2:$J$2,'AUG-2026'!$A$2:$DM$2,0),0),0)</f>
        <v>0.10279846153846153</v>
      </c>
      <c r="K59" s="152">
        <f>IFERROR(VLOOKUP($A$3:$A$126,'SEP-2026'!$A$4:$AEE$125,MATCH('FY-(26-27)Q2'!$K$2:$L$2,'SEP-2026'!$A$2:$EF$2,0),0),0)</f>
        <v>-896823</v>
      </c>
      <c r="L59" s="154">
        <f>IFERROR(VLOOKUP($A$3:$A$126,'SEP-2026'!$A$4:$AEE$125,MATCH('FY-(26-27)Q2'!$K$2:$L$2,'SEP-2026'!$A$2:$EF$2,0),0),0)</f>
        <v>-1.3797276923076922</v>
      </c>
      <c r="M59" s="71">
        <f t="shared" si="0"/>
        <v>47121</v>
      </c>
      <c r="N59" s="165">
        <f t="shared" si="0"/>
        <v>0.91588326923076946</v>
      </c>
    </row>
    <row r="60" spans="1:14" x14ac:dyDescent="0.25">
      <c r="A60" s="59" t="s">
        <v>214</v>
      </c>
      <c r="B60" s="62" t="s">
        <v>209</v>
      </c>
      <c r="C60" s="59" t="s">
        <v>211</v>
      </c>
      <c r="D60" s="62" t="s">
        <v>209</v>
      </c>
      <c r="E60" s="162" t="s">
        <v>256</v>
      </c>
      <c r="F60" s="114">
        <v>1</v>
      </c>
      <c r="G60" s="152">
        <f>IFERROR(VLOOKUP($A$3:$A$126,'JULY-2026'!$A$4:$ACS$118,MATCH('FY-(26-27)Q2'!$G$2:$H$2,'JULY-2026'!$A$2:$CT$2,0),0),0)</f>
        <v>209019</v>
      </c>
      <c r="H60" s="154">
        <f>IFERROR(VLOOKUP($A$3:$A$126,'JULY-2026'!$A$4:$ACS$118,MATCH('FY-(26-27)Q2'!$G$2:$H$2,'JULY-2026'!$A$2:$CT$2,0),0),0)</f>
        <v>1.6721520000000001</v>
      </c>
      <c r="I60" s="152">
        <f>IFERROR(VLOOKUP($A$3:$A$126,'AUG-2026'!$A$4:$ADL$124,MATCH('FY-(26-27)Q2'!$I$2:$J$2,'AUG-2026'!$A$2:$DM$2,0),0),0)</f>
        <v>-25761</v>
      </c>
      <c r="J60" s="154">
        <f>IFERROR(VLOOKUP($A$3:$A$126,'AUG-2026'!$A$4:$ADL$124,MATCH('FY-(26-27)Q2'!$I$2:$J$2,'AUG-2026'!$A$2:$DM$2,0),0),0)</f>
        <v>-0.20608799999999999</v>
      </c>
      <c r="K60" s="152">
        <f>IFERROR(VLOOKUP($A$3:$A$126,'SEP-2026'!$A$4:$AEE$125,MATCH('FY-(26-27)Q2'!$K$2:$L$2,'SEP-2026'!$A$2:$EF$2,0),0),0)</f>
        <v>-158276</v>
      </c>
      <c r="L60" s="154">
        <f>IFERROR(VLOOKUP($A$3:$A$126,'SEP-2026'!$A$4:$AEE$125,MATCH('FY-(26-27)Q2'!$K$2:$L$2,'SEP-2026'!$A$2:$EF$2,0),0),0)</f>
        <v>-1.266208</v>
      </c>
      <c r="M60" s="71">
        <f t="shared" si="0"/>
        <v>24982</v>
      </c>
      <c r="N60" s="165">
        <f t="shared" si="0"/>
        <v>0.19985600000000003</v>
      </c>
    </row>
    <row r="61" spans="1:14" x14ac:dyDescent="0.25">
      <c r="A61" s="59" t="s">
        <v>49</v>
      </c>
      <c r="B61" s="59" t="s">
        <v>99</v>
      </c>
      <c r="C61" s="59" t="s">
        <v>100</v>
      </c>
      <c r="D61" s="59" t="s">
        <v>99</v>
      </c>
      <c r="E61" s="59" t="s">
        <v>256</v>
      </c>
      <c r="F61" s="114">
        <v>2.5</v>
      </c>
      <c r="G61" s="152">
        <f>IFERROR(VLOOKUP($A$3:$A$126,'JULY-2026'!$A$4:$ACS$118,MATCH('FY-(26-27)Q2'!$G$2:$H$2,'JULY-2026'!$A$2:$CT$2,0),0),0)</f>
        <v>964481</v>
      </c>
      <c r="H61" s="154">
        <f>IFERROR(VLOOKUP($A$3:$A$126,'JULY-2026'!$A$4:$ACS$118,MATCH('FY-(26-27)Q2'!$G$2:$H$2,'JULY-2026'!$A$2:$CT$2,0),0),0)</f>
        <v>3.214936666666667</v>
      </c>
      <c r="I61" s="152">
        <f>IFERROR(VLOOKUP($A$3:$A$126,'AUG-2026'!$A$4:$ADL$124,MATCH('FY-(26-27)Q2'!$I$2:$J$2,'AUG-2026'!$A$2:$DM$2,0),0),0)</f>
        <v>-260408</v>
      </c>
      <c r="J61" s="154">
        <f>IFERROR(VLOOKUP($A$3:$A$126,'AUG-2026'!$A$4:$ADL$124,MATCH('FY-(26-27)Q2'!$I$2:$J$2,'AUG-2026'!$A$2:$DM$2,0),0),0)</f>
        <v>-0.86802666666666684</v>
      </c>
      <c r="K61" s="152">
        <f>IFERROR(VLOOKUP($A$3:$A$126,'SEP-2026'!$A$4:$AEE$125,MATCH('FY-(26-27)Q2'!$K$2:$L$2,'SEP-2026'!$A$2:$EF$2,0),0),0)</f>
        <v>-164387</v>
      </c>
      <c r="L61" s="154">
        <f>IFERROR(VLOOKUP($A$3:$A$126,'SEP-2026'!$A$4:$AEE$125,MATCH('FY-(26-27)Q2'!$K$2:$L$2,'SEP-2026'!$A$2:$EF$2,0),0),0)</f>
        <v>-0.54795666666666665</v>
      </c>
      <c r="M61" s="71">
        <f t="shared" si="0"/>
        <v>539686</v>
      </c>
      <c r="N61" s="165">
        <f t="shared" si="0"/>
        <v>1.7989533333333336</v>
      </c>
    </row>
    <row r="62" spans="1:14" x14ac:dyDescent="0.25">
      <c r="A62" s="59" t="s">
        <v>41</v>
      </c>
      <c r="B62" s="59" t="s">
        <v>86</v>
      </c>
      <c r="C62" s="59" t="s">
        <v>173</v>
      </c>
      <c r="D62" s="59" t="s">
        <v>86</v>
      </c>
      <c r="E62" s="59" t="s">
        <v>256</v>
      </c>
      <c r="F62" s="114">
        <v>1.5</v>
      </c>
      <c r="G62" s="152">
        <f>IFERROR(VLOOKUP($A$3:$A$126,'JULY-2026'!$A$4:$ACS$118,MATCH('FY-(26-27)Q2'!$G$2:$H$2,'JULY-2026'!$A$2:$CT$2,0),0),0)</f>
        <v>-35194</v>
      </c>
      <c r="H62" s="154">
        <f>IFERROR(VLOOKUP($A$3:$A$126,'JULY-2026'!$A$4:$ACS$118,MATCH('FY-(26-27)Q2'!$G$2:$H$2,'JULY-2026'!$A$2:$CT$2,0),0),0)</f>
        <v>-0.14077600000000001</v>
      </c>
      <c r="I62" s="152">
        <f>IFERROR(VLOOKUP($A$3:$A$126,'AUG-2026'!$A$4:$ADL$124,MATCH('FY-(26-27)Q2'!$I$2:$J$2,'AUG-2026'!$A$2:$DM$2,0),0),0)</f>
        <v>-77942</v>
      </c>
      <c r="J62" s="154">
        <f>IFERROR(VLOOKUP($A$3:$A$126,'AUG-2026'!$A$4:$ADL$124,MATCH('FY-(26-27)Q2'!$I$2:$J$2,'AUG-2026'!$A$2:$DM$2,0),0),0)</f>
        <v>-0.31176799999999999</v>
      </c>
      <c r="K62" s="152">
        <f>IFERROR(VLOOKUP($A$3:$A$126,'SEP-2026'!$A$4:$AEE$125,MATCH('FY-(26-27)Q2'!$K$2:$L$2,'SEP-2026'!$A$2:$EF$2,0),0),0)</f>
        <v>0</v>
      </c>
      <c r="L62" s="154">
        <f>IFERROR(VLOOKUP($A$3:$A$126,'SEP-2026'!$A$4:$AEE$125,MATCH('FY-(26-27)Q2'!$K$2:$L$2,'SEP-2026'!$A$2:$EF$2,0),0),0)</f>
        <v>0</v>
      </c>
      <c r="M62" s="71">
        <f t="shared" si="0"/>
        <v>-113136</v>
      </c>
      <c r="N62" s="165">
        <f t="shared" si="0"/>
        <v>-0.452544</v>
      </c>
    </row>
    <row r="63" spans="1:14" x14ac:dyDescent="0.25">
      <c r="A63" s="59" t="s">
        <v>300</v>
      </c>
      <c r="B63" s="59" t="s">
        <v>286</v>
      </c>
      <c r="C63" s="59" t="s">
        <v>299</v>
      </c>
      <c r="D63" s="59"/>
      <c r="E63" s="59" t="s">
        <v>256</v>
      </c>
      <c r="F63" s="114">
        <v>0.25</v>
      </c>
      <c r="G63" s="152">
        <f>IFERROR(VLOOKUP($A$3:$A$126,'JULY-2026'!$A$4:$ACS$118,MATCH('FY-(26-27)Q2'!$G$2:$H$2,'JULY-2026'!$A$2:$CT$2,0),0),0)</f>
        <v>-2506</v>
      </c>
      <c r="H63" s="154">
        <f>IFERROR(VLOOKUP($A$3:$A$126,'JULY-2026'!$A$4:$ACS$118,MATCH('FY-(26-27)Q2'!$G$2:$H$2,'JULY-2026'!$A$2:$CT$2,0),0),0)</f>
        <v>-0.10024</v>
      </c>
      <c r="I63" s="152">
        <f>IFERROR(VLOOKUP($A$3:$A$126,'AUG-2026'!$A$4:$ADL$124,MATCH('FY-(26-27)Q2'!$I$2:$J$2,'AUG-2026'!$A$2:$DM$2,0),0),0)</f>
        <v>82671</v>
      </c>
      <c r="J63" s="154">
        <f>IFERROR(VLOOKUP($A$3:$A$126,'AUG-2026'!$A$4:$ADL$124,MATCH('FY-(26-27)Q2'!$I$2:$J$2,'AUG-2026'!$A$2:$DM$2,0),0),0)</f>
        <v>0.55113999999999996</v>
      </c>
      <c r="K63" s="152">
        <f>IFERROR(VLOOKUP($A$3:$A$126,'SEP-2026'!$A$4:$AEE$125,MATCH('FY-(26-27)Q2'!$K$2:$L$2,'SEP-2026'!$A$2:$EF$2,0),0),0)</f>
        <v>11400</v>
      </c>
      <c r="L63" s="154">
        <f>IFERROR(VLOOKUP($A$3:$A$126,'SEP-2026'!$A$4:$AEE$125,MATCH('FY-(26-27)Q2'!$K$2:$L$2,'SEP-2026'!$A$2:$EF$2,0),0),0)</f>
        <v>7.5999999999999998E-2</v>
      </c>
      <c r="M63" s="71">
        <f t="shared" ref="M63" si="25">G63+I63+K63</f>
        <v>91565</v>
      </c>
      <c r="N63" s="165">
        <f t="shared" ref="N63" si="26">H63+J63+L63</f>
        <v>0.52689999999999992</v>
      </c>
    </row>
    <row r="64" spans="1:14" ht="16.5" customHeight="1" x14ac:dyDescent="0.25">
      <c r="A64" s="59" t="s">
        <v>288</v>
      </c>
      <c r="B64" s="59" t="s">
        <v>286</v>
      </c>
      <c r="C64" s="59" t="s">
        <v>285</v>
      </c>
      <c r="D64" s="59"/>
      <c r="E64" s="59" t="s">
        <v>287</v>
      </c>
      <c r="F64" s="114">
        <v>5</v>
      </c>
      <c r="G64" s="152">
        <f>IFERROR(VLOOKUP($A$3:$A$126,'JULY-2026'!$A$4:$ACS$118,MATCH('FY-(26-27)Q2'!$G$2:$H$2,'JULY-2026'!$A$2:$CT$2,0),0),0)</f>
        <v>273147</v>
      </c>
      <c r="H64" s="154">
        <f>IFERROR(VLOOKUP($A$3:$A$126,'JULY-2026'!$A$4:$ACS$118,MATCH('FY-(26-27)Q2'!$G$2:$H$2,'JULY-2026'!$A$2:$CT$2,0),0),0)</f>
        <v>0.54629399999999995</v>
      </c>
      <c r="I64" s="152">
        <f>IFERROR(VLOOKUP($A$3:$A$126,'AUG-2026'!$A$4:$ADL$124,MATCH('FY-(26-27)Q2'!$I$2:$J$2,'AUG-2026'!$A$2:$DM$2,0),0),0)</f>
        <v>216258</v>
      </c>
      <c r="J64" s="154">
        <f>IFERROR(VLOOKUP($A$3:$A$126,'AUG-2026'!$A$4:$ADL$124,MATCH('FY-(26-27)Q2'!$I$2:$J$2,'AUG-2026'!$A$2:$DM$2,0),0),0)</f>
        <v>0.43251600000000001</v>
      </c>
      <c r="K64" s="152">
        <f>IFERROR(VLOOKUP($A$3:$A$126,'SEP-2026'!$A$4:$AEE$125,MATCH('FY-(26-27)Q2'!$K$2:$L$2,'SEP-2026'!$A$2:$EF$2,0),0),0)</f>
        <v>1448</v>
      </c>
      <c r="L64" s="154">
        <f>IFERROR(VLOOKUP($A$3:$A$126,'SEP-2026'!$A$4:$AEE$125,MATCH('FY-(26-27)Q2'!$K$2:$L$2,'SEP-2026'!$A$2:$EF$2,0),0),0)</f>
        <v>2.8960000000000006E-3</v>
      </c>
      <c r="M64" s="71">
        <f t="shared" ref="M64" si="27">G64+I64+K64</f>
        <v>490853</v>
      </c>
      <c r="N64" s="165">
        <f t="shared" ref="N64" si="28">H64+J64+L64</f>
        <v>0.98170599999999997</v>
      </c>
    </row>
    <row r="65" spans="1:14" x14ac:dyDescent="0.25">
      <c r="A65" s="186"/>
      <c r="B65" s="231"/>
      <c r="C65" s="186"/>
      <c r="D65" s="232"/>
      <c r="E65" s="232"/>
      <c r="F65" s="233"/>
      <c r="G65" s="230">
        <f>SUM(G4:G62)</f>
        <v>17424940</v>
      </c>
      <c r="H65" s="90"/>
      <c r="I65" s="99">
        <f>SUM(I4:I62)</f>
        <v>-5673893</v>
      </c>
      <c r="J65" s="100"/>
      <c r="K65" s="109">
        <f>SUM(K4:K62)</f>
        <v>-8346235</v>
      </c>
      <c r="L65" s="109"/>
      <c r="M65" s="153">
        <f>SUM(M4:M62)</f>
        <v>3404812</v>
      </c>
      <c r="N65" s="234"/>
    </row>
    <row r="66" spans="1:14" ht="15.75" thickBot="1" x14ac:dyDescent="0.3">
      <c r="G66" s="91"/>
      <c r="H66" s="92"/>
      <c r="I66" s="101"/>
      <c r="J66" s="102"/>
      <c r="K66" s="110"/>
      <c r="L66" s="111"/>
      <c r="M66" s="111"/>
      <c r="N66" s="111"/>
    </row>
    <row r="67" spans="1:14" ht="15.75" x14ac:dyDescent="0.25">
      <c r="G67" s="84" t="s">
        <v>149</v>
      </c>
      <c r="H67" s="85" t="s">
        <v>150</v>
      </c>
      <c r="I67" s="95" t="s">
        <v>159</v>
      </c>
      <c r="J67" s="96" t="s">
        <v>160</v>
      </c>
      <c r="K67" s="105" t="s">
        <v>161</v>
      </c>
      <c r="L67" s="106" t="s">
        <v>162</v>
      </c>
      <c r="M67" s="126" t="s">
        <v>89</v>
      </c>
      <c r="N67" s="68" t="s">
        <v>126</v>
      </c>
    </row>
    <row r="68" spans="1:14" ht="15.75" x14ac:dyDescent="0.25">
      <c r="G68" s="222"/>
      <c r="H68" s="223"/>
      <c r="I68" s="224"/>
      <c r="J68" s="225"/>
      <c r="K68" s="226"/>
      <c r="L68" s="227"/>
      <c r="M68" s="228"/>
      <c r="N68" s="229"/>
    </row>
    <row r="69" spans="1:14" x14ac:dyDescent="0.25">
      <c r="A69" s="79" t="s">
        <v>241</v>
      </c>
      <c r="B69" s="140" t="s">
        <v>240</v>
      </c>
      <c r="C69" s="140" t="s">
        <v>57</v>
      </c>
      <c r="D69" s="140"/>
      <c r="E69" s="208"/>
      <c r="F69" s="206"/>
      <c r="G69" s="152">
        <f>IFERROR(VLOOKUP($A$3:$A$126,'JULY-2026'!$A$4:$ACS$118,MATCH('FY-(26-27)Q2'!$G$2:$H$2,'JULY-2026'!$A$2:$CT$2,0),0),0)</f>
        <v>614980</v>
      </c>
      <c r="H69" s="154">
        <f>IFERROR(VLOOKUP($A$3:$A$126,'JULY-2026'!$A$4:$ACS$118,MATCH('FY-(26-27)Q2'!$G$2:$H$2,'JULY-2026'!$A$2:$CT$2,0),0),0)</f>
        <v>2.0499333333333336</v>
      </c>
      <c r="I69" s="152">
        <f>IFERROR(VLOOKUP($A$3:$A$126,'AUG-2026'!$A$4:$ADL$124,MATCH('FY-(26-27)Q2'!$I$2:$J$2,'AUG-2026'!$A$2:$DM$2,0),0),0)</f>
        <v>71530</v>
      </c>
      <c r="J69" s="154">
        <f>IFERROR(VLOOKUP($A$3:$A$126,'AUG-2026'!$A$4:$ADL$124,MATCH('FY-(26-27)Q2'!$I$2:$J$2,'AUG-2026'!$A$2:$DM$2,0),0),0)</f>
        <v>0.2384333333333333</v>
      </c>
      <c r="K69" s="152">
        <f>IFERROR(VLOOKUP($A$3:$A$126,'SEP-2026'!$A$4:$AEE$125,MATCH('FY-(26-27)Q2'!$K$2:$L$2,'SEP-2026'!$A$2:$EF$2,0),0),0)</f>
        <v>-978681</v>
      </c>
      <c r="L69" s="154">
        <f>IFERROR(VLOOKUP($A$3:$A$126,'SEP-2026'!$A$4:$AEE$125,MATCH('FY-(26-27)Q2'!$K$2:$L$2,'SEP-2026'!$A$2:$EF$2,0),0),0)</f>
        <v>-3.26227</v>
      </c>
      <c r="M69" s="152">
        <f t="shared" ref="M69:N69" si="29">G69+I69+K69</f>
        <v>-292171</v>
      </c>
      <c r="N69" s="166">
        <f t="shared" si="29"/>
        <v>-0.9739033333333329</v>
      </c>
    </row>
    <row r="70" spans="1:14" x14ac:dyDescent="0.25">
      <c r="A70" s="201" t="s">
        <v>273</v>
      </c>
      <c r="B70" s="202" t="s">
        <v>272</v>
      </c>
      <c r="C70" s="202" t="s">
        <v>57</v>
      </c>
      <c r="D70" s="202" t="s">
        <v>87</v>
      </c>
      <c r="E70" s="202" t="s">
        <v>256</v>
      </c>
      <c r="F70" s="237"/>
      <c r="G70" s="152">
        <f>IFERROR(VLOOKUP($A$3:$A$126,'JULY-2026'!$A$4:$ACS$118,MATCH('FY-(26-27)Q2'!$G$2:$H$2,'JULY-2026'!$A$2:$CT$2,0),0),0)</f>
        <v>971446</v>
      </c>
      <c r="H70" s="154">
        <f>IFERROR(VLOOKUP($A$3:$A$126,'JULY-2026'!$A$4:$ACS$118,MATCH('FY-(26-27)Q2'!$G$2:$H$2,'JULY-2026'!$A$2:$CT$2,0),0),0)</f>
        <v>0</v>
      </c>
      <c r="I70" s="152">
        <f>IFERROR(VLOOKUP($A$3:$A$126,'AUG-2026'!$A$4:$ADL$124,MATCH('FY-(26-27)Q2'!$I$2:$J$2,'AUG-2026'!$A$2:$DM$2,0),0),0)</f>
        <v>197439</v>
      </c>
      <c r="J70" s="154">
        <f>IFERROR(VLOOKUP($A$3:$A$126,'AUG-2026'!$A$4:$ADL$124,MATCH('FY-(26-27)Q2'!$I$2:$J$2,'AUG-2026'!$A$2:$DM$2,0),0),0)</f>
        <v>0</v>
      </c>
      <c r="K70" s="152">
        <f>IFERROR(VLOOKUP($A$3:$A$126,'SEP-2026'!$A$4:$AEE$125,MATCH('FY-(26-27)Q2'!$K$2:$L$2,'SEP-2026'!$A$2:$EF$2,0),0),0)</f>
        <v>-149794</v>
      </c>
      <c r="L70" s="154">
        <f>IFERROR(VLOOKUP($A$3:$A$126,'SEP-2026'!$A$4:$AEE$125,MATCH('FY-(26-27)Q2'!$K$2:$L$2,'SEP-2026'!$A$2:$EF$2,0),0),0)</f>
        <v>0</v>
      </c>
      <c r="M70" s="152">
        <f t="shared" ref="M70" si="30">G70+I70+K70</f>
        <v>1019091</v>
      </c>
      <c r="N70" s="166">
        <f t="shared" ref="N70" si="31">H70+J70+L70</f>
        <v>0</v>
      </c>
    </row>
    <row r="71" spans="1:14" ht="15.75" thickBot="1" x14ac:dyDescent="0.3">
      <c r="G71" s="93">
        <f>SUM(G69:G70)</f>
        <v>1586426</v>
      </c>
      <c r="H71" s="94"/>
      <c r="I71" s="93">
        <f>SUM(I69:I70)</f>
        <v>268969</v>
      </c>
      <c r="J71" s="104"/>
      <c r="K71" s="93">
        <f>SUM(K69:K70)</f>
        <v>-1128475</v>
      </c>
      <c r="L71" s="113"/>
      <c r="M71" s="93">
        <f>SUM(M69:M70)</f>
        <v>726920</v>
      </c>
      <c r="N71" s="235"/>
    </row>
  </sheetData>
  <conditionalFormatting sqref="A45:C45 A11:C11 A3:F3 L2:L3 A41:C41 A5 A32:F32 F11 F42:F43 F45 A61:C61 A62:E62 A34:F36 E41:F41 A50:F50 A23 A38:F39 A55:F55 F59:F62 E61 G65:N66 A25:F26 M25:N26 A65:E65 C53:F53 M23:N23 G23:H26 A28:F29 A52:F52 G41:H42 G28:H39 F56:F57 G54:H56 A14:H16 M14:N16 M58:N63 M28:N39 M41:N42 M5:N9 G8:J9 G11:I13 M11:N12 I44:J56 M44:N52 G44:H52 G4:L4 C5:J5 M54:N56 A18:F19 G18:H20 M18:N20 I14:I42 J11:J42 I58:J64 G58:H63 K5:L64 G69:H70 M69:N70 G71:N71">
    <cfRule type="expression" dxfId="386" priority="229">
      <formula>MOD(ROW(),2)=0</formula>
    </cfRule>
  </conditionalFormatting>
  <conditionalFormatting sqref="G2:I3">
    <cfRule type="expression" dxfId="385" priority="228">
      <formula>MOD(ROW(),2)=0</formula>
    </cfRule>
  </conditionalFormatting>
  <conditionalFormatting sqref="J2:J3">
    <cfRule type="expression" dxfId="384" priority="227">
      <formula>MOD(ROW(),2)=0</formula>
    </cfRule>
  </conditionalFormatting>
  <conditionalFormatting sqref="K2:K3">
    <cfRule type="expression" dxfId="383" priority="226">
      <formula>MOD(ROW(),2)=0</formula>
    </cfRule>
  </conditionalFormatting>
  <conditionalFormatting sqref="A42:C42 E42 A43">
    <cfRule type="expression" dxfId="382" priority="222">
      <formula>MOD(ROW(),2)=0</formula>
    </cfRule>
  </conditionalFormatting>
  <conditionalFormatting sqref="E45">
    <cfRule type="expression" dxfId="381" priority="220">
      <formula>MOD(ROW(),2)=0</formula>
    </cfRule>
  </conditionalFormatting>
  <conditionalFormatting sqref="A20:F20">
    <cfRule type="expression" dxfId="380" priority="218">
      <formula>MOD(ROW(),2)=0</formula>
    </cfRule>
  </conditionalFormatting>
  <conditionalFormatting sqref="A47:C47 E47:F47">
    <cfRule type="expression" dxfId="379" priority="212">
      <formula>MOD(ROW(),2)=0</formula>
    </cfRule>
  </conditionalFormatting>
  <conditionalFormatting sqref="M25:N25">
    <cfRule type="expression" dxfId="378" priority="202">
      <formula>MOD(ROW(),2)=0</formula>
    </cfRule>
  </conditionalFormatting>
  <conditionalFormatting sqref="A12:C12 E12:F12">
    <cfRule type="expression" dxfId="377" priority="207">
      <formula>MOD(ROW(),2)=0</formula>
    </cfRule>
  </conditionalFormatting>
  <conditionalFormatting sqref="N25">
    <cfRule type="expression" dxfId="376" priority="203">
      <formula>MOD(ROW(),2)=0</formula>
    </cfRule>
  </conditionalFormatting>
  <conditionalFormatting sqref="M12:N12">
    <cfRule type="expression" dxfId="375" priority="188">
      <formula>MOD(ROW(),2)=0</formula>
    </cfRule>
  </conditionalFormatting>
  <conditionalFormatting sqref="B23:C23 E23:F23">
    <cfRule type="expression" dxfId="374" priority="183">
      <formula>MOD(ROW(),2)=0</formula>
    </cfRule>
  </conditionalFormatting>
  <conditionalFormatting sqref="N12">
    <cfRule type="expression" dxfId="373" priority="189">
      <formula>MOD(ROW(),2)=0</formula>
    </cfRule>
  </conditionalFormatting>
  <conditionalFormatting sqref="A8:C8 E8:F8 A9:F9 A10:B10 D10:F10">
    <cfRule type="expression" dxfId="372" priority="174">
      <formula>MOD(ROW(),2)=0</formula>
    </cfRule>
  </conditionalFormatting>
  <conditionalFormatting sqref="N8:N9">
    <cfRule type="expression" dxfId="371" priority="172">
      <formula>MOD(ROW(),2)=0</formula>
    </cfRule>
  </conditionalFormatting>
  <conditionalFormatting sqref="M8:N9">
    <cfRule type="expression" dxfId="370" priority="171">
      <formula>MOD(ROW(),2)=0</formula>
    </cfRule>
  </conditionalFormatting>
  <conditionalFormatting sqref="A37:C37 E37:F37">
    <cfRule type="expression" dxfId="369" priority="166">
      <formula>MOD(ROW(),2)=0</formula>
    </cfRule>
  </conditionalFormatting>
  <conditionalFormatting sqref="M37:N37">
    <cfRule type="expression" dxfId="368" priority="162">
      <formula>MOD(ROW(),2)=0</formula>
    </cfRule>
  </conditionalFormatting>
  <conditionalFormatting sqref="N37">
    <cfRule type="expression" dxfId="367" priority="163">
      <formula>MOD(ROW(),2)=0</formula>
    </cfRule>
  </conditionalFormatting>
  <conditionalFormatting sqref="A49:C49 E49:F49">
    <cfRule type="expression" dxfId="366" priority="157">
      <formula>MOD(ROW(),2)=0</formula>
    </cfRule>
  </conditionalFormatting>
  <conditionalFormatting sqref="N23">
    <cfRule type="expression" dxfId="365" priority="143">
      <formula>MOD(ROW(),2)=0</formula>
    </cfRule>
  </conditionalFormatting>
  <conditionalFormatting sqref="M23:N23">
    <cfRule type="expression" dxfId="364" priority="142">
      <formula>MOD(ROW(),2)=0</formula>
    </cfRule>
  </conditionalFormatting>
  <conditionalFormatting sqref="A58:C58 E58:F58">
    <cfRule type="expression" dxfId="363" priority="132">
      <formula>MOD(ROW(),2)=0</formula>
    </cfRule>
  </conditionalFormatting>
  <conditionalFormatting sqref="L67:L68">
    <cfRule type="expression" dxfId="362" priority="126">
      <formula>MOD(ROW(),2)=0</formula>
    </cfRule>
  </conditionalFormatting>
  <conditionalFormatting sqref="G67:I68">
    <cfRule type="expression" dxfId="361" priority="125">
      <formula>MOD(ROW(),2)=0</formula>
    </cfRule>
  </conditionalFormatting>
  <conditionalFormatting sqref="J67:J68">
    <cfRule type="expression" dxfId="360" priority="124">
      <formula>MOD(ROW(),2)=0</formula>
    </cfRule>
  </conditionalFormatting>
  <conditionalFormatting sqref="K67:K68">
    <cfRule type="expression" dxfId="359" priority="123">
      <formula>MOD(ROW(),2)=0</formula>
    </cfRule>
  </conditionalFormatting>
  <conditionalFormatting sqref="A30:F30">
    <cfRule type="expression" dxfId="358" priority="122">
      <formula>MOD(ROW(),2)=0</formula>
    </cfRule>
  </conditionalFormatting>
  <conditionalFormatting sqref="A31:F31">
    <cfRule type="expression" dxfId="357" priority="121">
      <formula>MOD(ROW(),2)=0</formula>
    </cfRule>
  </conditionalFormatting>
  <conditionalFormatting sqref="A33:F33">
    <cfRule type="expression" dxfId="356" priority="120">
      <formula>MOD(ROW(),2)=0</formula>
    </cfRule>
  </conditionalFormatting>
  <conditionalFormatting sqref="D11:E11">
    <cfRule type="expression" dxfId="355" priority="109">
      <formula>MOD(ROW(),2)=0</formula>
    </cfRule>
  </conditionalFormatting>
  <conditionalFormatting sqref="A59:C60 E59:E60">
    <cfRule type="expression" dxfId="354" priority="105">
      <formula>MOD(ROW(),2)=0</formula>
    </cfRule>
  </conditionalFormatting>
  <conditionalFormatting sqref="M59:N60">
    <cfRule type="expression" dxfId="353" priority="104">
      <formula>MOD(ROW(),2)=0</formula>
    </cfRule>
  </conditionalFormatting>
  <conditionalFormatting sqref="A46:C46 E46:F46">
    <cfRule type="expression" dxfId="352" priority="101">
      <formula>MOD(ROW(),2)=0</formula>
    </cfRule>
  </conditionalFormatting>
  <conditionalFormatting sqref="A54:B54">
    <cfRule type="expression" dxfId="351" priority="97">
      <formula>MOD(ROW(),2)=0</formula>
    </cfRule>
  </conditionalFormatting>
  <conditionalFormatting sqref="A4:C4 E4:F4">
    <cfRule type="expression" dxfId="350" priority="92">
      <formula>MOD(ROW(),2)=0</formula>
    </cfRule>
  </conditionalFormatting>
  <conditionalFormatting sqref="M4:N4">
    <cfRule type="expression" dxfId="349" priority="91">
      <formula>MOD(ROW(),2)=0</formula>
    </cfRule>
  </conditionalFormatting>
  <conditionalFormatting sqref="M4:N4">
    <cfRule type="expression" dxfId="348" priority="88">
      <formula>MOD(ROW(),2)=0</formula>
    </cfRule>
  </conditionalFormatting>
  <conditionalFormatting sqref="N4">
    <cfRule type="expression" dxfId="347" priority="89">
      <formula>MOD(ROW(),2)=0</formula>
    </cfRule>
  </conditionalFormatting>
  <conditionalFormatting sqref="A44:C44 E44:F44">
    <cfRule type="expression" dxfId="346" priority="83">
      <formula>MOD(ROW(),2)=0</formula>
    </cfRule>
  </conditionalFormatting>
  <conditionalFormatting sqref="A69:F69 F70">
    <cfRule type="expression" dxfId="345" priority="82">
      <formula>MOD(ROW(),2)=0</formula>
    </cfRule>
  </conditionalFormatting>
  <conditionalFormatting sqref="A13:F13">
    <cfRule type="expression" dxfId="344" priority="74">
      <formula>MOD(ROW(),2)=0</formula>
    </cfRule>
  </conditionalFormatting>
  <conditionalFormatting sqref="M13:N13">
    <cfRule type="expression" dxfId="343" priority="73">
      <formula>MOD(ROW(),2)=0</formula>
    </cfRule>
  </conditionalFormatting>
  <conditionalFormatting sqref="M13:N13">
    <cfRule type="expression" dxfId="342" priority="70">
      <formula>MOD(ROW(),2)=0</formula>
    </cfRule>
  </conditionalFormatting>
  <conditionalFormatting sqref="N13">
    <cfRule type="expression" dxfId="341" priority="71">
      <formula>MOD(ROW(),2)=0</formula>
    </cfRule>
  </conditionalFormatting>
  <conditionalFormatting sqref="F54">
    <cfRule type="expression" dxfId="340" priority="63">
      <formula>MOD(ROW(),2)=0</formula>
    </cfRule>
  </conditionalFormatting>
  <conditionalFormatting sqref="D54:E54">
    <cfRule type="expression" dxfId="339" priority="62">
      <formula>MOD(ROW(),2)=0</formula>
    </cfRule>
  </conditionalFormatting>
  <conditionalFormatting sqref="D8">
    <cfRule type="expression" dxfId="338" priority="61">
      <formula>MOD(ROW(),2)=0</formula>
    </cfRule>
  </conditionalFormatting>
  <conditionalFormatting sqref="D4">
    <cfRule type="expression" dxfId="337" priority="60">
      <formula>MOD(ROW(),2)=0</formula>
    </cfRule>
  </conditionalFormatting>
  <conditionalFormatting sqref="D12">
    <cfRule type="expression" dxfId="336" priority="59">
      <formula>MOD(ROW(),2)=0</formula>
    </cfRule>
  </conditionalFormatting>
  <conditionalFormatting sqref="D23">
    <cfRule type="expression" dxfId="335" priority="58">
      <formula>MOD(ROW(),2)=0</formula>
    </cfRule>
  </conditionalFormatting>
  <conditionalFormatting sqref="D59:D60">
    <cfRule type="expression" dxfId="334" priority="47">
      <formula>MOD(ROW(),2)=0</formula>
    </cfRule>
  </conditionalFormatting>
  <conditionalFormatting sqref="D37">
    <cfRule type="expression" dxfId="333" priority="57">
      <formula>MOD(ROW(),2)=0</formula>
    </cfRule>
  </conditionalFormatting>
  <conditionalFormatting sqref="D42 D44">
    <cfRule type="expression" dxfId="332" priority="56">
      <formula>MOD(ROW(),2)=0</formula>
    </cfRule>
  </conditionalFormatting>
  <conditionalFormatting sqref="D41">
    <cfRule type="expression" dxfId="331" priority="55">
      <formula>MOD(ROW(),2)=0</formula>
    </cfRule>
  </conditionalFormatting>
  <conditionalFormatting sqref="D45">
    <cfRule type="expression" dxfId="330" priority="54">
      <formula>MOD(ROW(),2)=0</formula>
    </cfRule>
  </conditionalFormatting>
  <conditionalFormatting sqref="D46">
    <cfRule type="expression" dxfId="329" priority="53">
      <formula>MOD(ROW(),2)=0</formula>
    </cfRule>
  </conditionalFormatting>
  <conditionalFormatting sqref="D47">
    <cfRule type="expression" dxfId="328" priority="52">
      <formula>MOD(ROW(),2)=0</formula>
    </cfRule>
  </conditionalFormatting>
  <conditionalFormatting sqref="D49">
    <cfRule type="expression" dxfId="327" priority="51">
      <formula>MOD(ROW(),2)=0</formula>
    </cfRule>
  </conditionalFormatting>
  <conditionalFormatting sqref="D61">
    <cfRule type="expression" dxfId="326" priority="50">
      <formula>MOD(ROW(),2)=0</formula>
    </cfRule>
  </conditionalFormatting>
  <conditionalFormatting sqref="D58">
    <cfRule type="expression" dxfId="325" priority="48">
      <formula>MOD(ROW(),2)=0</formula>
    </cfRule>
  </conditionalFormatting>
  <conditionalFormatting sqref="A24:F24">
    <cfRule type="expression" dxfId="324" priority="46">
      <formula>MOD(ROW(),2)=0</formula>
    </cfRule>
  </conditionalFormatting>
  <conditionalFormatting sqref="M24:N24">
    <cfRule type="expression" dxfId="323" priority="45">
      <formula>MOD(ROW(),2)=0</formula>
    </cfRule>
  </conditionalFormatting>
  <conditionalFormatting sqref="N24">
    <cfRule type="expression" dxfId="322" priority="42">
      <formula>MOD(ROW(),2)=0</formula>
    </cfRule>
  </conditionalFormatting>
  <conditionalFormatting sqref="M24:N24">
    <cfRule type="expression" dxfId="321" priority="41">
      <formula>MOD(ROW(),2)=0</formula>
    </cfRule>
  </conditionalFormatting>
  <conditionalFormatting sqref="A64:F64">
    <cfRule type="expression" dxfId="320" priority="34">
      <formula>MOD(ROW(),2)=0</formula>
    </cfRule>
  </conditionalFormatting>
  <conditionalFormatting sqref="G64:H64 M64:N64">
    <cfRule type="expression" dxfId="319" priority="33">
      <formula>MOD(ROW(),2)=0</formula>
    </cfRule>
  </conditionalFormatting>
  <conditionalFormatting sqref="A53:B53">
    <cfRule type="expression" dxfId="318" priority="32">
      <formula>MOD(ROW(),2)=0</formula>
    </cfRule>
  </conditionalFormatting>
  <conditionalFormatting sqref="G53:H53 M53:N53">
    <cfRule type="expression" dxfId="317" priority="31">
      <formula>MOD(ROW(),2)=0</formula>
    </cfRule>
  </conditionalFormatting>
  <conditionalFormatting sqref="A40:F40">
    <cfRule type="expression" dxfId="316" priority="30">
      <formula>MOD(ROW(),2)=0</formula>
    </cfRule>
  </conditionalFormatting>
  <conditionalFormatting sqref="G40:H40 M40:N40">
    <cfRule type="expression" dxfId="315" priority="29">
      <formula>MOD(ROW(),2)=0</formula>
    </cfRule>
  </conditionalFormatting>
  <conditionalFormatting sqref="A48:F48">
    <cfRule type="expression" dxfId="314" priority="28">
      <formula>MOD(ROW(),2)=0</formula>
    </cfRule>
  </conditionalFormatting>
  <conditionalFormatting sqref="A17:F17">
    <cfRule type="expression" dxfId="313" priority="27">
      <formula>MOD(ROW(),2)=0</formula>
    </cfRule>
  </conditionalFormatting>
  <conditionalFormatting sqref="G17:H17 M17:N17">
    <cfRule type="expression" dxfId="312" priority="26">
      <formula>MOD(ROW(),2)=0</formula>
    </cfRule>
  </conditionalFormatting>
  <conditionalFormatting sqref="B22:F22 C21:F21">
    <cfRule type="expression" dxfId="311" priority="25">
      <formula>MOD(ROW(),2)=0</formula>
    </cfRule>
  </conditionalFormatting>
  <conditionalFormatting sqref="G21:H22 M21:N22">
    <cfRule type="expression" dxfId="310" priority="24">
      <formula>MOD(ROW(),2)=0</formula>
    </cfRule>
  </conditionalFormatting>
  <conditionalFormatting sqref="G27:H27 M27:N27">
    <cfRule type="expression" dxfId="309" priority="20">
      <formula>MOD(ROW(),2)=0</formula>
    </cfRule>
  </conditionalFormatting>
  <conditionalFormatting sqref="A27:F27">
    <cfRule type="expression" dxfId="308" priority="23">
      <formula>MOD(ROW(),2)=0</formula>
    </cfRule>
  </conditionalFormatting>
  <conditionalFormatting sqref="A51:F51">
    <cfRule type="expression" dxfId="307" priority="22">
      <formula>MOD(ROW(),2)=0</formula>
    </cfRule>
  </conditionalFormatting>
  <conditionalFormatting sqref="A63:F63">
    <cfRule type="expression" dxfId="306" priority="21">
      <formula>MOD(ROW(),2)=0</formula>
    </cfRule>
  </conditionalFormatting>
  <conditionalFormatting sqref="A70:E70">
    <cfRule type="expression" dxfId="305" priority="19">
      <formula>MOD(ROW(),2)=0</formula>
    </cfRule>
  </conditionalFormatting>
  <conditionalFormatting sqref="A56:E56 A57">
    <cfRule type="expression" dxfId="304" priority="17">
      <formula>MOD(ROW(),2)=0</formula>
    </cfRule>
  </conditionalFormatting>
  <conditionalFormatting sqref="A6:F7">
    <cfRule type="expression" dxfId="303" priority="16">
      <formula>MOD(ROW(),2)=0</formula>
    </cfRule>
  </conditionalFormatting>
  <conditionalFormatting sqref="G6:J7">
    <cfRule type="expression" dxfId="302" priority="15">
      <formula>MOD(ROW(),2)=0</formula>
    </cfRule>
  </conditionalFormatting>
  <conditionalFormatting sqref="B57:E57">
    <cfRule type="expression" dxfId="301" priority="14">
      <formula>MOD(ROW(),2)=0</formula>
    </cfRule>
  </conditionalFormatting>
  <conditionalFormatting sqref="B5">
    <cfRule type="expression" dxfId="300" priority="13">
      <formula>MOD(ROW(),2)=0</formula>
    </cfRule>
  </conditionalFormatting>
  <conditionalFormatting sqref="C10">
    <cfRule type="expression" dxfId="299" priority="12">
      <formula>MOD(ROW(),2)=0</formula>
    </cfRule>
  </conditionalFormatting>
  <conditionalFormatting sqref="G10:J10 M10:N10">
    <cfRule type="expression" dxfId="298" priority="11">
      <formula>MOD(ROW(),2)=0</formula>
    </cfRule>
  </conditionalFormatting>
  <conditionalFormatting sqref="N10">
    <cfRule type="expression" dxfId="297" priority="10">
      <formula>MOD(ROW(),2)=0</formula>
    </cfRule>
  </conditionalFormatting>
  <conditionalFormatting sqref="M10:N10">
    <cfRule type="expression" dxfId="296" priority="9">
      <formula>MOD(ROW(),2)=0</formula>
    </cfRule>
  </conditionalFormatting>
  <conditionalFormatting sqref="B43">
    <cfRule type="expression" dxfId="295" priority="8">
      <formula>MOD(ROW(),2)=0</formula>
    </cfRule>
  </conditionalFormatting>
  <conditionalFormatting sqref="C43">
    <cfRule type="expression" dxfId="294" priority="7">
      <formula>MOD(ROW(),2)=0</formula>
    </cfRule>
  </conditionalFormatting>
  <conditionalFormatting sqref="D43:E43">
    <cfRule type="expression" dxfId="293" priority="6">
      <formula>MOD(ROW(),2)=0</formula>
    </cfRule>
  </conditionalFormatting>
  <conditionalFormatting sqref="G43:J43 M43:N43">
    <cfRule type="expression" dxfId="292" priority="5">
      <formula>MOD(ROW(),2)=0</formula>
    </cfRule>
  </conditionalFormatting>
  <conditionalFormatting sqref="B21">
    <cfRule type="expression" dxfId="291" priority="4">
      <formula>MOD(ROW(),2)=0</formula>
    </cfRule>
  </conditionalFormatting>
  <conditionalFormatting sqref="A21:A22">
    <cfRule type="expression" dxfId="290" priority="3">
      <formula>MOD(ROW(),2)=0</formula>
    </cfRule>
  </conditionalFormatting>
  <conditionalFormatting sqref="G57:J57 M57:N57">
    <cfRule type="expression" dxfId="289" priority="2">
      <formula>MOD(ROW(),2)=0</formula>
    </cfRule>
  </conditionalFormatting>
  <conditionalFormatting sqref="I69:L70">
    <cfRule type="expression" dxfId="288" priority="1">
      <formula>MOD(ROW(),2)=0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5"/>
  <sheetViews>
    <sheetView topLeftCell="A25" workbookViewId="0">
      <selection activeCell="C41" sqref="C41"/>
    </sheetView>
  </sheetViews>
  <sheetFormatPr defaultRowHeight="15" outlineLevelCol="2" x14ac:dyDescent="0.25"/>
  <cols>
    <col min="1" max="1" width="10.140625" style="132" customWidth="1" outlineLevel="1"/>
    <col min="2" max="2" width="18.7109375" style="132" customWidth="1" outlineLevel="1"/>
    <col min="3" max="3" width="10.42578125" style="132" customWidth="1"/>
    <col min="4" max="4" width="17.42578125" style="132" customWidth="1"/>
    <col min="5" max="5" width="10.28515625" style="132" customWidth="1"/>
    <col min="6" max="6" width="6.5703125" style="132" customWidth="1"/>
    <col min="7" max="7" width="1.7109375" style="132" customWidth="1"/>
    <col min="8" max="19" width="11.28515625" style="132" hidden="1" customWidth="1" outlineLevel="2"/>
    <col min="20" max="20" width="11.28515625" style="132" hidden="1" customWidth="1" outlineLevel="1" collapsed="1"/>
    <col min="21" max="27" width="11.28515625" style="132" hidden="1" customWidth="1" outlineLevel="1"/>
    <col min="28" max="28" width="11.5703125" style="132" customWidth="1" collapsed="1"/>
    <col min="29" max="29" width="6.5703125" style="132" customWidth="1"/>
    <col min="30" max="30" width="10.42578125" style="132" customWidth="1" outlineLevel="1"/>
    <col min="31" max="31" width="10.7109375" style="132" customWidth="1" outlineLevel="1"/>
    <col min="32" max="37" width="9.140625" style="132"/>
    <col min="38" max="38" width="14.140625" style="132" customWidth="1"/>
    <col min="39" max="39" width="12" style="132" customWidth="1"/>
    <col min="40" max="16384" width="9.140625" style="132"/>
  </cols>
  <sheetData>
    <row r="1" spans="1:39" ht="15.75" thickBot="1" x14ac:dyDescent="0.3"/>
    <row r="2" spans="1:39" ht="15.75" thickBot="1" x14ac:dyDescent="0.3">
      <c r="G2" s="180"/>
      <c r="H2" s="181">
        <v>46174</v>
      </c>
      <c r="I2" s="181">
        <v>46175</v>
      </c>
      <c r="J2" s="181">
        <v>46176</v>
      </c>
      <c r="K2" s="181">
        <v>46177</v>
      </c>
      <c r="L2" s="181">
        <v>46178</v>
      </c>
      <c r="M2" s="181">
        <v>46181</v>
      </c>
      <c r="N2" s="181">
        <v>46182</v>
      </c>
      <c r="O2" s="181">
        <v>46183</v>
      </c>
      <c r="P2" s="181">
        <v>46184</v>
      </c>
      <c r="Q2" s="181">
        <v>46185</v>
      </c>
      <c r="R2" s="181">
        <v>46188</v>
      </c>
      <c r="S2" s="181">
        <v>46189</v>
      </c>
      <c r="T2" s="181">
        <v>46190</v>
      </c>
      <c r="U2" s="181">
        <v>46191</v>
      </c>
      <c r="V2" s="181">
        <v>46192</v>
      </c>
      <c r="W2" s="181">
        <v>46195</v>
      </c>
      <c r="X2" s="181">
        <v>46196</v>
      </c>
      <c r="Y2" s="181">
        <v>46197</v>
      </c>
      <c r="Z2" s="181">
        <v>46198</v>
      </c>
      <c r="AA2" s="181">
        <v>46202</v>
      </c>
      <c r="AB2" s="181">
        <v>46203</v>
      </c>
      <c r="AC2" s="209"/>
      <c r="AD2" s="183" t="s">
        <v>243</v>
      </c>
      <c r="AE2" s="184" t="s">
        <v>244</v>
      </c>
    </row>
    <row r="3" spans="1:39" x14ac:dyDescent="0.25">
      <c r="A3" s="185" t="s">
        <v>54</v>
      </c>
      <c r="B3" s="185" t="s">
        <v>69</v>
      </c>
      <c r="C3" s="185" t="s">
        <v>70</v>
      </c>
      <c r="D3" s="185" t="s">
        <v>2</v>
      </c>
      <c r="E3" s="185" t="s">
        <v>257</v>
      </c>
      <c r="F3" s="186" t="s">
        <v>9</v>
      </c>
      <c r="G3" s="187"/>
      <c r="H3" s="178" t="s">
        <v>234</v>
      </c>
      <c r="I3" s="178" t="s">
        <v>233</v>
      </c>
      <c r="J3" s="178" t="s">
        <v>237</v>
      </c>
      <c r="K3" s="178" t="s">
        <v>236</v>
      </c>
      <c r="L3" s="178" t="s">
        <v>235</v>
      </c>
      <c r="M3" s="178" t="s">
        <v>234</v>
      </c>
      <c r="N3" s="178" t="s">
        <v>233</v>
      </c>
      <c r="O3" s="178" t="s">
        <v>237</v>
      </c>
      <c r="P3" s="178" t="s">
        <v>236</v>
      </c>
      <c r="Q3" s="178" t="s">
        <v>235</v>
      </c>
      <c r="R3" s="178" t="s">
        <v>234</v>
      </c>
      <c r="S3" s="178" t="s">
        <v>233</v>
      </c>
      <c r="T3" s="178" t="s">
        <v>237</v>
      </c>
      <c r="U3" s="178" t="s">
        <v>236</v>
      </c>
      <c r="V3" s="178" t="s">
        <v>235</v>
      </c>
      <c r="W3" s="178" t="s">
        <v>234</v>
      </c>
      <c r="X3" s="178" t="s">
        <v>233</v>
      </c>
      <c r="Y3" s="178" t="s">
        <v>237</v>
      </c>
      <c r="Z3" s="178" t="s">
        <v>236</v>
      </c>
      <c r="AA3" s="178" t="s">
        <v>234</v>
      </c>
      <c r="AB3" s="178" t="s">
        <v>233</v>
      </c>
      <c r="AC3" s="7"/>
      <c r="AD3" s="188"/>
      <c r="AE3" s="179"/>
      <c r="AL3" s="132" t="s">
        <v>198</v>
      </c>
      <c r="AM3" s="132">
        <v>13780</v>
      </c>
    </row>
    <row r="4" spans="1:39" x14ac:dyDescent="0.25">
      <c r="A4" s="141" t="s">
        <v>25</v>
      </c>
      <c r="B4" s="44" t="s">
        <v>72</v>
      </c>
      <c r="C4" s="141" t="s">
        <v>158</v>
      </c>
      <c r="D4" s="141" t="s">
        <v>88</v>
      </c>
      <c r="E4" s="141" t="s">
        <v>256</v>
      </c>
      <c r="F4" s="155">
        <v>3</v>
      </c>
      <c r="G4" s="189"/>
      <c r="H4" s="157">
        <v>0</v>
      </c>
      <c r="I4" s="157">
        <v>-83000</v>
      </c>
      <c r="J4" s="157">
        <v>0</v>
      </c>
      <c r="K4" s="157">
        <v>1000</v>
      </c>
      <c r="L4" s="157">
        <v>0</v>
      </c>
      <c r="M4" s="157">
        <v>0</v>
      </c>
      <c r="N4" s="157">
        <v>85000</v>
      </c>
      <c r="O4" s="157">
        <v>0</v>
      </c>
      <c r="P4" s="157">
        <v>47000</v>
      </c>
      <c r="Q4" s="157">
        <v>0</v>
      </c>
      <c r="R4" s="157">
        <v>0</v>
      </c>
      <c r="S4" s="157">
        <v>0</v>
      </c>
      <c r="T4" s="157">
        <v>0</v>
      </c>
      <c r="U4" s="157">
        <v>0</v>
      </c>
      <c r="V4" s="157">
        <v>0</v>
      </c>
      <c r="W4" s="157">
        <v>0</v>
      </c>
      <c r="X4" s="157">
        <v>0</v>
      </c>
      <c r="Y4" s="157">
        <v>0</v>
      </c>
      <c r="Z4" s="157">
        <v>0</v>
      </c>
      <c r="AA4" s="157">
        <v>0</v>
      </c>
      <c r="AB4" s="146">
        <v>0</v>
      </c>
      <c r="AC4" s="173"/>
      <c r="AD4" s="170">
        <f t="shared" ref="AD4:AD35" si="0">SUM(H4:AB4)</f>
        <v>50000</v>
      </c>
      <c r="AE4" s="148">
        <f t="shared" ref="AE4:AE35" si="1">IFERROR(AD4/F4*100,0)/10000000</f>
        <v>0.16666666666666669</v>
      </c>
      <c r="AL4" s="132" t="s">
        <v>170</v>
      </c>
      <c r="AM4" s="132">
        <v>2865</v>
      </c>
    </row>
    <row r="5" spans="1:39" ht="20.25" customHeight="1" x14ac:dyDescent="0.25">
      <c r="A5" s="141" t="s">
        <v>216</v>
      </c>
      <c r="B5" s="44" t="s">
        <v>215</v>
      </c>
      <c r="C5" s="141" t="s">
        <v>11</v>
      </c>
      <c r="D5" s="141" t="s">
        <v>260</v>
      </c>
      <c r="E5" s="141" t="s">
        <v>256</v>
      </c>
      <c r="F5" s="155">
        <v>0.5</v>
      </c>
      <c r="G5" s="189"/>
      <c r="H5" s="157">
        <v>8939</v>
      </c>
      <c r="I5" s="157">
        <v>-4051</v>
      </c>
      <c r="J5" s="157">
        <v>-13303</v>
      </c>
      <c r="K5" s="157">
        <v>9600</v>
      </c>
      <c r="L5" s="157">
        <v>1000</v>
      </c>
      <c r="M5" s="157">
        <v>1720</v>
      </c>
      <c r="N5" s="157">
        <v>3626</v>
      </c>
      <c r="O5" s="157">
        <v>-11950</v>
      </c>
      <c r="P5" s="157">
        <v>-22163</v>
      </c>
      <c r="Q5" s="157">
        <v>-17418</v>
      </c>
      <c r="R5" s="157">
        <v>-200</v>
      </c>
      <c r="S5" s="157">
        <v>-32289</v>
      </c>
      <c r="T5" s="157">
        <v>0</v>
      </c>
      <c r="U5" s="157">
        <v>0</v>
      </c>
      <c r="V5" s="157">
        <v>7419</v>
      </c>
      <c r="W5" s="157">
        <v>-14375</v>
      </c>
      <c r="X5" s="157">
        <v>9443</v>
      </c>
      <c r="Y5" s="157">
        <v>-2153</v>
      </c>
      <c r="Z5" s="157">
        <v>50444</v>
      </c>
      <c r="AA5" s="157">
        <v>5694</v>
      </c>
      <c r="AB5" s="146">
        <v>16502</v>
      </c>
      <c r="AC5" s="173"/>
      <c r="AD5" s="170">
        <f t="shared" si="0"/>
        <v>-3515</v>
      </c>
      <c r="AE5" s="148">
        <f t="shared" si="1"/>
        <v>-7.0300000000000001E-2</v>
      </c>
    </row>
    <row r="6" spans="1:39" x14ac:dyDescent="0.25">
      <c r="A6" s="141" t="s">
        <v>30</v>
      </c>
      <c r="B6" s="140" t="s">
        <v>176</v>
      </c>
      <c r="C6" s="140" t="s">
        <v>6</v>
      </c>
      <c r="D6" s="159" t="s">
        <v>138</v>
      </c>
      <c r="E6" s="159" t="s">
        <v>256</v>
      </c>
      <c r="F6" s="155">
        <v>3</v>
      </c>
      <c r="G6" s="190"/>
      <c r="H6" s="146">
        <v>25194</v>
      </c>
      <c r="I6" s="146">
        <v>-30619</v>
      </c>
      <c r="J6" s="146">
        <v>-28000</v>
      </c>
      <c r="K6" s="146">
        <v>25135</v>
      </c>
      <c r="L6" s="146">
        <v>0</v>
      </c>
      <c r="M6" s="146">
        <v>145797</v>
      </c>
      <c r="N6" s="146">
        <v>82881</v>
      </c>
      <c r="O6" s="146">
        <v>101420</v>
      </c>
      <c r="P6" s="146">
        <v>0</v>
      </c>
      <c r="Q6" s="146">
        <v>0</v>
      </c>
      <c r="R6" s="146">
        <v>111750</v>
      </c>
      <c r="S6" s="146">
        <v>50835</v>
      </c>
      <c r="T6" s="146">
        <v>102334</v>
      </c>
      <c r="U6" s="146">
        <v>92071</v>
      </c>
      <c r="V6" s="146">
        <v>197494</v>
      </c>
      <c r="W6" s="146">
        <v>163765</v>
      </c>
      <c r="X6" s="146">
        <v>-89294</v>
      </c>
      <c r="Y6" s="146">
        <v>-195235</v>
      </c>
      <c r="Z6" s="146">
        <v>-57000</v>
      </c>
      <c r="AA6" s="146">
        <v>73800</v>
      </c>
      <c r="AB6" s="146">
        <v>0</v>
      </c>
      <c r="AC6" s="173"/>
      <c r="AD6" s="170">
        <f t="shared" si="0"/>
        <v>772328</v>
      </c>
      <c r="AE6" s="148">
        <f t="shared" si="1"/>
        <v>2.5744266666666662</v>
      </c>
      <c r="AG6" s="5"/>
      <c r="AH6" s="133">
        <v>-3159</v>
      </c>
    </row>
    <row r="7" spans="1:39" x14ac:dyDescent="0.25">
      <c r="A7" s="141" t="s">
        <v>134</v>
      </c>
      <c r="B7" s="140" t="s">
        <v>133</v>
      </c>
      <c r="C7" s="140" t="s">
        <v>135</v>
      </c>
      <c r="D7" s="159" t="s">
        <v>258</v>
      </c>
      <c r="E7" s="159" t="s">
        <v>256</v>
      </c>
      <c r="F7" s="155">
        <v>3</v>
      </c>
      <c r="G7" s="190"/>
      <c r="H7" s="146">
        <v>94601</v>
      </c>
      <c r="I7" s="146">
        <v>-306910</v>
      </c>
      <c r="J7" s="146">
        <v>13873</v>
      </c>
      <c r="K7" s="146">
        <v>-31085</v>
      </c>
      <c r="L7" s="146">
        <v>-28000</v>
      </c>
      <c r="M7" s="146">
        <v>-49174</v>
      </c>
      <c r="N7" s="146">
        <v>91710</v>
      </c>
      <c r="O7" s="146">
        <v>-17722</v>
      </c>
      <c r="P7" s="146">
        <v>-92592</v>
      </c>
      <c r="Q7" s="146">
        <v>23371</v>
      </c>
      <c r="R7" s="146">
        <v>-71029</v>
      </c>
      <c r="S7" s="146">
        <v>-65368</v>
      </c>
      <c r="T7" s="146">
        <v>0</v>
      </c>
      <c r="U7" s="146">
        <v>351</v>
      </c>
      <c r="V7" s="146">
        <v>-100</v>
      </c>
      <c r="W7" s="146">
        <v>0</v>
      </c>
      <c r="X7" s="146">
        <v>0</v>
      </c>
      <c r="Y7" s="146">
        <v>300</v>
      </c>
      <c r="Z7" s="146">
        <v>0</v>
      </c>
      <c r="AA7" s="146">
        <v>-50</v>
      </c>
      <c r="AB7" s="146">
        <v>0</v>
      </c>
      <c r="AC7" s="173"/>
      <c r="AD7" s="170">
        <f t="shared" si="0"/>
        <v>-437824</v>
      </c>
      <c r="AE7" s="148">
        <f t="shared" si="1"/>
        <v>-1.4594133333333335</v>
      </c>
      <c r="AG7" s="133">
        <v>435389</v>
      </c>
      <c r="AH7" s="133"/>
    </row>
    <row r="8" spans="1:39" x14ac:dyDescent="0.25">
      <c r="A8" s="141" t="s">
        <v>217</v>
      </c>
      <c r="B8" s="140" t="s">
        <v>133</v>
      </c>
      <c r="C8" s="140" t="s">
        <v>96</v>
      </c>
      <c r="D8" s="159" t="s">
        <v>116</v>
      </c>
      <c r="E8" s="159" t="s">
        <v>256</v>
      </c>
      <c r="F8" s="155">
        <v>1.5</v>
      </c>
      <c r="G8" s="190"/>
      <c r="H8" s="146">
        <v>0</v>
      </c>
      <c r="I8" s="146">
        <v>-1734</v>
      </c>
      <c r="J8" s="146">
        <v>0</v>
      </c>
      <c r="K8" s="146">
        <v>0</v>
      </c>
      <c r="L8" s="146">
        <v>0</v>
      </c>
      <c r="M8" s="146">
        <v>0</v>
      </c>
      <c r="N8" s="146">
        <v>0</v>
      </c>
      <c r="O8" s="146">
        <v>100</v>
      </c>
      <c r="P8" s="146">
        <v>-6472</v>
      </c>
      <c r="Q8" s="146">
        <v>-100</v>
      </c>
      <c r="R8" s="146">
        <v>-500</v>
      </c>
      <c r="S8" s="146">
        <v>-50</v>
      </c>
      <c r="T8" s="146">
        <v>-4348</v>
      </c>
      <c r="U8" s="146">
        <v>25992</v>
      </c>
      <c r="V8" s="146">
        <v>7121</v>
      </c>
      <c r="W8" s="146">
        <v>14211</v>
      </c>
      <c r="X8" s="146">
        <v>92172</v>
      </c>
      <c r="Y8" s="146">
        <v>51810</v>
      </c>
      <c r="Z8" s="146">
        <v>-68989</v>
      </c>
      <c r="AA8" s="146">
        <v>-43738</v>
      </c>
      <c r="AB8" s="146">
        <v>-65340</v>
      </c>
      <c r="AC8" s="173"/>
      <c r="AD8" s="170">
        <f t="shared" si="0"/>
        <v>135</v>
      </c>
      <c r="AE8" s="148">
        <f t="shared" si="1"/>
        <v>8.9999999999999998E-4</v>
      </c>
      <c r="AG8" s="133">
        <v>432230</v>
      </c>
      <c r="AH8" s="133">
        <f>(AG8+AG7)/10000000*13780</f>
        <v>1195.578982</v>
      </c>
    </row>
    <row r="9" spans="1:39" x14ac:dyDescent="0.25">
      <c r="A9" s="142" t="s">
        <v>35</v>
      </c>
      <c r="B9" s="140" t="s">
        <v>55</v>
      </c>
      <c r="C9" s="140" t="s">
        <v>79</v>
      </c>
      <c r="D9" s="142" t="s">
        <v>112</v>
      </c>
      <c r="E9" s="142" t="s">
        <v>256</v>
      </c>
      <c r="F9" s="156">
        <v>15</v>
      </c>
      <c r="G9" s="191"/>
      <c r="H9" s="146">
        <v>0</v>
      </c>
      <c r="I9" s="146">
        <v>-320000</v>
      </c>
      <c r="J9" s="146">
        <v>3000</v>
      </c>
      <c r="K9" s="146">
        <v>27286</v>
      </c>
      <c r="L9" s="146">
        <v>11580</v>
      </c>
      <c r="M9" s="146">
        <v>-7900</v>
      </c>
      <c r="N9" s="146">
        <v>367560</v>
      </c>
      <c r="O9" s="146">
        <v>-1482</v>
      </c>
      <c r="P9" s="146">
        <v>-259130</v>
      </c>
      <c r="Q9" s="146">
        <v>0</v>
      </c>
      <c r="R9" s="146">
        <v>-3800</v>
      </c>
      <c r="S9" s="146">
        <v>54845</v>
      </c>
      <c r="T9" s="146">
        <v>570</v>
      </c>
      <c r="U9" s="146">
        <v>-227550</v>
      </c>
      <c r="V9" s="146">
        <v>183</v>
      </c>
      <c r="W9" s="146">
        <v>22810</v>
      </c>
      <c r="X9" s="146">
        <v>-133161</v>
      </c>
      <c r="Y9" s="146">
        <v>-100</v>
      </c>
      <c r="Z9" s="146">
        <v>-158544</v>
      </c>
      <c r="AA9" s="146">
        <v>-140500</v>
      </c>
      <c r="AB9" s="146">
        <v>-23400</v>
      </c>
      <c r="AC9" s="173"/>
      <c r="AD9" s="170">
        <f t="shared" si="0"/>
        <v>-787733</v>
      </c>
      <c r="AE9" s="148">
        <f t="shared" si="1"/>
        <v>-0.52515533333333331</v>
      </c>
      <c r="AG9" s="133"/>
      <c r="AH9" s="133"/>
    </row>
    <row r="10" spans="1:39" x14ac:dyDescent="0.25">
      <c r="A10" s="142" t="s">
        <v>137</v>
      </c>
      <c r="B10" s="140" t="s">
        <v>122</v>
      </c>
      <c r="C10" s="140" t="s">
        <v>136</v>
      </c>
      <c r="D10" s="142" t="s">
        <v>259</v>
      </c>
      <c r="E10" s="142" t="s">
        <v>256</v>
      </c>
      <c r="F10" s="156">
        <v>6</v>
      </c>
      <c r="G10" s="191"/>
      <c r="H10" s="146">
        <v>44126</v>
      </c>
      <c r="I10" s="146">
        <v>60260</v>
      </c>
      <c r="J10" s="146">
        <v>-5300</v>
      </c>
      <c r="K10" s="146">
        <v>25170</v>
      </c>
      <c r="L10" s="146">
        <v>-100</v>
      </c>
      <c r="M10" s="146">
        <v>15016</v>
      </c>
      <c r="N10" s="146">
        <v>239060</v>
      </c>
      <c r="O10" s="146">
        <v>-9189</v>
      </c>
      <c r="P10" s="146">
        <v>190120</v>
      </c>
      <c r="Q10" s="146">
        <v>0</v>
      </c>
      <c r="R10" s="146">
        <v>-67335</v>
      </c>
      <c r="S10" s="146">
        <v>102798</v>
      </c>
      <c r="T10" s="146">
        <v>7361</v>
      </c>
      <c r="U10" s="146">
        <v>-77569</v>
      </c>
      <c r="V10" s="146">
        <v>0</v>
      </c>
      <c r="W10" s="146">
        <v>53214</v>
      </c>
      <c r="X10" s="146">
        <v>-227588</v>
      </c>
      <c r="Y10" s="146">
        <v>500</v>
      </c>
      <c r="Z10" s="146">
        <v>-15326</v>
      </c>
      <c r="AA10" s="146">
        <v>-60108</v>
      </c>
      <c r="AB10" s="146">
        <v>-198745</v>
      </c>
      <c r="AC10" s="173"/>
      <c r="AD10" s="170">
        <f t="shared" si="0"/>
        <v>76365</v>
      </c>
      <c r="AE10" s="148">
        <f t="shared" si="1"/>
        <v>0.127275</v>
      </c>
      <c r="AG10" s="133"/>
      <c r="AH10" s="133"/>
    </row>
    <row r="11" spans="1:39" x14ac:dyDescent="0.25">
      <c r="A11" s="142" t="s">
        <v>42</v>
      </c>
      <c r="B11" s="140" t="s">
        <v>230</v>
      </c>
      <c r="C11" s="140" t="s">
        <v>85</v>
      </c>
      <c r="D11" s="142" t="s">
        <v>106</v>
      </c>
      <c r="E11" s="142" t="s">
        <v>107</v>
      </c>
      <c r="F11" s="156">
        <v>1</v>
      </c>
      <c r="G11" s="191"/>
      <c r="H11" s="146">
        <v>-1254</v>
      </c>
      <c r="I11" s="146">
        <v>467</v>
      </c>
      <c r="J11" s="146">
        <v>-100</v>
      </c>
      <c r="K11" s="146">
        <v>100</v>
      </c>
      <c r="L11" s="146">
        <v>0</v>
      </c>
      <c r="M11" s="146">
        <v>-1533</v>
      </c>
      <c r="N11" s="146">
        <v>814</v>
      </c>
      <c r="O11" s="146">
        <v>-485</v>
      </c>
      <c r="P11" s="146">
        <v>424</v>
      </c>
      <c r="Q11" s="146">
        <v>6682</v>
      </c>
      <c r="R11" s="146">
        <v>6230</v>
      </c>
      <c r="S11" s="146">
        <v>-753</v>
      </c>
      <c r="T11" s="146">
        <v>-740</v>
      </c>
      <c r="U11" s="146">
        <v>-2421</v>
      </c>
      <c r="V11" s="146">
        <v>-4731</v>
      </c>
      <c r="W11" s="146">
        <v>2388</v>
      </c>
      <c r="X11" s="146">
        <v>-5726</v>
      </c>
      <c r="Y11" s="146">
        <v>-1212</v>
      </c>
      <c r="Z11" s="146">
        <v>-2697</v>
      </c>
      <c r="AA11" s="146">
        <v>281</v>
      </c>
      <c r="AB11" s="146">
        <v>1614</v>
      </c>
      <c r="AC11" s="173"/>
      <c r="AD11" s="170">
        <f t="shared" si="0"/>
        <v>-2652</v>
      </c>
      <c r="AE11" s="148">
        <f t="shared" si="1"/>
        <v>-2.6519999999999998E-2</v>
      </c>
      <c r="AG11" s="133"/>
      <c r="AH11" s="133"/>
    </row>
    <row r="12" spans="1:39" x14ac:dyDescent="0.25">
      <c r="A12" s="141" t="s">
        <v>212</v>
      </c>
      <c r="B12" s="140" t="s">
        <v>230</v>
      </c>
      <c r="C12" s="141" t="s">
        <v>12</v>
      </c>
      <c r="D12" s="141" t="s">
        <v>39</v>
      </c>
      <c r="E12" s="141" t="s">
        <v>256</v>
      </c>
      <c r="F12" s="155">
        <v>1</v>
      </c>
      <c r="G12" s="193"/>
      <c r="H12" s="146">
        <v>-50911</v>
      </c>
      <c r="I12" s="146">
        <v>-17234</v>
      </c>
      <c r="J12" s="146">
        <v>0</v>
      </c>
      <c r="K12" s="146">
        <v>-76944</v>
      </c>
      <c r="L12" s="146">
        <v>0</v>
      </c>
      <c r="M12" s="146">
        <v>-12534</v>
      </c>
      <c r="N12" s="146">
        <v>6437</v>
      </c>
      <c r="O12" s="146">
        <v>0</v>
      </c>
      <c r="P12" s="146">
        <v>-41945</v>
      </c>
      <c r="Q12" s="146">
        <v>0</v>
      </c>
      <c r="R12" s="146">
        <v>0</v>
      </c>
      <c r="S12" s="146">
        <v>13270</v>
      </c>
      <c r="T12" s="146">
        <v>-337</v>
      </c>
      <c r="U12" s="146">
        <v>4161</v>
      </c>
      <c r="V12" s="146">
        <v>3283</v>
      </c>
      <c r="W12" s="146">
        <v>25688</v>
      </c>
      <c r="X12" s="146">
        <v>-46738</v>
      </c>
      <c r="Y12" s="146">
        <v>-24040</v>
      </c>
      <c r="Z12" s="146">
        <v>-23171</v>
      </c>
      <c r="AA12" s="146">
        <v>-45017</v>
      </c>
      <c r="AB12" s="146">
        <v>53845</v>
      </c>
      <c r="AC12" s="173"/>
      <c r="AD12" s="170">
        <f t="shared" si="0"/>
        <v>-232187</v>
      </c>
      <c r="AE12" s="148">
        <f t="shared" si="1"/>
        <v>-2.3218700000000001</v>
      </c>
      <c r="AG12" s="133"/>
      <c r="AH12" s="133"/>
    </row>
    <row r="13" spans="1:39" x14ac:dyDescent="0.25">
      <c r="A13" s="141" t="s">
        <v>44</v>
      </c>
      <c r="B13" s="140" t="s">
        <v>171</v>
      </c>
      <c r="C13" s="141" t="s">
        <v>172</v>
      </c>
      <c r="D13" s="141" t="s">
        <v>39</v>
      </c>
      <c r="E13" s="141" t="s">
        <v>256</v>
      </c>
      <c r="F13" s="155">
        <v>1</v>
      </c>
      <c r="G13" s="193"/>
      <c r="H13" s="146">
        <v>-4875</v>
      </c>
      <c r="I13" s="146">
        <v>-57778</v>
      </c>
      <c r="J13" s="146">
        <v>0</v>
      </c>
      <c r="K13" s="146">
        <v>-8984</v>
      </c>
      <c r="L13" s="146">
        <v>0</v>
      </c>
      <c r="M13" s="146">
        <v>0</v>
      </c>
      <c r="N13" s="146">
        <v>0</v>
      </c>
      <c r="O13" s="146">
        <v>0</v>
      </c>
      <c r="P13" s="146">
        <v>0</v>
      </c>
      <c r="Q13" s="146">
        <v>0</v>
      </c>
      <c r="R13" s="146">
        <v>0</v>
      </c>
      <c r="S13" s="146">
        <v>0</v>
      </c>
      <c r="T13" s="146">
        <v>0</v>
      </c>
      <c r="U13" s="146">
        <v>0</v>
      </c>
      <c r="V13" s="146">
        <v>0</v>
      </c>
      <c r="W13" s="146">
        <v>0</v>
      </c>
      <c r="X13" s="146">
        <v>0</v>
      </c>
      <c r="Y13" s="146">
        <v>0</v>
      </c>
      <c r="Z13" s="146">
        <v>0</v>
      </c>
      <c r="AA13" s="146">
        <v>0</v>
      </c>
      <c r="AB13" s="146">
        <v>0</v>
      </c>
      <c r="AC13" s="173"/>
      <c r="AD13" s="170">
        <f t="shared" si="0"/>
        <v>-71637</v>
      </c>
      <c r="AE13" s="148">
        <f t="shared" si="1"/>
        <v>-0.71636999999999995</v>
      </c>
      <c r="AG13" s="133"/>
      <c r="AH13" s="192">
        <f>AH6-AH8</f>
        <v>-4354.578982</v>
      </c>
    </row>
    <row r="14" spans="1:39" x14ac:dyDescent="0.25">
      <c r="A14" s="141" t="s">
        <v>62</v>
      </c>
      <c r="B14" s="140" t="s">
        <v>114</v>
      </c>
      <c r="C14" s="140" t="s">
        <v>224</v>
      </c>
      <c r="D14" s="141" t="s">
        <v>39</v>
      </c>
      <c r="E14" s="141" t="s">
        <v>253</v>
      </c>
      <c r="F14" s="155">
        <v>1</v>
      </c>
      <c r="G14" s="189"/>
      <c r="H14" s="146">
        <v>0</v>
      </c>
      <c r="I14" s="146">
        <v>0</v>
      </c>
      <c r="J14" s="146">
        <v>0</v>
      </c>
      <c r="K14" s="146">
        <v>0</v>
      </c>
      <c r="L14" s="146">
        <v>0</v>
      </c>
      <c r="M14" s="146">
        <v>0</v>
      </c>
      <c r="N14" s="146">
        <v>0</v>
      </c>
      <c r="O14" s="146">
        <v>1410</v>
      </c>
      <c r="P14" s="146">
        <v>-9460</v>
      </c>
      <c r="Q14" s="146">
        <v>0</v>
      </c>
      <c r="R14" s="146">
        <v>0</v>
      </c>
      <c r="S14" s="146">
        <v>-6152</v>
      </c>
      <c r="T14" s="146">
        <v>0</v>
      </c>
      <c r="U14" s="146">
        <v>5639</v>
      </c>
      <c r="V14" s="146">
        <v>0</v>
      </c>
      <c r="W14" s="146">
        <v>0</v>
      </c>
      <c r="X14" s="146">
        <v>0</v>
      </c>
      <c r="Y14" s="146">
        <v>0</v>
      </c>
      <c r="Z14" s="146">
        <v>-300</v>
      </c>
      <c r="AA14" s="146">
        <v>0</v>
      </c>
      <c r="AB14" s="146">
        <v>0</v>
      </c>
      <c r="AC14" s="173"/>
      <c r="AD14" s="170">
        <f t="shared" si="0"/>
        <v>-8863</v>
      </c>
      <c r="AE14" s="148">
        <f t="shared" si="1"/>
        <v>-8.863E-2</v>
      </c>
      <c r="AG14" s="133"/>
      <c r="AH14" s="133"/>
    </row>
    <row r="15" spans="1:39" x14ac:dyDescent="0.25">
      <c r="A15" s="141" t="s">
        <v>43</v>
      </c>
      <c r="B15" s="140" t="s">
        <v>84</v>
      </c>
      <c r="C15" s="140" t="s">
        <v>85</v>
      </c>
      <c r="D15" s="141" t="s">
        <v>106</v>
      </c>
      <c r="E15" s="141" t="s">
        <v>107</v>
      </c>
      <c r="F15" s="156">
        <v>1</v>
      </c>
      <c r="G15" s="189"/>
      <c r="H15" s="146">
        <v>-13796</v>
      </c>
      <c r="I15" s="146">
        <v>16490</v>
      </c>
      <c r="J15" s="146">
        <v>-11009</v>
      </c>
      <c r="K15" s="146">
        <v>4924</v>
      </c>
      <c r="L15" s="146">
        <v>-1147</v>
      </c>
      <c r="M15" s="146">
        <v>-24442</v>
      </c>
      <c r="N15" s="146">
        <v>17984</v>
      </c>
      <c r="O15" s="146">
        <v>-13902</v>
      </c>
      <c r="P15" s="146">
        <v>-9243</v>
      </c>
      <c r="Q15" s="146">
        <v>43268</v>
      </c>
      <c r="R15" s="146">
        <v>33186</v>
      </c>
      <c r="S15" s="146">
        <v>4785</v>
      </c>
      <c r="T15" s="146">
        <v>10432</v>
      </c>
      <c r="U15" s="146">
        <v>1058</v>
      </c>
      <c r="V15" s="146">
        <v>-9988</v>
      </c>
      <c r="W15" s="146">
        <v>11386</v>
      </c>
      <c r="X15" s="146">
        <v>-26568</v>
      </c>
      <c r="Y15" s="146">
        <v>4715</v>
      </c>
      <c r="Z15" s="146">
        <v>-4931</v>
      </c>
      <c r="AA15" s="146">
        <v>-1946</v>
      </c>
      <c r="AB15" s="146">
        <v>-757</v>
      </c>
      <c r="AC15" s="173"/>
      <c r="AD15" s="170">
        <f t="shared" si="0"/>
        <v>30499</v>
      </c>
      <c r="AE15" s="148">
        <f t="shared" si="1"/>
        <v>0.30498999999999998</v>
      </c>
    </row>
    <row r="16" spans="1:39" x14ac:dyDescent="0.25">
      <c r="A16" s="141" t="s">
        <v>108</v>
      </c>
      <c r="B16" s="140" t="s">
        <v>230</v>
      </c>
      <c r="C16" s="140" t="s">
        <v>225</v>
      </c>
      <c r="D16" s="141" t="s">
        <v>39</v>
      </c>
      <c r="E16" s="141" t="s">
        <v>256</v>
      </c>
      <c r="F16" s="156">
        <v>1</v>
      </c>
      <c r="G16" s="189"/>
      <c r="H16" s="146">
        <v>0</v>
      </c>
      <c r="I16" s="146">
        <v>-7000</v>
      </c>
      <c r="J16" s="146">
        <v>0</v>
      </c>
      <c r="K16" s="146">
        <v>-3000</v>
      </c>
      <c r="L16" s="146">
        <v>0</v>
      </c>
      <c r="M16" s="146">
        <v>0</v>
      </c>
      <c r="N16" s="146">
        <v>0</v>
      </c>
      <c r="O16" s="146">
        <v>-2215</v>
      </c>
      <c r="P16" s="146">
        <v>0</v>
      </c>
      <c r="Q16" s="146">
        <v>0</v>
      </c>
      <c r="R16" s="146">
        <v>0</v>
      </c>
      <c r="S16" s="146">
        <v>0</v>
      </c>
      <c r="T16" s="146">
        <v>-4255</v>
      </c>
      <c r="U16" s="146">
        <v>-9800</v>
      </c>
      <c r="V16" s="146">
        <v>0</v>
      </c>
      <c r="W16" s="146">
        <v>0</v>
      </c>
      <c r="X16" s="146">
        <v>0</v>
      </c>
      <c r="Y16" s="146">
        <v>0</v>
      </c>
      <c r="Z16" s="146">
        <v>0</v>
      </c>
      <c r="AA16" s="146">
        <v>0</v>
      </c>
      <c r="AB16" s="146">
        <v>0</v>
      </c>
      <c r="AC16" s="173"/>
      <c r="AD16" s="170">
        <f t="shared" si="0"/>
        <v>-26270</v>
      </c>
      <c r="AE16" s="148">
        <f t="shared" si="1"/>
        <v>-0.26269999999999999</v>
      </c>
    </row>
    <row r="17" spans="1:40" x14ac:dyDescent="0.25">
      <c r="A17" s="141" t="s">
        <v>94</v>
      </c>
      <c r="B17" s="140" t="s">
        <v>56</v>
      </c>
      <c r="C17" s="140" t="s">
        <v>8</v>
      </c>
      <c r="D17" s="141" t="s">
        <v>39</v>
      </c>
      <c r="E17" s="141" t="s">
        <v>256</v>
      </c>
      <c r="F17" s="156">
        <v>1</v>
      </c>
      <c r="G17" s="189"/>
      <c r="H17" s="146">
        <v>0</v>
      </c>
      <c r="I17" s="146">
        <v>0</v>
      </c>
      <c r="J17" s="146">
        <v>0</v>
      </c>
      <c r="K17" s="146">
        <v>0</v>
      </c>
      <c r="L17" s="146">
        <v>-1300</v>
      </c>
      <c r="M17" s="146">
        <v>-100</v>
      </c>
      <c r="N17" s="146">
        <v>9614</v>
      </c>
      <c r="O17" s="146">
        <v>0</v>
      </c>
      <c r="P17" s="146">
        <v>17719</v>
      </c>
      <c r="Q17" s="146">
        <v>0</v>
      </c>
      <c r="R17" s="146">
        <v>0</v>
      </c>
      <c r="S17" s="146">
        <v>-15553</v>
      </c>
      <c r="T17" s="146">
        <v>0</v>
      </c>
      <c r="U17" s="146">
        <v>-4618</v>
      </c>
      <c r="V17" s="146">
        <v>0</v>
      </c>
      <c r="W17" s="146">
        <v>0</v>
      </c>
      <c r="X17" s="146">
        <v>0</v>
      </c>
      <c r="Y17" s="146">
        <v>0</v>
      </c>
      <c r="Z17" s="146">
        <v>0</v>
      </c>
      <c r="AA17" s="146">
        <v>0</v>
      </c>
      <c r="AB17" s="146">
        <v>0</v>
      </c>
      <c r="AC17" s="173"/>
      <c r="AD17" s="170">
        <f t="shared" si="0"/>
        <v>5762</v>
      </c>
      <c r="AE17" s="148">
        <f t="shared" si="1"/>
        <v>5.7619999999999998E-2</v>
      </c>
    </row>
    <row r="18" spans="1:40" x14ac:dyDescent="0.25">
      <c r="A18" s="141" t="s">
        <v>24</v>
      </c>
      <c r="B18" s="140" t="s">
        <v>73</v>
      </c>
      <c r="C18" s="140" t="s">
        <v>58</v>
      </c>
      <c r="D18" s="141" t="s">
        <v>20</v>
      </c>
      <c r="E18" s="141" t="s">
        <v>256</v>
      </c>
      <c r="F18" s="155">
        <v>2.5</v>
      </c>
      <c r="G18" s="189"/>
      <c r="H18" s="146">
        <v>-1029</v>
      </c>
      <c r="I18" s="146">
        <v>-40083</v>
      </c>
      <c r="J18" s="146">
        <v>0</v>
      </c>
      <c r="K18" s="146">
        <v>-112512</v>
      </c>
      <c r="L18" s="146">
        <v>0</v>
      </c>
      <c r="M18" s="146">
        <v>0</v>
      </c>
      <c r="N18" s="146">
        <v>440</v>
      </c>
      <c r="O18" s="146">
        <v>-130131</v>
      </c>
      <c r="P18" s="146">
        <v>27851</v>
      </c>
      <c r="Q18" s="146">
        <v>0</v>
      </c>
      <c r="R18" s="146">
        <v>0</v>
      </c>
      <c r="S18" s="146">
        <v>41158</v>
      </c>
      <c r="T18" s="146">
        <v>37225</v>
      </c>
      <c r="U18" s="146">
        <v>-85472</v>
      </c>
      <c r="V18" s="146">
        <v>-80617</v>
      </c>
      <c r="W18" s="146">
        <v>58060</v>
      </c>
      <c r="X18" s="146">
        <v>163963</v>
      </c>
      <c r="Y18" s="146">
        <v>22655</v>
      </c>
      <c r="Z18" s="146">
        <v>0</v>
      </c>
      <c r="AA18" s="146">
        <v>68357</v>
      </c>
      <c r="AB18" s="146">
        <v>0</v>
      </c>
      <c r="AC18" s="173"/>
      <c r="AD18" s="170">
        <f t="shared" si="0"/>
        <v>-30135</v>
      </c>
      <c r="AE18" s="148">
        <f t="shared" si="1"/>
        <v>-0.12053999999999999</v>
      </c>
    </row>
    <row r="19" spans="1:40" x14ac:dyDescent="0.25">
      <c r="A19" s="141" t="s">
        <v>23</v>
      </c>
      <c r="B19" s="140" t="s">
        <v>74</v>
      </c>
      <c r="C19" s="140" t="s">
        <v>59</v>
      </c>
      <c r="D19" s="141" t="s">
        <v>3</v>
      </c>
      <c r="E19" s="141" t="s">
        <v>256</v>
      </c>
      <c r="F19" s="155">
        <v>4</v>
      </c>
      <c r="G19" s="189"/>
      <c r="H19" s="146">
        <v>333357</v>
      </c>
      <c r="I19" s="146">
        <v>51478</v>
      </c>
      <c r="J19" s="146">
        <v>0</v>
      </c>
      <c r="K19" s="146">
        <v>-115563</v>
      </c>
      <c r="L19" s="146">
        <v>0</v>
      </c>
      <c r="M19" s="146">
        <v>0</v>
      </c>
      <c r="N19" s="146">
        <v>-17570</v>
      </c>
      <c r="O19" s="146">
        <v>61225</v>
      </c>
      <c r="P19" s="146">
        <v>-63750</v>
      </c>
      <c r="Q19" s="146">
        <v>0</v>
      </c>
      <c r="R19" s="146">
        <v>0</v>
      </c>
      <c r="S19" s="146">
        <v>7535</v>
      </c>
      <c r="T19" s="146">
        <v>64000</v>
      </c>
      <c r="U19" s="146">
        <v>-26121</v>
      </c>
      <c r="V19" s="146">
        <v>9046</v>
      </c>
      <c r="W19" s="146">
        <v>78344</v>
      </c>
      <c r="X19" s="146">
        <v>149982</v>
      </c>
      <c r="Y19" s="146">
        <v>49581</v>
      </c>
      <c r="Z19" s="146">
        <v>0</v>
      </c>
      <c r="AA19" s="146">
        <v>-25253</v>
      </c>
      <c r="AB19" s="146">
        <v>0</v>
      </c>
      <c r="AC19" s="173"/>
      <c r="AD19" s="170">
        <f t="shared" si="0"/>
        <v>556291</v>
      </c>
      <c r="AE19" s="148">
        <f t="shared" si="1"/>
        <v>1.3907274999999999</v>
      </c>
    </row>
    <row r="20" spans="1:40" x14ac:dyDescent="0.25">
      <c r="A20" s="141" t="s">
        <v>275</v>
      </c>
      <c r="B20" s="140" t="s">
        <v>164</v>
      </c>
      <c r="C20" s="140" t="s">
        <v>274</v>
      </c>
      <c r="D20" s="141" t="s">
        <v>152</v>
      </c>
      <c r="E20" s="141" t="s">
        <v>256</v>
      </c>
      <c r="F20" s="155">
        <v>0.5</v>
      </c>
      <c r="G20" s="189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>
        <v>240</v>
      </c>
      <c r="U20" s="146">
        <v>0</v>
      </c>
      <c r="V20" s="146">
        <v>2995</v>
      </c>
      <c r="W20" s="146">
        <v>4471</v>
      </c>
      <c r="X20" s="146">
        <v>-25458</v>
      </c>
      <c r="Y20" s="146">
        <v>-27390</v>
      </c>
      <c r="Z20" s="146">
        <v>21493</v>
      </c>
      <c r="AA20" s="146">
        <v>21055</v>
      </c>
      <c r="AB20" s="146">
        <v>-31144</v>
      </c>
      <c r="AC20" s="173"/>
      <c r="AD20" s="170">
        <f t="shared" si="0"/>
        <v>-33738</v>
      </c>
      <c r="AE20" s="148">
        <f t="shared" si="1"/>
        <v>-0.67476000000000003</v>
      </c>
    </row>
    <row r="21" spans="1:40" x14ac:dyDescent="0.25">
      <c r="A21" s="141" t="s">
        <v>110</v>
      </c>
      <c r="B21" s="140" t="s">
        <v>111</v>
      </c>
      <c r="C21" s="140" t="s">
        <v>109</v>
      </c>
      <c r="D21" s="141" t="s">
        <v>152</v>
      </c>
      <c r="E21" s="141" t="s">
        <v>256</v>
      </c>
      <c r="F21" s="155">
        <v>1.1000000000000001</v>
      </c>
      <c r="G21" s="189"/>
      <c r="H21" s="146">
        <v>0</v>
      </c>
      <c r="I21" s="146">
        <v>-1737</v>
      </c>
      <c r="J21" s="146">
        <v>-23567</v>
      </c>
      <c r="K21" s="146">
        <v>0</v>
      </c>
      <c r="L21" s="146">
        <v>0</v>
      </c>
      <c r="M21" s="146">
        <v>21010</v>
      </c>
      <c r="N21" s="146">
        <v>8738</v>
      </c>
      <c r="O21" s="146">
        <v>19921</v>
      </c>
      <c r="P21" s="146">
        <v>3535</v>
      </c>
      <c r="Q21" s="146">
        <v>18096</v>
      </c>
      <c r="R21" s="146">
        <v>-1500</v>
      </c>
      <c r="S21" s="146">
        <v>13389</v>
      </c>
      <c r="T21" s="146">
        <v>15736</v>
      </c>
      <c r="U21" s="146">
        <v>0</v>
      </c>
      <c r="V21" s="146">
        <v>-1052</v>
      </c>
      <c r="W21" s="146">
        <v>59787</v>
      </c>
      <c r="X21" s="146">
        <v>-27150</v>
      </c>
      <c r="Y21" s="146">
        <v>33147</v>
      </c>
      <c r="Z21" s="146">
        <v>27314</v>
      </c>
      <c r="AA21" s="146">
        <v>-19235</v>
      </c>
      <c r="AB21" s="146">
        <v>-4354</v>
      </c>
      <c r="AC21" s="173"/>
      <c r="AD21" s="170">
        <f t="shared" si="0"/>
        <v>142078</v>
      </c>
      <c r="AE21" s="148">
        <f t="shared" si="1"/>
        <v>1.2916181818181818</v>
      </c>
    </row>
    <row r="22" spans="1:40" x14ac:dyDescent="0.25">
      <c r="A22" s="141" t="s">
        <v>148</v>
      </c>
      <c r="B22" s="140" t="s">
        <v>111</v>
      </c>
      <c r="C22" s="140" t="s">
        <v>128</v>
      </c>
      <c r="D22" s="141" t="s">
        <v>152</v>
      </c>
      <c r="E22" s="141" t="s">
        <v>256</v>
      </c>
      <c r="F22" s="155">
        <v>0.25</v>
      </c>
      <c r="G22" s="189"/>
      <c r="H22" s="146">
        <v>0</v>
      </c>
      <c r="I22" s="146">
        <v>0</v>
      </c>
      <c r="J22" s="146">
        <v>0</v>
      </c>
      <c r="K22" s="146">
        <v>0</v>
      </c>
      <c r="L22" s="146">
        <v>0</v>
      </c>
      <c r="M22" s="146">
        <v>0</v>
      </c>
      <c r="N22" s="146">
        <v>0</v>
      </c>
      <c r="O22" s="146">
        <v>0</v>
      </c>
      <c r="P22" s="146">
        <v>0</v>
      </c>
      <c r="Q22" s="146">
        <v>0</v>
      </c>
      <c r="R22" s="146">
        <v>0</v>
      </c>
      <c r="S22" s="146">
        <v>0</v>
      </c>
      <c r="T22" s="146">
        <v>0</v>
      </c>
      <c r="U22" s="146">
        <v>0</v>
      </c>
      <c r="V22" s="146">
        <v>0</v>
      </c>
      <c r="W22" s="146">
        <v>0</v>
      </c>
      <c r="X22" s="146">
        <v>0</v>
      </c>
      <c r="Y22" s="146">
        <v>0</v>
      </c>
      <c r="Z22" s="146">
        <v>0</v>
      </c>
      <c r="AA22" s="146">
        <v>0</v>
      </c>
      <c r="AB22" s="146">
        <v>0</v>
      </c>
      <c r="AC22" s="173"/>
      <c r="AD22" s="170">
        <f t="shared" si="0"/>
        <v>0</v>
      </c>
      <c r="AE22" s="148">
        <f t="shared" si="1"/>
        <v>0</v>
      </c>
    </row>
    <row r="23" spans="1:40" x14ac:dyDescent="0.25">
      <c r="A23" s="141" t="s">
        <v>165</v>
      </c>
      <c r="B23" s="140" t="s">
        <v>164</v>
      </c>
      <c r="C23" s="140" t="s">
        <v>223</v>
      </c>
      <c r="D23" s="141" t="s">
        <v>261</v>
      </c>
      <c r="E23" s="141" t="s">
        <v>256</v>
      </c>
      <c r="F23" s="155">
        <v>1.5</v>
      </c>
      <c r="G23" s="189"/>
      <c r="H23" s="146">
        <v>-4000</v>
      </c>
      <c r="I23" s="146">
        <v>-128678</v>
      </c>
      <c r="J23" s="146">
        <v>-57812</v>
      </c>
      <c r="K23" s="146">
        <v>-60800</v>
      </c>
      <c r="L23" s="146">
        <v>-139000</v>
      </c>
      <c r="M23" s="146">
        <v>-143050</v>
      </c>
      <c r="N23" s="146">
        <v>-88888</v>
      </c>
      <c r="O23" s="146">
        <v>46500</v>
      </c>
      <c r="P23" s="146">
        <v>-27856</v>
      </c>
      <c r="Q23" s="146">
        <v>107155</v>
      </c>
      <c r="R23" s="146">
        <v>-134780</v>
      </c>
      <c r="S23" s="146">
        <v>-44995</v>
      </c>
      <c r="T23" s="146">
        <v>-38833</v>
      </c>
      <c r="U23" s="146">
        <v>-1658</v>
      </c>
      <c r="V23" s="146">
        <v>-79155</v>
      </c>
      <c r="W23" s="146">
        <v>15088</v>
      </c>
      <c r="X23" s="146">
        <v>-153252</v>
      </c>
      <c r="Y23" s="146">
        <v>141633</v>
      </c>
      <c r="Z23" s="146">
        <v>56512</v>
      </c>
      <c r="AA23" s="146">
        <v>82546</v>
      </c>
      <c r="AB23" s="146">
        <v>-51729</v>
      </c>
      <c r="AC23" s="173"/>
      <c r="AD23" s="170">
        <f t="shared" si="0"/>
        <v>-705052</v>
      </c>
      <c r="AE23" s="148">
        <f t="shared" si="1"/>
        <v>-4.7003466666666673</v>
      </c>
    </row>
    <row r="24" spans="1:40" x14ac:dyDescent="0.25">
      <c r="A24" s="141" t="s">
        <v>32</v>
      </c>
      <c r="B24" s="140" t="s">
        <v>63</v>
      </c>
      <c r="C24" s="141" t="s">
        <v>21</v>
      </c>
      <c r="D24" s="141" t="s">
        <v>40</v>
      </c>
      <c r="E24" s="141" t="s">
        <v>256</v>
      </c>
      <c r="F24" s="155">
        <v>1.1000000000000001</v>
      </c>
      <c r="G24" s="190"/>
      <c r="H24" s="146">
        <v>20574</v>
      </c>
      <c r="I24" s="146">
        <v>-80874</v>
      </c>
      <c r="J24" s="146">
        <v>-25113</v>
      </c>
      <c r="K24" s="146">
        <v>4606</v>
      </c>
      <c r="L24" s="146">
        <v>5000</v>
      </c>
      <c r="M24" s="146">
        <v>85825</v>
      </c>
      <c r="N24" s="146">
        <v>52300</v>
      </c>
      <c r="O24" s="146">
        <v>-16068</v>
      </c>
      <c r="P24" s="146">
        <v>-26170</v>
      </c>
      <c r="Q24" s="146">
        <v>-98394</v>
      </c>
      <c r="R24" s="146">
        <v>48805</v>
      </c>
      <c r="S24" s="146">
        <v>41635</v>
      </c>
      <c r="T24" s="146">
        <v>23563</v>
      </c>
      <c r="U24" s="146">
        <v>-23968</v>
      </c>
      <c r="V24" s="146">
        <v>20997</v>
      </c>
      <c r="W24" s="146">
        <v>33625</v>
      </c>
      <c r="X24" s="146">
        <v>-77748</v>
      </c>
      <c r="Y24" s="146">
        <v>-82200</v>
      </c>
      <c r="Z24" s="146">
        <v>-11423</v>
      </c>
      <c r="AA24" s="146">
        <v>-131365</v>
      </c>
      <c r="AB24" s="146">
        <v>710</v>
      </c>
      <c r="AC24" s="173"/>
      <c r="AD24" s="170">
        <f t="shared" si="0"/>
        <v>-235683</v>
      </c>
      <c r="AE24" s="148">
        <f t="shared" si="1"/>
        <v>-2.1425727272727269</v>
      </c>
    </row>
    <row r="25" spans="1:40" x14ac:dyDescent="0.25">
      <c r="A25" s="141" t="s">
        <v>97</v>
      </c>
      <c r="B25" s="140" t="s">
        <v>68</v>
      </c>
      <c r="C25" s="140" t="s">
        <v>206</v>
      </c>
      <c r="D25" s="141" t="s">
        <v>107</v>
      </c>
      <c r="E25" s="141" t="s">
        <v>107</v>
      </c>
      <c r="F25" s="155">
        <v>2.2999999999999998</v>
      </c>
      <c r="G25" s="190"/>
      <c r="H25" s="146">
        <v>-315552</v>
      </c>
      <c r="I25" s="146">
        <v>246166</v>
      </c>
      <c r="J25" s="146">
        <v>-193000</v>
      </c>
      <c r="K25" s="146">
        <v>54945</v>
      </c>
      <c r="L25" s="146">
        <v>-5400</v>
      </c>
      <c r="M25" s="146">
        <v>-510143</v>
      </c>
      <c r="N25" s="146">
        <v>280441</v>
      </c>
      <c r="O25" s="146">
        <v>-350964</v>
      </c>
      <c r="P25" s="146">
        <v>-234673</v>
      </c>
      <c r="Q25" s="146">
        <v>580162</v>
      </c>
      <c r="R25" s="146">
        <v>470619</v>
      </c>
      <c r="S25" s="146">
        <v>168909</v>
      </c>
      <c r="T25" s="146">
        <v>175320</v>
      </c>
      <c r="U25" s="146">
        <v>128927</v>
      </c>
      <c r="V25" s="146">
        <v>-23035</v>
      </c>
      <c r="W25" s="146">
        <v>140212</v>
      </c>
      <c r="X25" s="146">
        <v>-283600</v>
      </c>
      <c r="Y25" s="146">
        <v>106015</v>
      </c>
      <c r="Z25" s="146">
        <v>-7506</v>
      </c>
      <c r="AA25" s="146">
        <v>-192066</v>
      </c>
      <c r="AB25" s="146">
        <v>46600</v>
      </c>
      <c r="AC25" s="173"/>
      <c r="AD25" s="170">
        <f t="shared" si="0"/>
        <v>282377</v>
      </c>
      <c r="AE25" s="148">
        <f t="shared" si="1"/>
        <v>1.2277260869565219</v>
      </c>
    </row>
    <row r="26" spans="1:40" x14ac:dyDescent="0.25">
      <c r="A26" s="141" t="s">
        <v>29</v>
      </c>
      <c r="B26" s="140" t="s">
        <v>22</v>
      </c>
      <c r="C26" s="140" t="s">
        <v>151</v>
      </c>
      <c r="D26" s="141" t="s">
        <v>5</v>
      </c>
      <c r="E26" s="141" t="s">
        <v>256</v>
      </c>
      <c r="F26" s="155">
        <v>5</v>
      </c>
      <c r="G26" s="190"/>
      <c r="H26" s="146">
        <v>442350</v>
      </c>
      <c r="I26" s="146">
        <v>-186620</v>
      </c>
      <c r="J26" s="146">
        <v>0</v>
      </c>
      <c r="K26" s="146">
        <v>-386182</v>
      </c>
      <c r="L26" s="146">
        <v>0</v>
      </c>
      <c r="M26" s="146">
        <v>0</v>
      </c>
      <c r="N26" s="146">
        <v>-70458</v>
      </c>
      <c r="O26" s="146">
        <v>194000</v>
      </c>
      <c r="P26" s="146">
        <v>-327600</v>
      </c>
      <c r="Q26" s="146">
        <v>6400</v>
      </c>
      <c r="R26" s="146">
        <v>0</v>
      </c>
      <c r="S26" s="146">
        <v>74000</v>
      </c>
      <c r="T26" s="146">
        <v>240030</v>
      </c>
      <c r="U26" s="146">
        <v>-76158</v>
      </c>
      <c r="V26" s="146">
        <v>227550</v>
      </c>
      <c r="W26" s="146">
        <v>557675</v>
      </c>
      <c r="X26" s="146">
        <v>270900</v>
      </c>
      <c r="Y26" s="146">
        <v>-108300</v>
      </c>
      <c r="Z26" s="146">
        <v>0</v>
      </c>
      <c r="AA26" s="146">
        <v>48500</v>
      </c>
      <c r="AB26" s="146">
        <v>0</v>
      </c>
      <c r="AC26" s="173"/>
      <c r="AD26" s="170">
        <f t="shared" si="0"/>
        <v>906087</v>
      </c>
      <c r="AE26" s="148">
        <f t="shared" si="1"/>
        <v>1.812174</v>
      </c>
      <c r="AH26" s="132">
        <v>19200</v>
      </c>
    </row>
    <row r="27" spans="1:40" x14ac:dyDescent="0.25">
      <c r="A27" s="141" t="s">
        <v>28</v>
      </c>
      <c r="B27" s="140" t="s">
        <v>155</v>
      </c>
      <c r="C27" s="140" t="s">
        <v>121</v>
      </c>
      <c r="D27" s="141" t="s">
        <v>91</v>
      </c>
      <c r="E27" s="141" t="s">
        <v>256</v>
      </c>
      <c r="F27" s="155">
        <v>10</v>
      </c>
      <c r="G27" s="190"/>
      <c r="H27" s="146">
        <v>0</v>
      </c>
      <c r="I27" s="146">
        <v>-478657</v>
      </c>
      <c r="J27" s="146">
        <v>-391829</v>
      </c>
      <c r="K27" s="146">
        <v>748430</v>
      </c>
      <c r="L27" s="146">
        <v>0</v>
      </c>
      <c r="M27" s="146">
        <v>0</v>
      </c>
      <c r="N27" s="146">
        <v>447382</v>
      </c>
      <c r="O27" s="146">
        <v>458175</v>
      </c>
      <c r="P27" s="146">
        <v>-215825</v>
      </c>
      <c r="Q27" s="146">
        <v>0</v>
      </c>
      <c r="R27" s="146">
        <v>0</v>
      </c>
      <c r="S27" s="146">
        <v>763808</v>
      </c>
      <c r="T27" s="146">
        <v>500872</v>
      </c>
      <c r="U27" s="146">
        <v>443554</v>
      </c>
      <c r="V27" s="146">
        <v>0</v>
      </c>
      <c r="W27" s="146">
        <v>0</v>
      </c>
      <c r="X27" s="146">
        <v>-406794</v>
      </c>
      <c r="Y27" s="146">
        <v>4768</v>
      </c>
      <c r="Z27" s="146">
        <v>-539898</v>
      </c>
      <c r="AA27" s="146">
        <v>-55700</v>
      </c>
      <c r="AB27" s="146">
        <v>-554115</v>
      </c>
      <c r="AC27" s="173"/>
      <c r="AD27" s="170">
        <f t="shared" si="0"/>
        <v>724171</v>
      </c>
      <c r="AE27" s="148">
        <f t="shared" si="1"/>
        <v>0.72417100000000012</v>
      </c>
      <c r="AH27" s="132">
        <v>-17670</v>
      </c>
      <c r="AK27" s="132">
        <v>90975</v>
      </c>
      <c r="AN27" s="132">
        <v>-38200</v>
      </c>
    </row>
    <row r="28" spans="1:40" x14ac:dyDescent="0.25">
      <c r="A28" s="141" t="s">
        <v>191</v>
      </c>
      <c r="B28" s="140" t="s">
        <v>184</v>
      </c>
      <c r="C28" s="140" t="s">
        <v>185</v>
      </c>
      <c r="D28" s="141" t="s">
        <v>91</v>
      </c>
      <c r="E28" s="141" t="s">
        <v>256</v>
      </c>
      <c r="F28" s="155">
        <v>13</v>
      </c>
      <c r="G28" s="189"/>
      <c r="H28" s="146">
        <v>0</v>
      </c>
      <c r="I28" s="146">
        <v>-588487</v>
      </c>
      <c r="J28" s="146">
        <v>-490788</v>
      </c>
      <c r="K28" s="146">
        <v>962063</v>
      </c>
      <c r="L28" s="146">
        <v>0</v>
      </c>
      <c r="M28" s="146">
        <v>0</v>
      </c>
      <c r="N28" s="146">
        <v>598550</v>
      </c>
      <c r="O28" s="146">
        <v>580364</v>
      </c>
      <c r="P28" s="146">
        <v>-298400</v>
      </c>
      <c r="Q28" s="146">
        <v>0</v>
      </c>
      <c r="R28" s="146">
        <v>0</v>
      </c>
      <c r="S28" s="146">
        <v>980072</v>
      </c>
      <c r="T28" s="146">
        <v>647550</v>
      </c>
      <c r="U28" s="146">
        <v>588455</v>
      </c>
      <c r="V28" s="146">
        <v>0</v>
      </c>
      <c r="W28" s="146">
        <v>0</v>
      </c>
      <c r="X28" s="146">
        <v>-613617</v>
      </c>
      <c r="Y28" s="146">
        <v>-6116</v>
      </c>
      <c r="Z28" s="146">
        <v>-725408</v>
      </c>
      <c r="AA28" s="146">
        <v>-82354</v>
      </c>
      <c r="AB28" s="146">
        <v>-662700</v>
      </c>
      <c r="AC28" s="173"/>
      <c r="AD28" s="170">
        <f t="shared" si="0"/>
        <v>889184</v>
      </c>
      <c r="AE28" s="148">
        <f t="shared" si="1"/>
        <v>0.6839876923076923</v>
      </c>
      <c r="AH28" s="132">
        <v>46970</v>
      </c>
      <c r="AK28" s="132">
        <v>-31616</v>
      </c>
      <c r="AN28" s="132">
        <v>11900</v>
      </c>
    </row>
    <row r="29" spans="1:40" x14ac:dyDescent="0.25">
      <c r="A29" s="141" t="s">
        <v>194</v>
      </c>
      <c r="B29" s="140" t="s">
        <v>178</v>
      </c>
      <c r="C29" s="140" t="s">
        <v>180</v>
      </c>
      <c r="D29" s="141" t="s">
        <v>91</v>
      </c>
      <c r="E29" s="141" t="s">
        <v>256</v>
      </c>
      <c r="F29" s="155">
        <v>6</v>
      </c>
      <c r="G29" s="189"/>
      <c r="H29" s="146">
        <v>0</v>
      </c>
      <c r="I29" s="146">
        <v>-251337</v>
      </c>
      <c r="J29" s="146">
        <v>-217850</v>
      </c>
      <c r="K29" s="146">
        <v>428542</v>
      </c>
      <c r="L29" s="146">
        <v>0</v>
      </c>
      <c r="M29" s="146">
        <v>0</v>
      </c>
      <c r="N29" s="146">
        <v>263626</v>
      </c>
      <c r="O29" s="146">
        <v>257600</v>
      </c>
      <c r="P29" s="146">
        <v>-132440</v>
      </c>
      <c r="Q29" s="146">
        <v>0</v>
      </c>
      <c r="R29" s="146">
        <v>0</v>
      </c>
      <c r="S29" s="146">
        <v>434731</v>
      </c>
      <c r="T29" s="146">
        <v>287366</v>
      </c>
      <c r="U29" s="146">
        <v>261325</v>
      </c>
      <c r="V29" s="146">
        <v>0</v>
      </c>
      <c r="W29" s="146">
        <v>0</v>
      </c>
      <c r="X29" s="146">
        <v>-235850</v>
      </c>
      <c r="Y29" s="146">
        <v>-3016</v>
      </c>
      <c r="Z29" s="146">
        <v>-321420</v>
      </c>
      <c r="AA29" s="146">
        <v>-41200</v>
      </c>
      <c r="AB29" s="146">
        <v>-293340</v>
      </c>
      <c r="AC29" s="173"/>
      <c r="AD29" s="170">
        <f t="shared" si="0"/>
        <v>436737</v>
      </c>
      <c r="AE29" s="148">
        <f t="shared" si="1"/>
        <v>0.72789499999999996</v>
      </c>
    </row>
    <row r="30" spans="1:40" x14ac:dyDescent="0.25">
      <c r="A30" s="141" t="s">
        <v>147</v>
      </c>
      <c r="B30" s="140" t="s">
        <v>146</v>
      </c>
      <c r="C30" s="140" t="s">
        <v>140</v>
      </c>
      <c r="D30" s="141" t="s">
        <v>91</v>
      </c>
      <c r="E30" s="141" t="s">
        <v>256</v>
      </c>
      <c r="F30" s="155">
        <v>1.5</v>
      </c>
      <c r="G30" s="189"/>
      <c r="H30" s="146">
        <v>0</v>
      </c>
      <c r="I30" s="146">
        <v>-62514</v>
      </c>
      <c r="J30" s="146">
        <v>-54153</v>
      </c>
      <c r="K30" s="146">
        <v>107287</v>
      </c>
      <c r="L30" s="146">
        <v>0</v>
      </c>
      <c r="M30" s="146">
        <v>0</v>
      </c>
      <c r="N30" s="146">
        <v>65700</v>
      </c>
      <c r="O30" s="146">
        <v>64530</v>
      </c>
      <c r="P30" s="146">
        <v>-32950</v>
      </c>
      <c r="Q30" s="146">
        <v>0</v>
      </c>
      <c r="R30" s="146">
        <v>0</v>
      </c>
      <c r="S30" s="146">
        <v>108856</v>
      </c>
      <c r="T30" s="146">
        <v>72157</v>
      </c>
      <c r="U30" s="146">
        <v>65590</v>
      </c>
      <c r="V30" s="146">
        <v>0</v>
      </c>
      <c r="W30" s="146">
        <v>0</v>
      </c>
      <c r="X30" s="146">
        <v>-66806</v>
      </c>
      <c r="Y30" s="146">
        <v>-562</v>
      </c>
      <c r="Z30" s="146">
        <v>-80209</v>
      </c>
      <c r="AA30" s="146">
        <v>-10111</v>
      </c>
      <c r="AB30" s="146">
        <v>-73200</v>
      </c>
      <c r="AC30" s="173"/>
      <c r="AD30" s="170">
        <f t="shared" si="0"/>
        <v>103615</v>
      </c>
      <c r="AE30" s="148">
        <f t="shared" si="1"/>
        <v>0.69076666666666675</v>
      </c>
      <c r="AH30" s="132">
        <f>SUM(AH25:AH28)</f>
        <v>48500</v>
      </c>
      <c r="AK30" s="132">
        <f>SUM(AK27:AK28)</f>
        <v>59359</v>
      </c>
    </row>
    <row r="31" spans="1:40" x14ac:dyDescent="0.25">
      <c r="A31" s="162" t="s">
        <v>205</v>
      </c>
      <c r="B31" s="140" t="s">
        <v>203</v>
      </c>
      <c r="C31" s="140" t="s">
        <v>204</v>
      </c>
      <c r="D31" s="141" t="s">
        <v>91</v>
      </c>
      <c r="E31" s="162" t="s">
        <v>256</v>
      </c>
      <c r="F31" s="163">
        <v>1.25</v>
      </c>
      <c r="G31" s="194"/>
      <c r="H31" s="150">
        <v>0</v>
      </c>
      <c r="I31" s="150">
        <v>-62800</v>
      </c>
      <c r="J31" s="150">
        <v>-54600</v>
      </c>
      <c r="K31" s="150">
        <v>106624</v>
      </c>
      <c r="L31" s="150">
        <v>0</v>
      </c>
      <c r="M31" s="150">
        <v>0</v>
      </c>
      <c r="N31" s="150">
        <v>66050</v>
      </c>
      <c r="O31" s="150">
        <v>64570</v>
      </c>
      <c r="P31" s="150">
        <v>-33130</v>
      </c>
      <c r="Q31" s="150">
        <v>0</v>
      </c>
      <c r="R31" s="150">
        <v>0</v>
      </c>
      <c r="S31" s="150">
        <v>108627</v>
      </c>
      <c r="T31" s="150">
        <v>72132</v>
      </c>
      <c r="U31" s="150">
        <v>65480</v>
      </c>
      <c r="V31" s="150">
        <v>0</v>
      </c>
      <c r="W31" s="150">
        <v>0</v>
      </c>
      <c r="X31" s="150">
        <v>-65627</v>
      </c>
      <c r="Y31" s="150">
        <v>-1015</v>
      </c>
      <c r="Z31" s="150">
        <v>-80206</v>
      </c>
      <c r="AA31" s="150">
        <v>-10070</v>
      </c>
      <c r="AB31" s="150">
        <v>-73800</v>
      </c>
      <c r="AC31" s="173"/>
      <c r="AD31" s="170">
        <f t="shared" si="0"/>
        <v>102235</v>
      </c>
      <c r="AE31" s="148">
        <f t="shared" si="1"/>
        <v>0.81788000000000005</v>
      </c>
    </row>
    <row r="32" spans="1:40" x14ac:dyDescent="0.25">
      <c r="A32" s="62" t="s">
        <v>1</v>
      </c>
      <c r="B32" s="62" t="s">
        <v>113</v>
      </c>
      <c r="C32" s="62" t="s">
        <v>245</v>
      </c>
      <c r="D32" s="140" t="s">
        <v>92</v>
      </c>
      <c r="E32" s="62" t="s">
        <v>256</v>
      </c>
      <c r="F32" s="114">
        <v>1.5</v>
      </c>
      <c r="G32" s="195"/>
      <c r="H32" s="150">
        <v>0</v>
      </c>
      <c r="I32" s="150">
        <v>-62800</v>
      </c>
      <c r="J32" s="150">
        <v>-54147</v>
      </c>
      <c r="K32" s="150">
        <v>107300</v>
      </c>
      <c r="L32" s="150">
        <v>0</v>
      </c>
      <c r="M32" s="150">
        <v>0</v>
      </c>
      <c r="N32" s="150">
        <v>66115</v>
      </c>
      <c r="O32" s="150">
        <v>64554</v>
      </c>
      <c r="P32" s="150">
        <v>-32895</v>
      </c>
      <c r="Q32" s="150">
        <v>0</v>
      </c>
      <c r="R32" s="150">
        <v>0</v>
      </c>
      <c r="S32" s="150">
        <v>108935</v>
      </c>
      <c r="T32" s="150">
        <v>73180</v>
      </c>
      <c r="U32" s="150">
        <v>65553</v>
      </c>
      <c r="V32" s="150">
        <v>0</v>
      </c>
      <c r="W32" s="150">
        <v>0</v>
      </c>
      <c r="X32" s="150">
        <v>-60668</v>
      </c>
      <c r="Y32" s="150">
        <v>-619</v>
      </c>
      <c r="Z32" s="150">
        <v>-80142</v>
      </c>
      <c r="AA32" s="150">
        <v>-9786</v>
      </c>
      <c r="AB32" s="150">
        <v>-73000</v>
      </c>
      <c r="AC32" s="173"/>
      <c r="AD32" s="170">
        <f t="shared" si="0"/>
        <v>111580</v>
      </c>
      <c r="AE32" s="148">
        <f t="shared" si="1"/>
        <v>0.74386666666666668</v>
      </c>
    </row>
    <row r="33" spans="1:34" x14ac:dyDescent="0.25">
      <c r="A33" s="141" t="s">
        <v>65</v>
      </c>
      <c r="B33" s="140" t="s">
        <v>64</v>
      </c>
      <c r="C33" s="140" t="s">
        <v>7</v>
      </c>
      <c r="D33" s="141" t="s">
        <v>152</v>
      </c>
      <c r="E33" s="141" t="s">
        <v>256</v>
      </c>
      <c r="F33" s="155">
        <v>5</v>
      </c>
      <c r="G33" s="189"/>
      <c r="H33" s="146">
        <v>0</v>
      </c>
      <c r="I33" s="146">
        <v>-293586</v>
      </c>
      <c r="J33" s="146">
        <v>0</v>
      </c>
      <c r="K33" s="146">
        <v>321750</v>
      </c>
      <c r="L33" s="146">
        <v>0</v>
      </c>
      <c r="M33" s="146">
        <v>0</v>
      </c>
      <c r="N33" s="146">
        <v>-202375</v>
      </c>
      <c r="O33" s="146">
        <v>0</v>
      </c>
      <c r="P33" s="146">
        <v>-188041</v>
      </c>
      <c r="Q33" s="146">
        <v>0</v>
      </c>
      <c r="R33" s="146">
        <v>0</v>
      </c>
      <c r="S33" s="146">
        <v>551304</v>
      </c>
      <c r="T33" s="146">
        <v>0</v>
      </c>
      <c r="U33" s="146">
        <v>205842</v>
      </c>
      <c r="V33" s="146">
        <v>0</v>
      </c>
      <c r="W33" s="146">
        <v>0</v>
      </c>
      <c r="X33" s="146">
        <v>-173172</v>
      </c>
      <c r="Y33" s="146">
        <v>0</v>
      </c>
      <c r="Z33" s="146">
        <v>-253977</v>
      </c>
      <c r="AA33" s="146">
        <v>0</v>
      </c>
      <c r="AB33" s="146">
        <v>191378</v>
      </c>
      <c r="AC33" s="173"/>
      <c r="AD33" s="170">
        <f t="shared" si="0"/>
        <v>159123</v>
      </c>
      <c r="AE33" s="148">
        <f t="shared" si="1"/>
        <v>0.31824599999999997</v>
      </c>
    </row>
    <row r="34" spans="1:34" x14ac:dyDescent="0.25">
      <c r="A34" s="140" t="s">
        <v>34</v>
      </c>
      <c r="B34" s="142" t="s">
        <v>18</v>
      </c>
      <c r="C34" s="140" t="s">
        <v>10</v>
      </c>
      <c r="D34" s="141" t="s">
        <v>152</v>
      </c>
      <c r="E34" s="141" t="s">
        <v>256</v>
      </c>
      <c r="F34" s="118">
        <v>5</v>
      </c>
      <c r="G34" s="196"/>
      <c r="H34" s="146">
        <v>42140</v>
      </c>
      <c r="I34" s="146">
        <v>12000</v>
      </c>
      <c r="J34" s="146">
        <v>-68812</v>
      </c>
      <c r="K34" s="146">
        <v>-102587</v>
      </c>
      <c r="L34" s="146">
        <v>-95000</v>
      </c>
      <c r="M34" s="146">
        <v>-95521</v>
      </c>
      <c r="N34" s="146">
        <v>15000</v>
      </c>
      <c r="O34" s="146">
        <v>-8181</v>
      </c>
      <c r="P34" s="146">
        <v>5361</v>
      </c>
      <c r="Q34" s="146">
        <v>92241</v>
      </c>
      <c r="R34" s="146">
        <v>-40971</v>
      </c>
      <c r="S34" s="146">
        <v>113218</v>
      </c>
      <c r="T34" s="146">
        <v>113437</v>
      </c>
      <c r="U34" s="146">
        <v>-56930</v>
      </c>
      <c r="V34" s="146">
        <v>-13450</v>
      </c>
      <c r="W34" s="146">
        <v>119085</v>
      </c>
      <c r="X34" s="146">
        <v>47000</v>
      </c>
      <c r="Y34" s="146">
        <v>51680</v>
      </c>
      <c r="Z34" s="146">
        <v>-211145</v>
      </c>
      <c r="AA34" s="146">
        <v>-37356</v>
      </c>
      <c r="AB34" s="146">
        <v>32938</v>
      </c>
      <c r="AC34" s="173"/>
      <c r="AD34" s="170">
        <f t="shared" si="0"/>
        <v>-85853</v>
      </c>
      <c r="AE34" s="148">
        <f t="shared" si="1"/>
        <v>-0.17170599999999997</v>
      </c>
      <c r="AH34" s="133"/>
    </row>
    <row r="35" spans="1:34" x14ac:dyDescent="0.25">
      <c r="A35" s="140" t="s">
        <v>131</v>
      </c>
      <c r="B35" s="142" t="s">
        <v>130</v>
      </c>
      <c r="C35" s="140" t="s">
        <v>16</v>
      </c>
      <c r="D35" s="141" t="s">
        <v>262</v>
      </c>
      <c r="E35" s="141" t="s">
        <v>256</v>
      </c>
      <c r="F35" s="118">
        <v>0.5</v>
      </c>
      <c r="G35" s="196"/>
      <c r="H35" s="146">
        <v>35181</v>
      </c>
      <c r="I35" s="146">
        <v>51000</v>
      </c>
      <c r="J35" s="146">
        <v>61685</v>
      </c>
      <c r="K35" s="146">
        <v>-72371</v>
      </c>
      <c r="L35" s="146">
        <v>-49500</v>
      </c>
      <c r="M35" s="146">
        <v>-14559</v>
      </c>
      <c r="N35" s="146">
        <v>16190</v>
      </c>
      <c r="O35" s="146">
        <v>24186</v>
      </c>
      <c r="P35" s="146">
        <v>-34800</v>
      </c>
      <c r="Q35" s="146">
        <v>7050</v>
      </c>
      <c r="R35" s="146">
        <v>12088</v>
      </c>
      <c r="S35" s="146">
        <v>25371</v>
      </c>
      <c r="T35" s="146">
        <v>3983</v>
      </c>
      <c r="U35" s="146">
        <v>-33229</v>
      </c>
      <c r="V35" s="146">
        <v>-26194</v>
      </c>
      <c r="W35" s="146">
        <v>9434</v>
      </c>
      <c r="X35" s="146">
        <v>8899</v>
      </c>
      <c r="Y35" s="146">
        <v>48160</v>
      </c>
      <c r="Z35" s="146">
        <v>-1506</v>
      </c>
      <c r="AA35" s="146">
        <v>46900</v>
      </c>
      <c r="AB35" s="146">
        <v>-25606</v>
      </c>
      <c r="AC35" s="173"/>
      <c r="AD35" s="170">
        <f t="shared" si="0"/>
        <v>92362</v>
      </c>
      <c r="AE35" s="148">
        <f t="shared" si="1"/>
        <v>1.84724</v>
      </c>
      <c r="AG35" s="5"/>
      <c r="AH35" s="133">
        <v>-288282</v>
      </c>
    </row>
    <row r="36" spans="1:34" ht="20.25" customHeight="1" x14ac:dyDescent="0.25">
      <c r="A36" s="43" t="s">
        <v>67</v>
      </c>
      <c r="B36" s="140" t="s">
        <v>154</v>
      </c>
      <c r="C36" s="140" t="s">
        <v>60</v>
      </c>
      <c r="D36" s="141" t="s">
        <v>4</v>
      </c>
      <c r="E36" s="141" t="s">
        <v>256</v>
      </c>
      <c r="F36" s="155">
        <v>0.4</v>
      </c>
      <c r="G36" s="190"/>
      <c r="H36" s="146">
        <v>-4548</v>
      </c>
      <c r="I36" s="146">
        <v>10699</v>
      </c>
      <c r="J36" s="146">
        <v>1176</v>
      </c>
      <c r="K36" s="146">
        <v>-5544</v>
      </c>
      <c r="L36" s="146">
        <v>-9000</v>
      </c>
      <c r="M36" s="146">
        <v>6760</v>
      </c>
      <c r="N36" s="146">
        <v>-18536</v>
      </c>
      <c r="O36" s="146">
        <v>11336</v>
      </c>
      <c r="P36" s="146">
        <v>-7592</v>
      </c>
      <c r="Q36" s="146">
        <v>998</v>
      </c>
      <c r="R36" s="146">
        <v>-12490</v>
      </c>
      <c r="S36" s="146">
        <v>9600</v>
      </c>
      <c r="T36" s="146">
        <v>-2943</v>
      </c>
      <c r="U36" s="146">
        <v>-8567</v>
      </c>
      <c r="V36" s="146">
        <v>11787</v>
      </c>
      <c r="W36" s="146">
        <v>22601</v>
      </c>
      <c r="X36" s="146">
        <v>-10014</v>
      </c>
      <c r="Y36" s="146">
        <v>-9378</v>
      </c>
      <c r="Z36" s="146">
        <v>-18220</v>
      </c>
      <c r="AA36" s="146">
        <v>-37253</v>
      </c>
      <c r="AB36" s="146">
        <v>-37500</v>
      </c>
      <c r="AC36" s="173"/>
      <c r="AD36" s="170">
        <f t="shared" ref="AD36:AD55" si="2">SUM(H36:AB36)</f>
        <v>-106628</v>
      </c>
      <c r="AE36" s="148">
        <f t="shared" ref="AE36:AE55" si="3">IFERROR(AD36/F36*100,0)/10000000</f>
        <v>-2.6657000000000002</v>
      </c>
      <c r="AG36" s="5"/>
      <c r="AH36" s="133"/>
    </row>
    <row r="37" spans="1:34" x14ac:dyDescent="0.25">
      <c r="A37" s="43" t="s">
        <v>143</v>
      </c>
      <c r="B37" s="140" t="s">
        <v>19</v>
      </c>
      <c r="C37" s="141" t="s">
        <v>251</v>
      </c>
      <c r="D37" s="141" t="s">
        <v>256</v>
      </c>
      <c r="E37" s="141" t="s">
        <v>107</v>
      </c>
      <c r="F37" s="155">
        <v>0.5</v>
      </c>
      <c r="G37" s="190"/>
      <c r="H37" s="146">
        <v>109000</v>
      </c>
      <c r="I37" s="146">
        <v>0</v>
      </c>
      <c r="J37" s="146">
        <v>0</v>
      </c>
      <c r="K37" s="146">
        <v>0</v>
      </c>
      <c r="L37" s="146">
        <v>0</v>
      </c>
      <c r="M37" s="146">
        <v>0</v>
      </c>
      <c r="N37" s="146">
        <v>0</v>
      </c>
      <c r="O37" s="146">
        <v>5200</v>
      </c>
      <c r="P37" s="146">
        <v>0</v>
      </c>
      <c r="Q37" s="146">
        <v>73060</v>
      </c>
      <c r="R37" s="146">
        <v>0</v>
      </c>
      <c r="S37" s="146">
        <v>0</v>
      </c>
      <c r="T37" s="146">
        <v>2324</v>
      </c>
      <c r="U37" s="146">
        <v>0</v>
      </c>
      <c r="V37" s="146">
        <v>0</v>
      </c>
      <c r="W37" s="146">
        <v>0</v>
      </c>
      <c r="X37" s="146">
        <v>0</v>
      </c>
      <c r="Y37" s="146">
        <v>0</v>
      </c>
      <c r="Z37" s="146">
        <v>8000</v>
      </c>
      <c r="AA37" s="146">
        <v>47000</v>
      </c>
      <c r="AB37" s="146">
        <v>-51000</v>
      </c>
      <c r="AC37" s="173"/>
      <c r="AD37" s="170">
        <f t="shared" si="2"/>
        <v>193584</v>
      </c>
      <c r="AE37" s="148">
        <f t="shared" si="3"/>
        <v>3.87168</v>
      </c>
      <c r="AG37" s="133">
        <v>2852136</v>
      </c>
      <c r="AH37" s="133">
        <f>(AG38+AG37)/10000000*13780</f>
        <v>7463.2328420000003</v>
      </c>
    </row>
    <row r="38" spans="1:34" x14ac:dyDescent="0.25">
      <c r="A38" s="43" t="s">
        <v>144</v>
      </c>
      <c r="B38" s="140" t="s">
        <v>19</v>
      </c>
      <c r="C38" s="141" t="s">
        <v>250</v>
      </c>
      <c r="D38" s="141" t="s">
        <v>256</v>
      </c>
      <c r="E38" s="141" t="s">
        <v>256</v>
      </c>
      <c r="F38" s="155">
        <v>0.5</v>
      </c>
      <c r="G38" s="190"/>
      <c r="H38" s="146">
        <v>18000</v>
      </c>
      <c r="I38" s="146">
        <v>0</v>
      </c>
      <c r="J38" s="146">
        <v>-112551</v>
      </c>
      <c r="K38" s="146">
        <v>0</v>
      </c>
      <c r="L38" s="146">
        <v>-40000</v>
      </c>
      <c r="M38" s="146">
        <v>0</v>
      </c>
      <c r="N38" s="146">
        <v>0</v>
      </c>
      <c r="O38" s="146">
        <v>-45084</v>
      </c>
      <c r="P38" s="146">
        <v>0</v>
      </c>
      <c r="Q38" s="146">
        <v>0</v>
      </c>
      <c r="R38" s="146">
        <v>-46850</v>
      </c>
      <c r="S38" s="146">
        <v>0</v>
      </c>
      <c r="T38" s="146">
        <v>0</v>
      </c>
      <c r="U38" s="146">
        <v>0</v>
      </c>
      <c r="V38" s="146">
        <v>0</v>
      </c>
      <c r="W38" s="146">
        <v>0</v>
      </c>
      <c r="X38" s="146">
        <v>54084</v>
      </c>
      <c r="Y38" s="146">
        <v>0</v>
      </c>
      <c r="Z38" s="146">
        <v>0</v>
      </c>
      <c r="AA38" s="146">
        <v>0</v>
      </c>
      <c r="AB38" s="146">
        <v>0</v>
      </c>
      <c r="AC38" s="173"/>
      <c r="AD38" s="170">
        <f t="shared" si="2"/>
        <v>-172401</v>
      </c>
      <c r="AE38" s="148">
        <f t="shared" si="3"/>
        <v>-3.4480200000000001</v>
      </c>
      <c r="AG38" s="133">
        <v>2563853</v>
      </c>
      <c r="AH38" s="133"/>
    </row>
    <row r="39" spans="1:34" x14ac:dyDescent="0.25">
      <c r="A39" s="141" t="s">
        <v>31</v>
      </c>
      <c r="B39" s="142" t="s">
        <v>153</v>
      </c>
      <c r="C39" s="141" t="s">
        <v>222</v>
      </c>
      <c r="D39" s="141" t="s">
        <v>263</v>
      </c>
      <c r="E39" s="141" t="s">
        <v>256</v>
      </c>
      <c r="F39" s="155">
        <v>4</v>
      </c>
      <c r="G39" s="190"/>
      <c r="H39" s="146">
        <v>74000</v>
      </c>
      <c r="I39" s="146">
        <v>-40945</v>
      </c>
      <c r="J39" s="146">
        <v>-51323</v>
      </c>
      <c r="K39" s="146">
        <v>-11818</v>
      </c>
      <c r="L39" s="146">
        <v>-191000</v>
      </c>
      <c r="M39" s="146">
        <v>-50300</v>
      </c>
      <c r="N39" s="146">
        <v>-71050</v>
      </c>
      <c r="O39" s="146">
        <v>61600</v>
      </c>
      <c r="P39" s="146">
        <v>120</v>
      </c>
      <c r="Q39" s="146">
        <v>95070</v>
      </c>
      <c r="R39" s="146">
        <v>-100250</v>
      </c>
      <c r="S39" s="146">
        <v>18900</v>
      </c>
      <c r="T39" s="146">
        <v>40084</v>
      </c>
      <c r="U39" s="146">
        <v>-52019</v>
      </c>
      <c r="V39" s="146">
        <v>9724</v>
      </c>
      <c r="W39" s="146">
        <v>43900</v>
      </c>
      <c r="X39" s="146">
        <v>43340</v>
      </c>
      <c r="Y39" s="146">
        <v>28070</v>
      </c>
      <c r="Z39" s="146">
        <v>-23672</v>
      </c>
      <c r="AA39" s="146">
        <v>-16890</v>
      </c>
      <c r="AB39" s="146">
        <v>-56660</v>
      </c>
      <c r="AC39" s="173"/>
      <c r="AD39" s="170">
        <f t="shared" si="2"/>
        <v>-251119</v>
      </c>
      <c r="AE39" s="148">
        <f t="shared" si="3"/>
        <v>-0.62779750000000001</v>
      </c>
      <c r="AG39" s="133"/>
      <c r="AH39" s="133"/>
    </row>
    <row r="40" spans="1:34" x14ac:dyDescent="0.25">
      <c r="A40" s="141" t="s">
        <v>104</v>
      </c>
      <c r="B40" s="142" t="s">
        <v>105</v>
      </c>
      <c r="C40" s="141" t="s">
        <v>315</v>
      </c>
      <c r="D40" s="141" t="s">
        <v>106</v>
      </c>
      <c r="E40" s="141" t="s">
        <v>106</v>
      </c>
      <c r="F40" s="155">
        <v>1</v>
      </c>
      <c r="G40" s="190"/>
      <c r="H40" s="146">
        <v>-49851</v>
      </c>
      <c r="I40" s="146">
        <v>37658</v>
      </c>
      <c r="J40" s="146">
        <v>-47501</v>
      </c>
      <c r="K40" s="146">
        <v>14484</v>
      </c>
      <c r="L40" s="146">
        <v>-7520</v>
      </c>
      <c r="M40" s="146">
        <v>-108233</v>
      </c>
      <c r="N40" s="146">
        <v>80881</v>
      </c>
      <c r="O40" s="146">
        <v>-64000</v>
      </c>
      <c r="P40" s="146">
        <v>-36338</v>
      </c>
      <c r="Q40" s="146">
        <v>133472</v>
      </c>
      <c r="R40" s="146">
        <v>83558</v>
      </c>
      <c r="S40" s="146">
        <v>28204</v>
      </c>
      <c r="T40" s="146">
        <v>23590</v>
      </c>
      <c r="U40" s="146">
        <v>6800</v>
      </c>
      <c r="V40" s="146">
        <v>-3148</v>
      </c>
      <c r="W40" s="146">
        <v>30375</v>
      </c>
      <c r="X40" s="146">
        <v>-62056</v>
      </c>
      <c r="Y40" s="146">
        <v>20771</v>
      </c>
      <c r="Z40" s="146">
        <v>-24357</v>
      </c>
      <c r="AA40" s="146">
        <v>-26760</v>
      </c>
      <c r="AB40" s="146">
        <v>38852</v>
      </c>
      <c r="AC40" s="173"/>
      <c r="AD40" s="170">
        <f t="shared" si="2"/>
        <v>68881</v>
      </c>
      <c r="AE40" s="148">
        <f t="shared" si="3"/>
        <v>0.68881000000000003</v>
      </c>
      <c r="AG40" s="133"/>
      <c r="AH40" s="133"/>
    </row>
    <row r="41" spans="1:34" x14ac:dyDescent="0.25">
      <c r="A41" s="141" t="s">
        <v>229</v>
      </c>
      <c r="B41" s="142" t="s">
        <v>105</v>
      </c>
      <c r="C41" s="141" t="s">
        <v>218</v>
      </c>
      <c r="D41" s="141" t="s">
        <v>264</v>
      </c>
      <c r="E41" s="141" t="s">
        <v>256</v>
      </c>
      <c r="F41" s="155">
        <v>0.5</v>
      </c>
      <c r="G41" s="190"/>
      <c r="H41" s="146">
        <v>12202</v>
      </c>
      <c r="I41" s="146">
        <v>183</v>
      </c>
      <c r="J41" s="146">
        <v>-48870</v>
      </c>
      <c r="K41" s="146">
        <v>8266</v>
      </c>
      <c r="L41" s="146">
        <v>-5900</v>
      </c>
      <c r="M41" s="146">
        <v>1933</v>
      </c>
      <c r="N41" s="146">
        <v>1612</v>
      </c>
      <c r="O41" s="146">
        <v>-21882</v>
      </c>
      <c r="P41" s="146">
        <v>-36109</v>
      </c>
      <c r="Q41" s="146">
        <v>-54575</v>
      </c>
      <c r="R41" s="146">
        <v>-8008</v>
      </c>
      <c r="S41" s="146">
        <v>-5220</v>
      </c>
      <c r="T41" s="146">
        <v>0</v>
      </c>
      <c r="U41" s="146">
        <v>976</v>
      </c>
      <c r="V41" s="146">
        <v>7631</v>
      </c>
      <c r="W41" s="146">
        <v>-17524</v>
      </c>
      <c r="X41" s="146">
        <v>5227</v>
      </c>
      <c r="Y41" s="146">
        <v>2013</v>
      </c>
      <c r="Z41" s="146">
        <v>-72383</v>
      </c>
      <c r="AA41" s="146">
        <v>-2661</v>
      </c>
      <c r="AB41" s="146">
        <v>-10500</v>
      </c>
      <c r="AC41" s="173"/>
      <c r="AD41" s="170">
        <f t="shared" si="2"/>
        <v>-243589</v>
      </c>
      <c r="AE41" s="148">
        <f t="shared" si="3"/>
        <v>-4.8717800000000002</v>
      </c>
      <c r="AG41" s="133"/>
      <c r="AH41" s="192">
        <f>AH35-AH37</f>
        <v>-295745.23284200003</v>
      </c>
    </row>
    <row r="42" spans="1:34" x14ac:dyDescent="0.25">
      <c r="A42" s="141" t="s">
        <v>52</v>
      </c>
      <c r="B42" s="142" t="s">
        <v>115</v>
      </c>
      <c r="C42" s="141" t="s">
        <v>219</v>
      </c>
      <c r="D42" s="141" t="s">
        <v>265</v>
      </c>
      <c r="E42" s="141" t="s">
        <v>256</v>
      </c>
      <c r="F42" s="155">
        <v>3</v>
      </c>
      <c r="G42" s="190"/>
      <c r="H42" s="146">
        <v>45000</v>
      </c>
      <c r="I42" s="146">
        <v>-80684</v>
      </c>
      <c r="J42" s="146">
        <v>-98835</v>
      </c>
      <c r="K42" s="146">
        <v>17155</v>
      </c>
      <c r="L42" s="146">
        <v>8500</v>
      </c>
      <c r="M42" s="146">
        <v>47325</v>
      </c>
      <c r="N42" s="146">
        <v>55040</v>
      </c>
      <c r="O42" s="146">
        <v>60256</v>
      </c>
      <c r="P42" s="146">
        <v>41703</v>
      </c>
      <c r="Q42" s="146">
        <v>-95050</v>
      </c>
      <c r="R42" s="146">
        <v>-8253</v>
      </c>
      <c r="S42" s="146">
        <v>62716</v>
      </c>
      <c r="T42" s="146">
        <v>50135</v>
      </c>
      <c r="U42" s="146">
        <v>3519</v>
      </c>
      <c r="V42" s="146">
        <v>52487</v>
      </c>
      <c r="W42" s="146">
        <v>65485</v>
      </c>
      <c r="X42" s="146">
        <v>-115360</v>
      </c>
      <c r="Y42" s="146">
        <v>30000</v>
      </c>
      <c r="Z42" s="146">
        <v>-91142</v>
      </c>
      <c r="AA42" s="146">
        <v>-19135</v>
      </c>
      <c r="AB42" s="146">
        <v>0</v>
      </c>
      <c r="AC42" s="173"/>
      <c r="AD42" s="170">
        <f t="shared" si="2"/>
        <v>30862</v>
      </c>
      <c r="AE42" s="148">
        <f t="shared" si="3"/>
        <v>0.10287333333333333</v>
      </c>
      <c r="AG42" s="133"/>
    </row>
    <row r="43" spans="1:34" ht="30" x14ac:dyDescent="0.25">
      <c r="A43" s="141" t="s">
        <v>45</v>
      </c>
      <c r="B43" s="142" t="s">
        <v>98</v>
      </c>
      <c r="C43" s="141" t="s">
        <v>220</v>
      </c>
      <c r="D43" s="141" t="s">
        <v>266</v>
      </c>
      <c r="E43" s="141" t="s">
        <v>256</v>
      </c>
      <c r="F43" s="155">
        <v>3</v>
      </c>
      <c r="G43" s="190"/>
      <c r="H43" s="146">
        <v>22000</v>
      </c>
      <c r="I43" s="146">
        <v>59000</v>
      </c>
      <c r="J43" s="146">
        <v>-92900</v>
      </c>
      <c r="K43" s="146">
        <v>9000</v>
      </c>
      <c r="L43" s="146">
        <v>-62000</v>
      </c>
      <c r="M43" s="146">
        <v>-9126</v>
      </c>
      <c r="N43" s="146">
        <v>62700</v>
      </c>
      <c r="O43" s="146">
        <v>55850</v>
      </c>
      <c r="P43" s="146">
        <v>-16200</v>
      </c>
      <c r="Q43" s="146">
        <v>-58400</v>
      </c>
      <c r="R43" s="146">
        <v>-30300</v>
      </c>
      <c r="S43" s="146">
        <v>54804</v>
      </c>
      <c r="T43" s="146">
        <v>54570</v>
      </c>
      <c r="U43" s="146">
        <v>-12500</v>
      </c>
      <c r="V43" s="146">
        <v>9500</v>
      </c>
      <c r="W43" s="146">
        <v>0</v>
      </c>
      <c r="X43" s="146">
        <v>28700</v>
      </c>
      <c r="Y43" s="146">
        <v>69200</v>
      </c>
      <c r="Z43" s="146">
        <v>-31000</v>
      </c>
      <c r="AA43" s="146">
        <v>-17800</v>
      </c>
      <c r="AB43" s="146">
        <v>12700</v>
      </c>
      <c r="AC43" s="173"/>
      <c r="AD43" s="170">
        <f t="shared" si="2"/>
        <v>107798</v>
      </c>
      <c r="AE43" s="148">
        <f t="shared" si="3"/>
        <v>0.35932666666666663</v>
      </c>
    </row>
    <row r="44" spans="1:34" ht="30" x14ac:dyDescent="0.25">
      <c r="A44" s="141" t="s">
        <v>193</v>
      </c>
      <c r="B44" s="142" t="s">
        <v>186</v>
      </c>
      <c r="C44" s="141" t="s">
        <v>221</v>
      </c>
      <c r="D44" s="141" t="s">
        <v>266</v>
      </c>
      <c r="E44" s="141" t="s">
        <v>256</v>
      </c>
      <c r="F44" s="155">
        <v>3</v>
      </c>
      <c r="G44" s="190"/>
      <c r="H44" s="146">
        <v>22000</v>
      </c>
      <c r="I44" s="146">
        <v>59200</v>
      </c>
      <c r="J44" s="146">
        <v>-93900</v>
      </c>
      <c r="K44" s="146">
        <v>9500</v>
      </c>
      <c r="L44" s="146">
        <v>-61500</v>
      </c>
      <c r="M44" s="146">
        <v>-9000</v>
      </c>
      <c r="N44" s="146">
        <v>62700</v>
      </c>
      <c r="O44" s="146">
        <v>56000</v>
      </c>
      <c r="P44" s="146">
        <v>-16300</v>
      </c>
      <c r="Q44" s="146">
        <v>-56400</v>
      </c>
      <c r="R44" s="146">
        <v>-30450</v>
      </c>
      <c r="S44" s="146">
        <v>55000</v>
      </c>
      <c r="T44" s="146">
        <v>54460</v>
      </c>
      <c r="U44" s="146">
        <v>-12500</v>
      </c>
      <c r="V44" s="146">
        <v>9500</v>
      </c>
      <c r="W44" s="146">
        <v>0</v>
      </c>
      <c r="X44" s="146">
        <v>28300</v>
      </c>
      <c r="Y44" s="146">
        <v>69000</v>
      </c>
      <c r="Z44" s="146">
        <v>-30900</v>
      </c>
      <c r="AA44" s="146">
        <v>17800</v>
      </c>
      <c r="AB44" s="146">
        <v>12000</v>
      </c>
      <c r="AC44" s="173"/>
      <c r="AD44" s="170">
        <f t="shared" si="2"/>
        <v>144510</v>
      </c>
      <c r="AE44" s="148">
        <f t="shared" si="3"/>
        <v>0.48170000000000002</v>
      </c>
    </row>
    <row r="45" spans="1:34" x14ac:dyDescent="0.25">
      <c r="A45" s="141" t="s">
        <v>132</v>
      </c>
      <c r="B45" s="142" t="s">
        <v>129</v>
      </c>
      <c r="C45" s="141" t="s">
        <v>17</v>
      </c>
      <c r="D45" s="141" t="s">
        <v>267</v>
      </c>
      <c r="E45" s="141" t="s">
        <v>256</v>
      </c>
      <c r="F45" s="155">
        <v>1</v>
      </c>
      <c r="G45" s="190"/>
      <c r="H45" s="146">
        <v>34462</v>
      </c>
      <c r="I45" s="146">
        <v>3690</v>
      </c>
      <c r="J45" s="146">
        <v>-4324</v>
      </c>
      <c r="K45" s="146">
        <v>0</v>
      </c>
      <c r="L45" s="146">
        <v>0</v>
      </c>
      <c r="M45" s="146">
        <v>7511</v>
      </c>
      <c r="N45" s="146">
        <v>-23660</v>
      </c>
      <c r="O45" s="146">
        <v>21513</v>
      </c>
      <c r="P45" s="146">
        <v>1270</v>
      </c>
      <c r="Q45" s="146">
        <v>467</v>
      </c>
      <c r="R45" s="146">
        <v>-66376</v>
      </c>
      <c r="S45" s="146">
        <v>2445</v>
      </c>
      <c r="T45" s="146">
        <v>15492</v>
      </c>
      <c r="U45" s="146">
        <v>4041</v>
      </c>
      <c r="V45" s="146">
        <v>-100</v>
      </c>
      <c r="W45" s="146">
        <v>42353</v>
      </c>
      <c r="X45" s="146">
        <v>250</v>
      </c>
      <c r="Y45" s="146">
        <v>-11186</v>
      </c>
      <c r="Z45" s="146">
        <v>-18482</v>
      </c>
      <c r="AA45" s="146">
        <v>2738</v>
      </c>
      <c r="AB45" s="146">
        <v>-25435</v>
      </c>
      <c r="AC45" s="173"/>
      <c r="AD45" s="170">
        <f t="shared" si="2"/>
        <v>-13331</v>
      </c>
      <c r="AE45" s="148">
        <f t="shared" si="3"/>
        <v>-0.13331000000000001</v>
      </c>
    </row>
    <row r="46" spans="1:34" x14ac:dyDescent="0.25">
      <c r="A46" s="141" t="s">
        <v>48</v>
      </c>
      <c r="B46" s="140" t="s">
        <v>95</v>
      </c>
      <c r="C46" s="141" t="s">
        <v>228</v>
      </c>
      <c r="D46" s="141" t="s">
        <v>107</v>
      </c>
      <c r="E46" s="141" t="s">
        <v>107</v>
      </c>
      <c r="F46" s="155">
        <v>1</v>
      </c>
      <c r="G46" s="190"/>
      <c r="H46" s="146">
        <v>-68232</v>
      </c>
      <c r="I46" s="146">
        <v>31261</v>
      </c>
      <c r="J46" s="146">
        <v>-64423</v>
      </c>
      <c r="K46" s="146">
        <v>17667</v>
      </c>
      <c r="L46" s="146">
        <v>5432</v>
      </c>
      <c r="M46" s="146">
        <v>-81085</v>
      </c>
      <c r="N46" s="146">
        <v>100905</v>
      </c>
      <c r="O46" s="146">
        <v>-57480</v>
      </c>
      <c r="P46" s="146">
        <v>-65778</v>
      </c>
      <c r="Q46" s="146">
        <v>125628</v>
      </c>
      <c r="R46" s="146">
        <v>45127</v>
      </c>
      <c r="S46" s="146">
        <v>7083</v>
      </c>
      <c r="T46" s="146">
        <v>23010</v>
      </c>
      <c r="U46" s="146">
        <v>14543</v>
      </c>
      <c r="V46" s="146">
        <v>78152</v>
      </c>
      <c r="W46" s="146">
        <v>-3464</v>
      </c>
      <c r="X46" s="146">
        <v>-31812</v>
      </c>
      <c r="Y46" s="146">
        <v>48626</v>
      </c>
      <c r="Z46" s="146">
        <v>-25011</v>
      </c>
      <c r="AA46" s="146">
        <v>18100</v>
      </c>
      <c r="AB46" s="146">
        <v>75407</v>
      </c>
      <c r="AC46" s="173"/>
      <c r="AD46" s="170">
        <f t="shared" si="2"/>
        <v>193656</v>
      </c>
      <c r="AE46" s="148">
        <f t="shared" si="3"/>
        <v>1.9365600000000001</v>
      </c>
    </row>
    <row r="47" spans="1:34" x14ac:dyDescent="0.25">
      <c r="A47" s="142" t="s">
        <v>168</v>
      </c>
      <c r="B47" s="140" t="s">
        <v>169</v>
      </c>
      <c r="C47" s="59" t="s">
        <v>252</v>
      </c>
      <c r="D47" s="162" t="s">
        <v>253</v>
      </c>
      <c r="E47" s="162" t="s">
        <v>253</v>
      </c>
      <c r="F47" s="114">
        <v>4</v>
      </c>
      <c r="G47" s="190"/>
      <c r="H47" s="146">
        <v>0</v>
      </c>
      <c r="I47" s="146">
        <v>0</v>
      </c>
      <c r="J47" s="146">
        <v>-25000</v>
      </c>
      <c r="K47" s="146">
        <v>-218000</v>
      </c>
      <c r="L47" s="146">
        <v>0</v>
      </c>
      <c r="M47" s="146">
        <v>0</v>
      </c>
      <c r="N47" s="146">
        <v>0</v>
      </c>
      <c r="O47" s="146">
        <v>62000</v>
      </c>
      <c r="P47" s="146">
        <v>182000</v>
      </c>
      <c r="Q47" s="146">
        <v>0</v>
      </c>
      <c r="R47" s="146">
        <v>0</v>
      </c>
      <c r="S47" s="146">
        <v>0</v>
      </c>
      <c r="T47" s="146">
        <v>-1500</v>
      </c>
      <c r="U47" s="146">
        <v>68000</v>
      </c>
      <c r="V47" s="146">
        <v>0</v>
      </c>
      <c r="W47" s="146">
        <v>0</v>
      </c>
      <c r="X47" s="146">
        <v>0</v>
      </c>
      <c r="Y47" s="146">
        <v>-3000</v>
      </c>
      <c r="Z47" s="146">
        <v>-85000</v>
      </c>
      <c r="AA47" s="146">
        <v>0</v>
      </c>
      <c r="AB47" s="146">
        <v>0</v>
      </c>
      <c r="AC47" s="173"/>
      <c r="AD47" s="170">
        <f t="shared" si="2"/>
        <v>-20500</v>
      </c>
      <c r="AE47" s="148">
        <f t="shared" si="3"/>
        <v>-5.1249999999999997E-2</v>
      </c>
    </row>
    <row r="48" spans="1:34" x14ac:dyDescent="0.25">
      <c r="A48" s="142" t="s">
        <v>201</v>
      </c>
      <c r="B48" s="140" t="s">
        <v>169</v>
      </c>
      <c r="C48" s="59" t="s">
        <v>227</v>
      </c>
      <c r="D48" s="162" t="s">
        <v>254</v>
      </c>
      <c r="E48" s="162" t="s">
        <v>256</v>
      </c>
      <c r="F48" s="114">
        <v>0.5</v>
      </c>
      <c r="G48" s="190"/>
      <c r="H48" s="146">
        <v>0</v>
      </c>
      <c r="I48" s="146">
        <v>0</v>
      </c>
      <c r="J48" s="146">
        <v>0</v>
      </c>
      <c r="K48" s="146">
        <v>0</v>
      </c>
      <c r="L48" s="146">
        <v>0</v>
      </c>
      <c r="M48" s="146">
        <v>0</v>
      </c>
      <c r="N48" s="146">
        <v>0</v>
      </c>
      <c r="O48" s="146">
        <v>0</v>
      </c>
      <c r="P48" s="146">
        <v>0</v>
      </c>
      <c r="Q48" s="146">
        <v>0</v>
      </c>
      <c r="R48" s="146">
        <v>0</v>
      </c>
      <c r="S48" s="146">
        <v>0</v>
      </c>
      <c r="T48" s="146">
        <v>0</v>
      </c>
      <c r="U48" s="146">
        <v>0</v>
      </c>
      <c r="V48" s="146">
        <v>0</v>
      </c>
      <c r="W48" s="146">
        <v>0</v>
      </c>
      <c r="X48" s="146">
        <v>0</v>
      </c>
      <c r="Y48" s="146">
        <v>0</v>
      </c>
      <c r="Z48" s="146">
        <v>0</v>
      </c>
      <c r="AA48" s="146">
        <v>0</v>
      </c>
      <c r="AB48" s="146">
        <v>0</v>
      </c>
      <c r="AC48" s="173"/>
      <c r="AD48" s="170">
        <f t="shared" si="2"/>
        <v>0</v>
      </c>
      <c r="AE48" s="148">
        <f t="shared" si="3"/>
        <v>0</v>
      </c>
    </row>
    <row r="49" spans="1:34" x14ac:dyDescent="0.25">
      <c r="A49" s="142" t="s">
        <v>202</v>
      </c>
      <c r="B49" s="140" t="s">
        <v>169</v>
      </c>
      <c r="C49" s="59" t="s">
        <v>252</v>
      </c>
      <c r="D49" s="162" t="s">
        <v>116</v>
      </c>
      <c r="E49" s="162" t="s">
        <v>256</v>
      </c>
      <c r="F49" s="114">
        <v>4</v>
      </c>
      <c r="G49" s="190"/>
      <c r="H49" s="146">
        <v>0</v>
      </c>
      <c r="I49" s="146">
        <v>-128000</v>
      </c>
      <c r="J49" s="146">
        <v>0</v>
      </c>
      <c r="K49" s="146">
        <v>0</v>
      </c>
      <c r="L49" s="146">
        <v>0</v>
      </c>
      <c r="M49" s="146">
        <v>26000</v>
      </c>
      <c r="N49" s="146">
        <v>170000</v>
      </c>
      <c r="O49" s="146">
        <v>0</v>
      </c>
      <c r="P49" s="146">
        <v>0</v>
      </c>
      <c r="Q49" s="146">
        <v>28000</v>
      </c>
      <c r="R49" s="146">
        <v>41500</v>
      </c>
      <c r="S49" s="146">
        <v>197500</v>
      </c>
      <c r="T49" s="146">
        <v>0</v>
      </c>
      <c r="U49" s="146">
        <v>0</v>
      </c>
      <c r="V49" s="146">
        <v>-200</v>
      </c>
      <c r="W49" s="146">
        <v>37000</v>
      </c>
      <c r="X49" s="146">
        <v>-42000</v>
      </c>
      <c r="Y49" s="146">
        <v>0</v>
      </c>
      <c r="Z49" s="146">
        <v>0</v>
      </c>
      <c r="AA49" s="146">
        <v>-17800</v>
      </c>
      <c r="AB49" s="146">
        <v>-85000</v>
      </c>
      <c r="AC49" s="173"/>
      <c r="AD49" s="170">
        <f t="shared" si="2"/>
        <v>227000</v>
      </c>
      <c r="AE49" s="148">
        <f t="shared" si="3"/>
        <v>0.5675</v>
      </c>
    </row>
    <row r="50" spans="1:34" x14ac:dyDescent="0.25">
      <c r="A50" s="142" t="s">
        <v>33</v>
      </c>
      <c r="B50" s="140" t="s">
        <v>14</v>
      </c>
      <c r="C50" s="142" t="s">
        <v>13</v>
      </c>
      <c r="D50" s="140" t="s">
        <v>14</v>
      </c>
      <c r="E50" s="140" t="s">
        <v>256</v>
      </c>
      <c r="F50" s="118">
        <v>3</v>
      </c>
      <c r="G50" s="196"/>
      <c r="H50" s="146">
        <v>88867</v>
      </c>
      <c r="I50" s="146">
        <v>-221551</v>
      </c>
      <c r="J50" s="146">
        <v>-57212</v>
      </c>
      <c r="K50" s="146">
        <v>-110596</v>
      </c>
      <c r="L50" s="146">
        <v>0</v>
      </c>
      <c r="M50" s="146">
        <v>73055</v>
      </c>
      <c r="N50" s="146">
        <v>-185060</v>
      </c>
      <c r="O50" s="146">
        <v>0</v>
      </c>
      <c r="P50" s="146">
        <v>73195</v>
      </c>
      <c r="Q50" s="146">
        <v>0</v>
      </c>
      <c r="R50" s="146">
        <v>-35624</v>
      </c>
      <c r="S50" s="146">
        <v>-32314</v>
      </c>
      <c r="T50" s="146">
        <v>14546</v>
      </c>
      <c r="U50" s="146">
        <v>-75994</v>
      </c>
      <c r="V50" s="146">
        <v>52183</v>
      </c>
      <c r="W50" s="146">
        <v>66375</v>
      </c>
      <c r="X50" s="146">
        <v>135214</v>
      </c>
      <c r="Y50" s="146">
        <v>80697</v>
      </c>
      <c r="Z50" s="146">
        <v>-38519</v>
      </c>
      <c r="AA50" s="146">
        <v>7966</v>
      </c>
      <c r="AB50" s="146">
        <v>-333858</v>
      </c>
      <c r="AC50" s="173"/>
      <c r="AD50" s="170">
        <f t="shared" si="2"/>
        <v>-498630</v>
      </c>
      <c r="AE50" s="148">
        <f t="shared" si="3"/>
        <v>-1.6620999999999999</v>
      </c>
    </row>
    <row r="51" spans="1:34" x14ac:dyDescent="0.25">
      <c r="A51" s="59" t="s">
        <v>197</v>
      </c>
      <c r="B51" s="62" t="s">
        <v>195</v>
      </c>
      <c r="C51" s="59" t="s">
        <v>196</v>
      </c>
      <c r="D51" s="141" t="s">
        <v>268</v>
      </c>
      <c r="E51" s="162" t="s">
        <v>256</v>
      </c>
      <c r="F51" s="114">
        <v>0.5</v>
      </c>
      <c r="G51" s="23"/>
      <c r="H51" s="150">
        <v>-2542</v>
      </c>
      <c r="I51" s="150">
        <v>-10068</v>
      </c>
      <c r="J51" s="150">
        <v>-9618</v>
      </c>
      <c r="K51" s="150">
        <v>1722</v>
      </c>
      <c r="L51" s="150">
        <v>-1800</v>
      </c>
      <c r="M51" s="150">
        <v>-8654</v>
      </c>
      <c r="N51" s="150">
        <v>22860</v>
      </c>
      <c r="O51" s="150">
        <v>5231</v>
      </c>
      <c r="P51" s="150">
        <v>-3328</v>
      </c>
      <c r="Q51" s="150">
        <v>-1512</v>
      </c>
      <c r="R51" s="150">
        <v>-9994</v>
      </c>
      <c r="S51" s="150">
        <v>-7150</v>
      </c>
      <c r="T51" s="150">
        <v>7056</v>
      </c>
      <c r="U51" s="150">
        <v>-5209</v>
      </c>
      <c r="V51" s="150">
        <v>448</v>
      </c>
      <c r="W51" s="150">
        <v>324</v>
      </c>
      <c r="X51" s="150">
        <v>2461</v>
      </c>
      <c r="Y51" s="150">
        <v>-5266</v>
      </c>
      <c r="Z51" s="150">
        <v>-2777</v>
      </c>
      <c r="AA51" s="150">
        <v>2063</v>
      </c>
      <c r="AB51" s="150">
        <v>-11039</v>
      </c>
      <c r="AC51" s="173"/>
      <c r="AD51" s="170">
        <f t="shared" si="2"/>
        <v>-36792</v>
      </c>
      <c r="AE51" s="148">
        <f t="shared" si="3"/>
        <v>-0.73584000000000005</v>
      </c>
    </row>
    <row r="52" spans="1:34" x14ac:dyDescent="0.25">
      <c r="A52" s="59" t="s">
        <v>213</v>
      </c>
      <c r="B52" s="62" t="s">
        <v>209</v>
      </c>
      <c r="C52" s="59" t="s">
        <v>210</v>
      </c>
      <c r="D52" s="62" t="s">
        <v>209</v>
      </c>
      <c r="E52" s="62" t="s">
        <v>256</v>
      </c>
      <c r="F52" s="114">
        <v>4</v>
      </c>
      <c r="G52" s="23"/>
      <c r="H52" s="150">
        <v>0</v>
      </c>
      <c r="I52" s="150">
        <v>-214055</v>
      </c>
      <c r="J52" s="150">
        <v>0</v>
      </c>
      <c r="K52" s="150">
        <v>-94010</v>
      </c>
      <c r="L52" s="150">
        <v>0</v>
      </c>
      <c r="M52" s="150">
        <v>0</v>
      </c>
      <c r="N52" s="150">
        <v>216231</v>
      </c>
      <c r="O52" s="150">
        <v>0</v>
      </c>
      <c r="P52" s="150">
        <v>-17865</v>
      </c>
      <c r="Q52" s="150">
        <v>0</v>
      </c>
      <c r="R52" s="150">
        <v>0</v>
      </c>
      <c r="S52" s="150">
        <v>98078</v>
      </c>
      <c r="T52" s="150">
        <v>0</v>
      </c>
      <c r="U52" s="150">
        <v>126913</v>
      </c>
      <c r="V52" s="150">
        <v>0</v>
      </c>
      <c r="W52" s="150">
        <v>0</v>
      </c>
      <c r="X52" s="150">
        <v>-102691</v>
      </c>
      <c r="Y52" s="150">
        <v>0</v>
      </c>
      <c r="Z52" s="150">
        <v>-42587</v>
      </c>
      <c r="AA52" s="150">
        <v>0</v>
      </c>
      <c r="AB52" s="150">
        <v>-171607</v>
      </c>
      <c r="AC52" s="173"/>
      <c r="AD52" s="170">
        <f t="shared" si="2"/>
        <v>-201593</v>
      </c>
      <c r="AE52" s="148">
        <f t="shared" si="3"/>
        <v>-0.5039825</v>
      </c>
    </row>
    <row r="53" spans="1:34" x14ac:dyDescent="0.25">
      <c r="A53" s="59" t="s">
        <v>214</v>
      </c>
      <c r="B53" s="62" t="s">
        <v>209</v>
      </c>
      <c r="C53" s="59" t="s">
        <v>211</v>
      </c>
      <c r="D53" s="62" t="s">
        <v>209</v>
      </c>
      <c r="E53" s="62" t="s">
        <v>256</v>
      </c>
      <c r="F53" s="114">
        <v>1</v>
      </c>
      <c r="G53" s="23"/>
      <c r="H53" s="150">
        <v>0</v>
      </c>
      <c r="I53" s="150">
        <v>-98374</v>
      </c>
      <c r="J53" s="150">
        <v>0</v>
      </c>
      <c r="K53" s="150">
        <v>-64659</v>
      </c>
      <c r="L53" s="150">
        <v>0</v>
      </c>
      <c r="M53" s="150">
        <v>0</v>
      </c>
      <c r="N53" s="150">
        <v>86500</v>
      </c>
      <c r="O53" s="150">
        <v>0</v>
      </c>
      <c r="P53" s="150">
        <v>51956</v>
      </c>
      <c r="Q53" s="150">
        <v>0</v>
      </c>
      <c r="R53" s="150">
        <v>0</v>
      </c>
      <c r="S53" s="150">
        <v>-55281</v>
      </c>
      <c r="T53" s="150">
        <v>0</v>
      </c>
      <c r="U53" s="150">
        <v>-44864</v>
      </c>
      <c r="V53" s="150">
        <v>0</v>
      </c>
      <c r="W53" s="150">
        <v>0</v>
      </c>
      <c r="X53" s="150">
        <v>60000</v>
      </c>
      <c r="Y53" s="150">
        <v>0</v>
      </c>
      <c r="Z53" s="150">
        <v>109550</v>
      </c>
      <c r="AA53" s="150">
        <v>0</v>
      </c>
      <c r="AB53" s="150">
        <v>-15400</v>
      </c>
      <c r="AC53" s="173"/>
      <c r="AD53" s="170">
        <f t="shared" si="2"/>
        <v>29428</v>
      </c>
      <c r="AE53" s="148">
        <f t="shared" si="3"/>
        <v>0.29427999999999999</v>
      </c>
    </row>
    <row r="54" spans="1:34" x14ac:dyDescent="0.25">
      <c r="A54" s="59" t="s">
        <v>49</v>
      </c>
      <c r="B54" s="59" t="s">
        <v>99</v>
      </c>
      <c r="C54" s="59" t="s">
        <v>100</v>
      </c>
      <c r="D54" s="59" t="s">
        <v>99</v>
      </c>
      <c r="E54" s="59" t="s">
        <v>256</v>
      </c>
      <c r="F54" s="114">
        <v>3</v>
      </c>
      <c r="G54" s="23"/>
      <c r="H54" s="150">
        <v>0</v>
      </c>
      <c r="I54" s="150">
        <v>-190529</v>
      </c>
      <c r="J54" s="150">
        <v>0</v>
      </c>
      <c r="K54" s="150">
        <v>-21450</v>
      </c>
      <c r="L54" s="150">
        <v>0</v>
      </c>
      <c r="M54" s="150">
        <v>0</v>
      </c>
      <c r="N54" s="150">
        <v>20000</v>
      </c>
      <c r="O54" s="150">
        <v>0</v>
      </c>
      <c r="P54" s="150">
        <v>-66250</v>
      </c>
      <c r="Q54" s="150">
        <v>0</v>
      </c>
      <c r="R54" s="150">
        <v>0</v>
      </c>
      <c r="S54" s="150">
        <v>223910</v>
      </c>
      <c r="T54" s="150">
        <v>0</v>
      </c>
      <c r="U54" s="150">
        <v>112188</v>
      </c>
      <c r="V54" s="150">
        <v>0</v>
      </c>
      <c r="W54" s="150">
        <v>0</v>
      </c>
      <c r="X54" s="150">
        <v>-53616</v>
      </c>
      <c r="Y54" s="150">
        <v>0</v>
      </c>
      <c r="Z54" s="150">
        <v>26093</v>
      </c>
      <c r="AA54" s="150">
        <v>0</v>
      </c>
      <c r="AB54" s="150">
        <v>-295745</v>
      </c>
      <c r="AC54" s="173"/>
      <c r="AD54" s="170">
        <f t="shared" si="2"/>
        <v>-245399</v>
      </c>
      <c r="AE54" s="148">
        <f t="shared" si="3"/>
        <v>-0.81799666666666671</v>
      </c>
    </row>
    <row r="55" spans="1:34" ht="30" x14ac:dyDescent="0.25">
      <c r="A55" s="59" t="s">
        <v>41</v>
      </c>
      <c r="B55" s="59" t="s">
        <v>86</v>
      </c>
      <c r="C55" s="59" t="s">
        <v>242</v>
      </c>
      <c r="D55" s="59" t="s">
        <v>86</v>
      </c>
      <c r="E55" s="59" t="s">
        <v>256</v>
      </c>
      <c r="F55" s="114">
        <v>2.5</v>
      </c>
      <c r="G55" s="23"/>
      <c r="H55" s="150">
        <v>-5500</v>
      </c>
      <c r="I55" s="150">
        <v>500</v>
      </c>
      <c r="J55" s="150">
        <v>12722</v>
      </c>
      <c r="K55" s="150">
        <v>-4800</v>
      </c>
      <c r="L55" s="150">
        <v>0</v>
      </c>
      <c r="M55" s="150">
        <v>10278</v>
      </c>
      <c r="N55" s="150">
        <v>9969</v>
      </c>
      <c r="O55" s="150">
        <v>9999</v>
      </c>
      <c r="P55" s="150">
        <v>-21427</v>
      </c>
      <c r="Q55" s="150">
        <v>-11533</v>
      </c>
      <c r="R55" s="150">
        <v>-42430</v>
      </c>
      <c r="S55" s="150">
        <v>-2253</v>
      </c>
      <c r="T55" s="150">
        <v>300</v>
      </c>
      <c r="U55" s="150">
        <v>-18517</v>
      </c>
      <c r="V55" s="150">
        <v>-33455</v>
      </c>
      <c r="W55" s="150">
        <v>7885</v>
      </c>
      <c r="X55" s="150">
        <v>-20914</v>
      </c>
      <c r="Y55" s="150">
        <v>-51155</v>
      </c>
      <c r="Z55" s="150">
        <v>10353</v>
      </c>
      <c r="AA55" s="150">
        <v>-19956</v>
      </c>
      <c r="AB55" s="150">
        <v>-14380</v>
      </c>
      <c r="AC55" s="173"/>
      <c r="AD55" s="170">
        <f t="shared" si="2"/>
        <v>-184314</v>
      </c>
      <c r="AE55" s="148">
        <f t="shared" si="3"/>
        <v>-0.73725600000000013</v>
      </c>
    </row>
    <row r="56" spans="1:34" ht="15.75" thickBot="1" x14ac:dyDescent="0.3">
      <c r="A56" s="20"/>
      <c r="B56" s="21"/>
      <c r="C56" s="20"/>
      <c r="D56" s="22"/>
      <c r="E56" s="22"/>
      <c r="F56" s="114"/>
      <c r="G56" s="23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73"/>
      <c r="AD56" s="170"/>
      <c r="AE56" s="148"/>
    </row>
    <row r="57" spans="1:34" ht="15.75" thickBot="1" x14ac:dyDescent="0.3">
      <c r="A57" s="24"/>
      <c r="B57" s="25"/>
      <c r="C57" s="26"/>
      <c r="D57" s="24"/>
      <c r="E57" s="24"/>
      <c r="F57" s="115"/>
      <c r="G57" s="16"/>
      <c r="H57" s="168">
        <f t="shared" ref="H57:AB57" si="4">SUM(H4:H55)</f>
        <v>949903</v>
      </c>
      <c r="I57" s="168">
        <f t="shared" si="4"/>
        <v>-3410653</v>
      </c>
      <c r="J57" s="168">
        <f t="shared" si="4"/>
        <v>-2303384</v>
      </c>
      <c r="K57" s="168">
        <f t="shared" si="4"/>
        <v>1511651</v>
      </c>
      <c r="L57" s="168">
        <f t="shared" si="4"/>
        <v>-666655</v>
      </c>
      <c r="M57" s="168">
        <f t="shared" si="4"/>
        <v>-683124</v>
      </c>
      <c r="N57" s="168">
        <f t="shared" si="4"/>
        <v>2997019</v>
      </c>
      <c r="O57" s="168">
        <f t="shared" si="4"/>
        <v>1536805</v>
      </c>
      <c r="P57" s="168">
        <f t="shared" si="4"/>
        <v>-1734468</v>
      </c>
      <c r="Q57" s="168">
        <f t="shared" si="4"/>
        <v>947738</v>
      </c>
      <c r="R57" s="168">
        <f t="shared" si="4"/>
        <v>141723</v>
      </c>
      <c r="S57" s="168">
        <f t="shared" si="4"/>
        <v>4258943</v>
      </c>
      <c r="T57" s="168">
        <f t="shared" si="4"/>
        <v>2680099</v>
      </c>
      <c r="U57" s="168">
        <f t="shared" si="4"/>
        <v>1435314</v>
      </c>
      <c r="V57" s="168">
        <f t="shared" si="4"/>
        <v>432275</v>
      </c>
      <c r="W57" s="168">
        <f t="shared" si="4"/>
        <v>1650178</v>
      </c>
      <c r="X57" s="168">
        <f t="shared" si="4"/>
        <v>-2057345</v>
      </c>
      <c r="Y57" s="168">
        <f t="shared" si="4"/>
        <v>331398</v>
      </c>
      <c r="Z57" s="168">
        <f t="shared" si="4"/>
        <v>-2838089</v>
      </c>
      <c r="AA57" s="168">
        <f t="shared" si="4"/>
        <v>-621310</v>
      </c>
      <c r="AB57" s="168">
        <f t="shared" si="4"/>
        <v>-2756808</v>
      </c>
      <c r="AC57" s="173"/>
      <c r="AD57" s="170">
        <f>SUM(H57:AB57)</f>
        <v>1801210</v>
      </c>
      <c r="AE57" s="148">
        <f>IFERROR(AD57/F57*100,0)/10000000</f>
        <v>0</v>
      </c>
      <c r="AH57" s="133"/>
    </row>
    <row r="58" spans="1:34" ht="15.75" thickBot="1" x14ac:dyDescent="0.3">
      <c r="A58" s="133"/>
      <c r="B58" s="133"/>
      <c r="C58" s="133"/>
      <c r="D58" s="133"/>
      <c r="E58" s="133"/>
      <c r="F58" s="119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219"/>
      <c r="AC58" s="185"/>
      <c r="AD58" s="133"/>
      <c r="AE58" s="148"/>
      <c r="AG58" s="133"/>
    </row>
    <row r="59" spans="1:34" x14ac:dyDescent="0.25">
      <c r="A59" s="75" t="s">
        <v>36</v>
      </c>
      <c r="B59" s="76" t="s">
        <v>71</v>
      </c>
      <c r="C59" s="76" t="s">
        <v>57</v>
      </c>
      <c r="D59" s="76" t="s">
        <v>87</v>
      </c>
      <c r="E59" s="76" t="s">
        <v>256</v>
      </c>
      <c r="F59" s="120">
        <v>30</v>
      </c>
      <c r="G59" s="177"/>
      <c r="H59" s="151">
        <v>0</v>
      </c>
      <c r="I59" s="151">
        <v>-1640000</v>
      </c>
      <c r="J59" s="151">
        <v>0</v>
      </c>
      <c r="K59" s="151">
        <v>925000</v>
      </c>
      <c r="L59" s="151">
        <v>0</v>
      </c>
      <c r="M59" s="151">
        <v>0</v>
      </c>
      <c r="N59" s="151">
        <v>840000</v>
      </c>
      <c r="O59" s="151">
        <v>0</v>
      </c>
      <c r="P59" s="151">
        <v>670000</v>
      </c>
      <c r="Q59" s="151">
        <v>0</v>
      </c>
      <c r="R59" s="151">
        <v>0</v>
      </c>
      <c r="S59" s="151">
        <v>1520000</v>
      </c>
      <c r="T59" s="151">
        <v>0</v>
      </c>
      <c r="U59" s="151">
        <v>-561000</v>
      </c>
      <c r="V59" s="151">
        <v>0</v>
      </c>
      <c r="W59" s="151">
        <v>0</v>
      </c>
      <c r="X59" s="151">
        <v>-570000</v>
      </c>
      <c r="Y59" s="151">
        <v>0</v>
      </c>
      <c r="Z59" s="151">
        <v>-925000</v>
      </c>
      <c r="AA59" s="151">
        <v>0</v>
      </c>
      <c r="AB59" s="151">
        <v>10000</v>
      </c>
      <c r="AC59" s="173"/>
      <c r="AD59" s="170">
        <f>SUM(H59:AB59)</f>
        <v>269000</v>
      </c>
      <c r="AE59" s="148">
        <f>IFERROR(AD59/F59*100,0)/10000000</f>
        <v>8.9666666666666658E-2</v>
      </c>
      <c r="AH59" s="133">
        <v>-30449</v>
      </c>
    </row>
    <row r="60" spans="1:34" x14ac:dyDescent="0.25">
      <c r="A60" s="201" t="s">
        <v>241</v>
      </c>
      <c r="B60" s="202" t="s">
        <v>240</v>
      </c>
      <c r="C60" s="202" t="s">
        <v>57</v>
      </c>
      <c r="D60" s="202" t="s">
        <v>87</v>
      </c>
      <c r="E60" s="202" t="s">
        <v>256</v>
      </c>
      <c r="F60" s="203"/>
      <c r="G60" s="204"/>
      <c r="H60" s="161">
        <v>-15000</v>
      </c>
      <c r="I60" s="161">
        <v>-128000</v>
      </c>
      <c r="J60" s="161">
        <v>-157000</v>
      </c>
      <c r="K60" s="161">
        <v>35000</v>
      </c>
      <c r="L60" s="161">
        <v>0</v>
      </c>
      <c r="M60" s="161">
        <v>30000</v>
      </c>
      <c r="N60" s="161">
        <v>304600</v>
      </c>
      <c r="O60" s="161">
        <v>23236</v>
      </c>
      <c r="P60" s="161">
        <v>-84728</v>
      </c>
      <c r="Q60" s="161">
        <v>0</v>
      </c>
      <c r="R60" s="161">
        <v>39419</v>
      </c>
      <c r="S60" s="161">
        <v>197155</v>
      </c>
      <c r="T60" s="161">
        <v>141460</v>
      </c>
      <c r="U60" s="161">
        <v>-91775</v>
      </c>
      <c r="V60" s="161">
        <v>0</v>
      </c>
      <c r="W60" s="161">
        <v>79570</v>
      </c>
      <c r="X60" s="161">
        <v>-121028</v>
      </c>
      <c r="Y60" s="161">
        <v>-49976</v>
      </c>
      <c r="Z60" s="161">
        <v>-102602</v>
      </c>
      <c r="AA60" s="161">
        <v>-103464</v>
      </c>
      <c r="AB60" s="161">
        <v>2633</v>
      </c>
      <c r="AC60" s="173"/>
      <c r="AD60" s="170">
        <f>SUM(H60:AB60)</f>
        <v>-500</v>
      </c>
      <c r="AE60" s="148">
        <f>IFERROR(AD60/F60*100,0)/10000000</f>
        <v>0</v>
      </c>
      <c r="AG60" s="5"/>
      <c r="AH60" s="133"/>
    </row>
    <row r="61" spans="1:34" x14ac:dyDescent="0.25">
      <c r="A61" s="201" t="s">
        <v>273</v>
      </c>
      <c r="B61" s="202" t="s">
        <v>272</v>
      </c>
      <c r="C61" s="202" t="s">
        <v>57</v>
      </c>
      <c r="D61" s="202" t="s">
        <v>87</v>
      </c>
      <c r="E61" s="202" t="s">
        <v>256</v>
      </c>
      <c r="F61" s="203"/>
      <c r="G61" s="204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>
        <v>0</v>
      </c>
      <c r="U61" s="161">
        <v>0</v>
      </c>
      <c r="V61" s="161">
        <v>3000</v>
      </c>
      <c r="W61" s="161">
        <v>8000</v>
      </c>
      <c r="X61" s="161">
        <v>-346000</v>
      </c>
      <c r="Y61" s="161">
        <v>-5000</v>
      </c>
      <c r="Z61" s="161">
        <v>0</v>
      </c>
      <c r="AA61" s="161">
        <v>0</v>
      </c>
      <c r="AB61" s="161">
        <v>-70000</v>
      </c>
      <c r="AC61" s="173"/>
      <c r="AD61" s="170">
        <f>SUM(H61:AB61)</f>
        <v>-410000</v>
      </c>
      <c r="AE61" s="148">
        <f>IFERROR(AD61/F61*100,0)/10000000</f>
        <v>0</v>
      </c>
      <c r="AG61" s="133">
        <v>267462</v>
      </c>
      <c r="AH61" s="133">
        <f>(AG62+AG61)/10000000*13780</f>
        <v>695.1651720000001</v>
      </c>
    </row>
    <row r="62" spans="1:34" ht="15.75" thickBot="1" x14ac:dyDescent="0.3">
      <c r="A62" s="197"/>
      <c r="B62" s="20"/>
      <c r="C62" s="20"/>
      <c r="D62" s="20" t="s">
        <v>87</v>
      </c>
      <c r="E62" s="20"/>
      <c r="F62" s="114"/>
      <c r="G62" s="198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73"/>
      <c r="AD62" s="171"/>
      <c r="AE62" s="66"/>
      <c r="AG62" s="133">
        <v>237012</v>
      </c>
      <c r="AH62" s="133"/>
    </row>
    <row r="63" spans="1:34" ht="15.75" thickBot="1" x14ac:dyDescent="0.3">
      <c r="A63" s="199"/>
      <c r="B63" s="16"/>
      <c r="C63" s="16"/>
      <c r="D63" s="16"/>
      <c r="E63" s="16"/>
      <c r="F63" s="74"/>
      <c r="G63" s="17"/>
      <c r="H63" s="169">
        <f t="shared" ref="H63:S63" si="5">SUM(H59:H60)</f>
        <v>-15000</v>
      </c>
      <c r="I63" s="169">
        <f t="shared" si="5"/>
        <v>-1768000</v>
      </c>
      <c r="J63" s="169">
        <f t="shared" si="5"/>
        <v>-157000</v>
      </c>
      <c r="K63" s="169">
        <f t="shared" si="5"/>
        <v>960000</v>
      </c>
      <c r="L63" s="169">
        <f t="shared" si="5"/>
        <v>0</v>
      </c>
      <c r="M63" s="169">
        <f t="shared" si="5"/>
        <v>30000</v>
      </c>
      <c r="N63" s="169">
        <f t="shared" si="5"/>
        <v>1144600</v>
      </c>
      <c r="O63" s="169">
        <f t="shared" si="5"/>
        <v>23236</v>
      </c>
      <c r="P63" s="169">
        <f t="shared" si="5"/>
        <v>585272</v>
      </c>
      <c r="Q63" s="169">
        <f t="shared" si="5"/>
        <v>0</v>
      </c>
      <c r="R63" s="169">
        <f t="shared" si="5"/>
        <v>39419</v>
      </c>
      <c r="S63" s="169">
        <f t="shared" si="5"/>
        <v>1717155</v>
      </c>
      <c r="T63" s="169">
        <f>SUM(T59:T61)</f>
        <v>141460</v>
      </c>
      <c r="U63" s="169">
        <f t="shared" ref="U63:AB63" si="6">SUM(U59:U61)</f>
        <v>-652775</v>
      </c>
      <c r="V63" s="169">
        <f t="shared" si="6"/>
        <v>3000</v>
      </c>
      <c r="W63" s="169">
        <f t="shared" si="6"/>
        <v>87570</v>
      </c>
      <c r="X63" s="169">
        <f t="shared" si="6"/>
        <v>-1037028</v>
      </c>
      <c r="Y63" s="169">
        <f t="shared" si="6"/>
        <v>-54976</v>
      </c>
      <c r="Z63" s="169">
        <f t="shared" si="6"/>
        <v>-1027602</v>
      </c>
      <c r="AA63" s="169">
        <f t="shared" si="6"/>
        <v>-103464</v>
      </c>
      <c r="AB63" s="169">
        <f t="shared" si="6"/>
        <v>-57367</v>
      </c>
      <c r="AC63" s="211"/>
      <c r="AD63" s="172">
        <f>SUM(C63:AB63)</f>
        <v>-141500</v>
      </c>
      <c r="AE63" s="19"/>
      <c r="AG63" s="133"/>
      <c r="AH63" s="133"/>
    </row>
    <row r="64" spans="1:34" x14ac:dyDescent="0.25">
      <c r="AG64" s="133"/>
      <c r="AH64" s="192">
        <f>AH59-AH61</f>
        <v>-31144.165172000001</v>
      </c>
    </row>
    <row r="65" spans="33:33" x14ac:dyDescent="0.25">
      <c r="AG65" s="133"/>
    </row>
  </sheetData>
  <conditionalFormatting sqref="G2 A48:A49 AE58 AD56:AE57 AE43:AE55 AD42:AD55 A3:G4 AD6:AE9 AD12:AE19 AD21:AD40 AE21:AE39 H2:AE4 A10:AE11 C48:AC49 A5:AC9 A50:AC57 A12:AC47 A59:AE63">
    <cfRule type="expression" dxfId="287" priority="13">
      <formula>MOD(ROW(),2)=0</formula>
    </cfRule>
  </conditionalFormatting>
  <conditionalFormatting sqref="AE40">
    <cfRule type="expression" dxfId="286" priority="12">
      <formula>MOD(ROW(),2)=0</formula>
    </cfRule>
  </conditionalFormatting>
  <conditionalFormatting sqref="AE42">
    <cfRule type="expression" dxfId="285" priority="11">
      <formula>MOD(ROW(),2)=0</formula>
    </cfRule>
  </conditionalFormatting>
  <conditionalFormatting sqref="B48:B49">
    <cfRule type="expression" dxfId="284" priority="5">
      <formula>MOD(ROW(),2)=0</formula>
    </cfRule>
  </conditionalFormatting>
  <conditionalFormatting sqref="AD5:AE5">
    <cfRule type="expression" dxfId="283" priority="4">
      <formula>MOD(ROW(),2)=0</formula>
    </cfRule>
  </conditionalFormatting>
  <conditionalFormatting sqref="AD41">
    <cfRule type="expression" dxfId="282" priority="3">
      <formula>MOD(ROW(),2)=0</formula>
    </cfRule>
  </conditionalFormatting>
  <conditionalFormatting sqref="AE41">
    <cfRule type="expression" dxfId="281" priority="2">
      <formula>MOD(ROW(),2)=0</formula>
    </cfRule>
  </conditionalFormatting>
  <conditionalFormatting sqref="AD20:AE20">
    <cfRule type="expression" dxfId="280" priority="1">
      <formula>MOD(ROW(),2)=0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1"/>
  <sheetViews>
    <sheetView zoomScale="115" zoomScaleNormal="115" workbookViewId="0">
      <selection activeCell="A2" sqref="A2"/>
    </sheetView>
  </sheetViews>
  <sheetFormatPr defaultRowHeight="15" outlineLevelCol="1" x14ac:dyDescent="0.25"/>
  <cols>
    <col min="1" max="1" width="10.5703125" style="132" customWidth="1" outlineLevel="1"/>
    <col min="2" max="2" width="20.5703125" style="132" customWidth="1" outlineLevel="1"/>
    <col min="3" max="3" width="10.42578125" style="132" customWidth="1"/>
    <col min="4" max="4" width="21.28515625" style="132" customWidth="1"/>
    <col min="5" max="5" width="13.28515625" style="132" customWidth="1"/>
    <col min="6" max="6" width="6.5703125" style="132" customWidth="1"/>
    <col min="7" max="7" width="1.7109375" style="132" customWidth="1"/>
    <col min="8" max="17" width="11.28515625" style="132" customWidth="1" outlineLevel="1"/>
    <col min="18" max="26" width="11.28515625" style="132" customWidth="1"/>
    <col min="27" max="27" width="11.5703125" style="132" customWidth="1"/>
    <col min="28" max="28" width="10.42578125" style="132" customWidth="1" outlineLevel="1"/>
    <col min="29" max="29" width="10.7109375" style="132" customWidth="1" outlineLevel="1"/>
    <col min="30" max="35" width="9.140625" style="132"/>
    <col min="36" max="36" width="14.140625" style="132" customWidth="1"/>
    <col min="37" max="37" width="12" style="132" customWidth="1"/>
    <col min="38" max="16384" width="9.140625" style="132"/>
  </cols>
  <sheetData>
    <row r="1" spans="1:37" ht="15.75" thickBot="1" x14ac:dyDescent="0.3"/>
    <row r="2" spans="1:37" ht="15.75" thickBot="1" x14ac:dyDescent="0.3">
      <c r="G2" s="180"/>
      <c r="H2" s="181">
        <v>46146</v>
      </c>
      <c r="I2" s="181">
        <v>46147</v>
      </c>
      <c r="J2" s="181">
        <v>46148</v>
      </c>
      <c r="K2" s="181">
        <v>46149</v>
      </c>
      <c r="L2" s="181">
        <v>46150</v>
      </c>
      <c r="M2" s="181">
        <v>46153</v>
      </c>
      <c r="N2" s="181">
        <v>46154</v>
      </c>
      <c r="O2" s="181">
        <v>46155</v>
      </c>
      <c r="P2" s="181">
        <v>46156</v>
      </c>
      <c r="Q2" s="181">
        <v>46157</v>
      </c>
      <c r="R2" s="181">
        <v>46160</v>
      </c>
      <c r="S2" s="181">
        <v>46161</v>
      </c>
      <c r="T2" s="181">
        <v>46162</v>
      </c>
      <c r="U2" s="181">
        <v>46163</v>
      </c>
      <c r="V2" s="181">
        <v>46164</v>
      </c>
      <c r="W2" s="181">
        <v>46167</v>
      </c>
      <c r="X2" s="181">
        <v>46168</v>
      </c>
      <c r="Y2" s="181">
        <v>46169</v>
      </c>
      <c r="Z2" s="181">
        <v>46171</v>
      </c>
      <c r="AA2" s="182"/>
      <c r="AB2" s="183" t="s">
        <v>159</v>
      </c>
      <c r="AC2" s="184" t="s">
        <v>160</v>
      </c>
    </row>
    <row r="3" spans="1:37" x14ac:dyDescent="0.25">
      <c r="A3" s="185" t="s">
        <v>54</v>
      </c>
      <c r="B3" s="185" t="s">
        <v>69</v>
      </c>
      <c r="C3" s="185" t="s">
        <v>70</v>
      </c>
      <c r="D3" s="185" t="s">
        <v>2</v>
      </c>
      <c r="E3" s="185" t="s">
        <v>257</v>
      </c>
      <c r="F3" s="186" t="s">
        <v>9</v>
      </c>
      <c r="G3" s="187"/>
      <c r="H3" s="178" t="s">
        <v>234</v>
      </c>
      <c r="I3" s="178" t="s">
        <v>233</v>
      </c>
      <c r="J3" s="178" t="s">
        <v>237</v>
      </c>
      <c r="K3" s="178" t="s">
        <v>236</v>
      </c>
      <c r="L3" s="178" t="s">
        <v>235</v>
      </c>
      <c r="M3" s="178" t="s">
        <v>234</v>
      </c>
      <c r="N3" s="178" t="s">
        <v>233</v>
      </c>
      <c r="O3" s="178" t="s">
        <v>237</v>
      </c>
      <c r="P3" s="178" t="s">
        <v>236</v>
      </c>
      <c r="Q3" s="178" t="s">
        <v>235</v>
      </c>
      <c r="R3" s="178" t="s">
        <v>234</v>
      </c>
      <c r="S3" s="178" t="s">
        <v>233</v>
      </c>
      <c r="T3" s="178" t="s">
        <v>237</v>
      </c>
      <c r="U3" s="178" t="s">
        <v>238</v>
      </c>
      <c r="V3" s="178" t="s">
        <v>235</v>
      </c>
      <c r="W3" s="178" t="s">
        <v>234</v>
      </c>
      <c r="X3" s="178" t="s">
        <v>233</v>
      </c>
      <c r="Y3" s="178" t="s">
        <v>237</v>
      </c>
      <c r="Z3" s="178" t="s">
        <v>235</v>
      </c>
      <c r="AA3" s="179"/>
      <c r="AB3" s="188"/>
      <c r="AC3" s="179"/>
      <c r="AJ3" s="132" t="s">
        <v>198</v>
      </c>
      <c r="AK3" s="132">
        <v>13780</v>
      </c>
    </row>
    <row r="4" spans="1:37" x14ac:dyDescent="0.25">
      <c r="A4" s="141" t="s">
        <v>25</v>
      </c>
      <c r="B4" s="44" t="s">
        <v>72</v>
      </c>
      <c r="C4" s="141" t="s">
        <v>158</v>
      </c>
      <c r="D4" s="141" t="s">
        <v>88</v>
      </c>
      <c r="E4" s="141" t="s">
        <v>256</v>
      </c>
      <c r="F4" s="155">
        <v>3</v>
      </c>
      <c r="G4" s="189"/>
      <c r="H4" s="157">
        <v>0</v>
      </c>
      <c r="I4" s="157">
        <v>-156700</v>
      </c>
      <c r="J4" s="157">
        <v>0</v>
      </c>
      <c r="K4" s="157">
        <v>-151000</v>
      </c>
      <c r="L4" s="157">
        <v>0</v>
      </c>
      <c r="M4" s="157">
        <v>-300</v>
      </c>
      <c r="N4" s="157">
        <v>287000</v>
      </c>
      <c r="O4" s="157">
        <v>0</v>
      </c>
      <c r="P4" s="157">
        <v>150000</v>
      </c>
      <c r="Q4" s="157">
        <v>0</v>
      </c>
      <c r="R4" s="157">
        <v>0</v>
      </c>
      <c r="S4" s="157">
        <v>-148725</v>
      </c>
      <c r="T4" s="157">
        <v>0</v>
      </c>
      <c r="U4" s="157">
        <v>-51000</v>
      </c>
      <c r="V4" s="157">
        <v>0</v>
      </c>
      <c r="W4" s="157">
        <v>0</v>
      </c>
      <c r="X4" s="157">
        <v>-38000</v>
      </c>
      <c r="Y4" s="157">
        <v>-90000</v>
      </c>
      <c r="Z4" s="157">
        <v>0</v>
      </c>
      <c r="AA4" s="173"/>
      <c r="AB4" s="170">
        <f t="shared" ref="AB4:AB5" si="0">SUM(H4:AA4)</f>
        <v>-198725</v>
      </c>
      <c r="AC4" s="148">
        <f t="shared" ref="AC4:AC5" si="1">IFERROR(AB4/F4*100,0)/10000000</f>
        <v>-0.66241666666666665</v>
      </c>
      <c r="AJ4" s="132" t="s">
        <v>170</v>
      </c>
      <c r="AK4" s="132">
        <v>2865</v>
      </c>
    </row>
    <row r="5" spans="1:37" x14ac:dyDescent="0.25">
      <c r="A5" s="141" t="s">
        <v>46</v>
      </c>
      <c r="B5" s="44" t="s">
        <v>139</v>
      </c>
      <c r="C5" s="141" t="s">
        <v>157</v>
      </c>
      <c r="D5" s="141" t="s">
        <v>88</v>
      </c>
      <c r="E5" s="141" t="s">
        <v>256</v>
      </c>
      <c r="F5" s="155">
        <v>3</v>
      </c>
      <c r="G5" s="189"/>
      <c r="H5" s="157">
        <v>0</v>
      </c>
      <c r="I5" s="157">
        <v>0</v>
      </c>
      <c r="J5" s="157">
        <v>0</v>
      </c>
      <c r="K5" s="157">
        <v>0</v>
      </c>
      <c r="L5" s="157">
        <v>0</v>
      </c>
      <c r="M5" s="157">
        <v>0</v>
      </c>
      <c r="N5" s="157">
        <v>8800</v>
      </c>
      <c r="O5" s="157">
        <v>0</v>
      </c>
      <c r="P5" s="157">
        <v>-15000</v>
      </c>
      <c r="Q5" s="157">
        <v>0</v>
      </c>
      <c r="R5" s="157">
        <v>0</v>
      </c>
      <c r="S5" s="157">
        <v>5111</v>
      </c>
      <c r="T5" s="157">
        <v>0</v>
      </c>
      <c r="U5" s="157">
        <v>1500</v>
      </c>
      <c r="V5" s="157">
        <v>0</v>
      </c>
      <c r="W5" s="157">
        <v>0</v>
      </c>
      <c r="X5" s="157">
        <v>2000</v>
      </c>
      <c r="Y5" s="157">
        <v>0</v>
      </c>
      <c r="Z5" s="157">
        <v>0</v>
      </c>
      <c r="AA5" s="173"/>
      <c r="AB5" s="170">
        <f t="shared" si="0"/>
        <v>2411</v>
      </c>
      <c r="AC5" s="148">
        <f t="shared" si="1"/>
        <v>8.0366666666666659E-3</v>
      </c>
    </row>
    <row r="6" spans="1:37" x14ac:dyDescent="0.25">
      <c r="A6" s="141" t="s">
        <v>216</v>
      </c>
      <c r="B6" s="44" t="s">
        <v>215</v>
      </c>
      <c r="C6" s="141" t="s">
        <v>11</v>
      </c>
      <c r="D6" s="141" t="s">
        <v>260</v>
      </c>
      <c r="E6" s="141" t="s">
        <v>256</v>
      </c>
      <c r="F6" s="155">
        <v>0.5</v>
      </c>
      <c r="G6" s="189"/>
      <c r="H6" s="157">
        <v>0</v>
      </c>
      <c r="I6" s="157">
        <v>0</v>
      </c>
      <c r="J6" s="157">
        <v>100</v>
      </c>
      <c r="K6" s="157">
        <v>-2974</v>
      </c>
      <c r="L6" s="157">
        <v>0</v>
      </c>
      <c r="M6" s="157">
        <v>1640</v>
      </c>
      <c r="N6" s="157">
        <v>-7148</v>
      </c>
      <c r="O6" s="157">
        <v>-1171</v>
      </c>
      <c r="P6" s="157">
        <v>-5246</v>
      </c>
      <c r="Q6" s="157">
        <v>-4350</v>
      </c>
      <c r="R6" s="157">
        <v>2162</v>
      </c>
      <c r="S6" s="157">
        <v>20</v>
      </c>
      <c r="T6" s="157">
        <v>-642</v>
      </c>
      <c r="U6" s="157">
        <v>-5552</v>
      </c>
      <c r="V6" s="157">
        <v>-9405</v>
      </c>
      <c r="W6" s="157">
        <v>8040</v>
      </c>
      <c r="X6" s="157">
        <v>-17862</v>
      </c>
      <c r="Y6" s="157">
        <v>-18004</v>
      </c>
      <c r="Z6" s="157">
        <v>15571</v>
      </c>
      <c r="AA6" s="173"/>
      <c r="AB6" s="170">
        <f t="shared" ref="AB6" si="2">SUM(H6:AA6)</f>
        <v>-44821</v>
      </c>
      <c r="AC6" s="148">
        <f t="shared" ref="AC6" si="3">IFERROR(AB6/F6*100,0)/10000000</f>
        <v>-0.89641999999999999</v>
      </c>
      <c r="AE6" s="5"/>
      <c r="AF6" s="133">
        <v>15730</v>
      </c>
    </row>
    <row r="7" spans="1:37" x14ac:dyDescent="0.25">
      <c r="A7" s="141" t="s">
        <v>30</v>
      </c>
      <c r="B7" s="140" t="s">
        <v>176</v>
      </c>
      <c r="C7" s="140" t="s">
        <v>6</v>
      </c>
      <c r="D7" s="159" t="s">
        <v>138</v>
      </c>
      <c r="E7" s="159" t="s">
        <v>256</v>
      </c>
      <c r="F7" s="155">
        <v>3</v>
      </c>
      <c r="G7" s="190"/>
      <c r="H7" s="146">
        <v>-89314</v>
      </c>
      <c r="I7" s="146">
        <v>-135468</v>
      </c>
      <c r="J7" s="146">
        <v>-149849</v>
      </c>
      <c r="K7" s="146">
        <v>-45000</v>
      </c>
      <c r="L7" s="146">
        <v>0</v>
      </c>
      <c r="M7" s="146">
        <v>0</v>
      </c>
      <c r="N7" s="146">
        <v>163900</v>
      </c>
      <c r="O7" s="146">
        <v>0</v>
      </c>
      <c r="P7" s="146">
        <v>12796</v>
      </c>
      <c r="Q7" s="146">
        <v>61758</v>
      </c>
      <c r="R7" s="146">
        <v>111261</v>
      </c>
      <c r="S7" s="146">
        <v>-259238</v>
      </c>
      <c r="T7" s="146">
        <v>0</v>
      </c>
      <c r="U7" s="146">
        <v>-120865</v>
      </c>
      <c r="V7" s="146">
        <v>-23761</v>
      </c>
      <c r="W7" s="146">
        <v>117050</v>
      </c>
      <c r="X7" s="146">
        <v>97108</v>
      </c>
      <c r="Y7" s="146">
        <v>0</v>
      </c>
      <c r="Z7" s="146">
        <v>218873</v>
      </c>
      <c r="AA7" s="173"/>
      <c r="AB7" s="170">
        <f t="shared" ref="AB7:AB33" si="4">SUM(H7:AA7)</f>
        <v>-40749</v>
      </c>
      <c r="AC7" s="148">
        <f t="shared" ref="AC7:AC33" si="5">IFERROR(AB7/F7*100,0)/10000000</f>
        <v>-0.13583000000000001</v>
      </c>
      <c r="AE7" s="133">
        <v>49803</v>
      </c>
      <c r="AF7" s="133"/>
    </row>
    <row r="8" spans="1:37" x14ac:dyDescent="0.25">
      <c r="A8" s="141" t="s">
        <v>177</v>
      </c>
      <c r="B8" s="140" t="s">
        <v>175</v>
      </c>
      <c r="C8" s="140" t="s">
        <v>226</v>
      </c>
      <c r="D8" s="159" t="s">
        <v>200</v>
      </c>
      <c r="E8" s="159" t="s">
        <v>256</v>
      </c>
      <c r="F8" s="155">
        <v>1</v>
      </c>
      <c r="G8" s="190"/>
      <c r="H8" s="146">
        <v>-81327</v>
      </c>
      <c r="I8" s="146">
        <v>59894</v>
      </c>
      <c r="J8" s="146">
        <v>-174575</v>
      </c>
      <c r="K8" s="146">
        <v>-5000</v>
      </c>
      <c r="L8" s="146">
        <v>0</v>
      </c>
      <c r="M8" s="146">
        <v>0</v>
      </c>
      <c r="N8" s="146">
        <v>0</v>
      </c>
      <c r="O8" s="146">
        <v>0</v>
      </c>
      <c r="P8" s="146">
        <v>0</v>
      </c>
      <c r="Q8" s="146">
        <v>0</v>
      </c>
      <c r="R8" s="146">
        <v>-48582</v>
      </c>
      <c r="S8" s="146">
        <v>-20660</v>
      </c>
      <c r="T8" s="146">
        <v>0</v>
      </c>
      <c r="U8" s="146">
        <v>0</v>
      </c>
      <c r="V8" s="146">
        <v>0</v>
      </c>
      <c r="W8" s="146">
        <v>0</v>
      </c>
      <c r="X8" s="146">
        <v>0</v>
      </c>
      <c r="Y8" s="146">
        <v>0</v>
      </c>
      <c r="Z8" s="146">
        <v>0</v>
      </c>
      <c r="AA8" s="173"/>
      <c r="AB8" s="170">
        <f t="shared" si="4"/>
        <v>-270250</v>
      </c>
      <c r="AC8" s="148">
        <f t="shared" si="5"/>
        <v>-2.7025000000000001</v>
      </c>
      <c r="AE8" s="133">
        <v>65533</v>
      </c>
      <c r="AF8" s="133">
        <f>(AE8+AE7)/10000000*13780</f>
        <v>158.933008</v>
      </c>
    </row>
    <row r="9" spans="1:37" ht="17.25" customHeight="1" x14ac:dyDescent="0.25">
      <c r="A9" s="141" t="s">
        <v>134</v>
      </c>
      <c r="B9" s="140" t="s">
        <v>133</v>
      </c>
      <c r="C9" s="140" t="s">
        <v>135</v>
      </c>
      <c r="D9" s="159" t="s">
        <v>258</v>
      </c>
      <c r="E9" s="159" t="s">
        <v>256</v>
      </c>
      <c r="F9" s="155">
        <v>3</v>
      </c>
      <c r="G9" s="190"/>
      <c r="H9" s="146">
        <v>39887</v>
      </c>
      <c r="I9" s="146">
        <v>-78243</v>
      </c>
      <c r="J9" s="146">
        <v>109406</v>
      </c>
      <c r="K9" s="146">
        <v>-81721</v>
      </c>
      <c r="L9" s="146">
        <v>-17056</v>
      </c>
      <c r="M9" s="146">
        <v>65669</v>
      </c>
      <c r="N9" s="146">
        <v>113014</v>
      </c>
      <c r="O9" s="146">
        <v>10507</v>
      </c>
      <c r="P9" s="146">
        <v>-17057</v>
      </c>
      <c r="Q9" s="146">
        <v>-105126</v>
      </c>
      <c r="R9" s="146">
        <v>24329</v>
      </c>
      <c r="S9" s="146">
        <v>103722</v>
      </c>
      <c r="T9" s="146">
        <v>-6249</v>
      </c>
      <c r="U9" s="146">
        <v>30707</v>
      </c>
      <c r="V9" s="146">
        <v>52963</v>
      </c>
      <c r="W9" s="146">
        <v>1000</v>
      </c>
      <c r="X9" s="146">
        <v>-61148</v>
      </c>
      <c r="Y9" s="146">
        <v>-70086</v>
      </c>
      <c r="Z9" s="146">
        <v>51056</v>
      </c>
      <c r="AA9" s="173"/>
      <c r="AB9" s="170">
        <f t="shared" si="4"/>
        <v>165574</v>
      </c>
      <c r="AC9" s="148">
        <f t="shared" si="5"/>
        <v>0.55191333333333337</v>
      </c>
      <c r="AE9" s="133"/>
      <c r="AF9" s="133"/>
    </row>
    <row r="10" spans="1:37" x14ac:dyDescent="0.25">
      <c r="A10" s="141" t="s">
        <v>217</v>
      </c>
      <c r="B10" s="140" t="s">
        <v>133</v>
      </c>
      <c r="C10" s="140" t="s">
        <v>96</v>
      </c>
      <c r="D10" s="159" t="s">
        <v>116</v>
      </c>
      <c r="E10" s="159" t="s">
        <v>256</v>
      </c>
      <c r="F10" s="155">
        <v>1.5</v>
      </c>
      <c r="G10" s="190"/>
      <c r="H10" s="146">
        <v>0</v>
      </c>
      <c r="I10" s="146">
        <v>0</v>
      </c>
      <c r="J10" s="146">
        <v>0</v>
      </c>
      <c r="K10" s="146">
        <v>-52000</v>
      </c>
      <c r="L10" s="146">
        <v>-64129</v>
      </c>
      <c r="M10" s="146">
        <v>105081</v>
      </c>
      <c r="N10" s="146">
        <v>-74382</v>
      </c>
      <c r="O10" s="146">
        <v>54380</v>
      </c>
      <c r="P10" s="146">
        <v>-85479</v>
      </c>
      <c r="Q10" s="146">
        <v>-89445</v>
      </c>
      <c r="R10" s="146">
        <v>31024</v>
      </c>
      <c r="S10" s="146">
        <v>0</v>
      </c>
      <c r="T10" s="146">
        <v>0</v>
      </c>
      <c r="U10" s="146">
        <v>-400</v>
      </c>
      <c r="V10" s="146">
        <v>0</v>
      </c>
      <c r="W10" s="146">
        <v>-340</v>
      </c>
      <c r="X10" s="146">
        <v>0</v>
      </c>
      <c r="Y10" s="146">
        <v>0</v>
      </c>
      <c r="Z10" s="146">
        <v>593</v>
      </c>
      <c r="AA10" s="173"/>
      <c r="AB10" s="170">
        <f t="shared" ref="AB10" si="6">SUM(H10:AA10)</f>
        <v>-175097</v>
      </c>
      <c r="AC10" s="148">
        <f t="shared" ref="AC10" si="7">IFERROR(AB10/F10*100,0)/10000000</f>
        <v>-1.1673133333333332</v>
      </c>
      <c r="AE10" s="133"/>
      <c r="AF10" s="133"/>
    </row>
    <row r="11" spans="1:37" x14ac:dyDescent="0.25">
      <c r="A11" s="142" t="s">
        <v>35</v>
      </c>
      <c r="B11" s="140" t="s">
        <v>55</v>
      </c>
      <c r="C11" s="140" t="s">
        <v>79</v>
      </c>
      <c r="D11" s="142" t="s">
        <v>112</v>
      </c>
      <c r="E11" s="142" t="s">
        <v>256</v>
      </c>
      <c r="F11" s="156">
        <v>15</v>
      </c>
      <c r="G11" s="191"/>
      <c r="H11" s="146">
        <v>0</v>
      </c>
      <c r="I11" s="146">
        <v>150000</v>
      </c>
      <c r="J11" s="146">
        <v>1000</v>
      </c>
      <c r="K11" s="146">
        <v>-890466</v>
      </c>
      <c r="L11" s="146">
        <v>0</v>
      </c>
      <c r="M11" s="146">
        <v>0</v>
      </c>
      <c r="N11" s="146">
        <v>605000</v>
      </c>
      <c r="O11" s="146">
        <v>-336000</v>
      </c>
      <c r="P11" s="146">
        <v>-200000</v>
      </c>
      <c r="Q11" s="146">
        <v>0</v>
      </c>
      <c r="R11" s="146">
        <v>-375000</v>
      </c>
      <c r="S11" s="146">
        <v>0</v>
      </c>
      <c r="T11" s="146">
        <v>0</v>
      </c>
      <c r="U11" s="146">
        <v>-290000</v>
      </c>
      <c r="V11" s="146">
        <v>0</v>
      </c>
      <c r="W11" s="146">
        <v>0</v>
      </c>
      <c r="X11" s="146">
        <v>520000</v>
      </c>
      <c r="Y11" s="146">
        <v>20000</v>
      </c>
      <c r="Z11" s="146">
        <v>21000</v>
      </c>
      <c r="AA11" s="173"/>
      <c r="AB11" s="170">
        <f t="shared" si="4"/>
        <v>-774466</v>
      </c>
      <c r="AC11" s="148">
        <f t="shared" si="5"/>
        <v>-0.5163106666666667</v>
      </c>
      <c r="AE11" s="133"/>
      <c r="AF11" s="133"/>
    </row>
    <row r="12" spans="1:37" x14ac:dyDescent="0.25">
      <c r="A12" s="142" t="s">
        <v>190</v>
      </c>
      <c r="B12" s="140" t="s">
        <v>182</v>
      </c>
      <c r="C12" s="140" t="s">
        <v>181</v>
      </c>
      <c r="D12" s="142" t="s">
        <v>112</v>
      </c>
      <c r="E12" s="142" t="s">
        <v>256</v>
      </c>
      <c r="F12" s="156">
        <v>3</v>
      </c>
      <c r="G12" s="191"/>
      <c r="H12" s="146">
        <v>0</v>
      </c>
      <c r="I12" s="146">
        <v>25000</v>
      </c>
      <c r="J12" s="146">
        <v>-3000</v>
      </c>
      <c r="K12" s="146">
        <v>-125000</v>
      </c>
      <c r="L12" s="146">
        <v>0</v>
      </c>
      <c r="M12" s="146">
        <v>0</v>
      </c>
      <c r="N12" s="146">
        <v>100000</v>
      </c>
      <c r="O12" s="146">
        <v>-59000</v>
      </c>
      <c r="P12" s="146">
        <v>-66000</v>
      </c>
      <c r="Q12" s="146">
        <v>0</v>
      </c>
      <c r="R12" s="146">
        <v>-63000</v>
      </c>
      <c r="S12" s="146">
        <v>0</v>
      </c>
      <c r="T12" s="146">
        <v>0</v>
      </c>
      <c r="U12" s="146">
        <v>0</v>
      </c>
      <c r="V12" s="146">
        <v>0</v>
      </c>
      <c r="W12" s="146">
        <v>0</v>
      </c>
      <c r="X12" s="146">
        <v>0</v>
      </c>
      <c r="Y12" s="146">
        <v>0</v>
      </c>
      <c r="Z12" s="146">
        <v>0</v>
      </c>
      <c r="AA12" s="173"/>
      <c r="AB12" s="170">
        <f t="shared" si="4"/>
        <v>-191000</v>
      </c>
      <c r="AC12" s="148">
        <f t="shared" si="5"/>
        <v>-0.6366666666666666</v>
      </c>
      <c r="AE12" s="133"/>
      <c r="AF12" s="133"/>
    </row>
    <row r="13" spans="1:37" x14ac:dyDescent="0.25">
      <c r="A13" s="142" t="s">
        <v>189</v>
      </c>
      <c r="B13" s="140" t="s">
        <v>183</v>
      </c>
      <c r="C13" s="140" t="s">
        <v>179</v>
      </c>
      <c r="D13" s="142" t="s">
        <v>112</v>
      </c>
      <c r="E13" s="142" t="s">
        <v>256</v>
      </c>
      <c r="F13" s="156">
        <v>3</v>
      </c>
      <c r="G13" s="191"/>
      <c r="H13" s="146">
        <v>0</v>
      </c>
      <c r="I13" s="146">
        <v>30000</v>
      </c>
      <c r="J13" s="146">
        <v>-3000</v>
      </c>
      <c r="K13" s="146">
        <v>-120000</v>
      </c>
      <c r="L13" s="146">
        <v>0</v>
      </c>
      <c r="M13" s="146">
        <v>0</v>
      </c>
      <c r="N13" s="146">
        <v>100000</v>
      </c>
      <c r="O13" s="146">
        <v>-59000</v>
      </c>
      <c r="P13" s="146">
        <v>-130000</v>
      </c>
      <c r="Q13" s="146">
        <v>0</v>
      </c>
      <c r="R13" s="146">
        <v>-62500</v>
      </c>
      <c r="S13" s="146">
        <v>0</v>
      </c>
      <c r="T13" s="146">
        <v>0</v>
      </c>
      <c r="U13" s="146">
        <v>0</v>
      </c>
      <c r="V13" s="146">
        <v>0</v>
      </c>
      <c r="W13" s="146">
        <v>0</v>
      </c>
      <c r="X13" s="146">
        <v>0</v>
      </c>
      <c r="Y13" s="146">
        <v>0</v>
      </c>
      <c r="Z13" s="146">
        <v>0</v>
      </c>
      <c r="AA13" s="173"/>
      <c r="AB13" s="170">
        <f t="shared" si="4"/>
        <v>-244500</v>
      </c>
      <c r="AC13" s="148">
        <f t="shared" si="5"/>
        <v>-0.81499999999999995</v>
      </c>
      <c r="AE13" s="133"/>
      <c r="AF13" s="192">
        <f>AF6-AF8</f>
        <v>15571.066992</v>
      </c>
    </row>
    <row r="14" spans="1:37" x14ac:dyDescent="0.25">
      <c r="A14" s="142" t="s">
        <v>123</v>
      </c>
      <c r="B14" s="140" t="s">
        <v>122</v>
      </c>
      <c r="C14" s="140" t="s">
        <v>239</v>
      </c>
      <c r="D14" s="142" t="s">
        <v>116</v>
      </c>
      <c r="E14" s="142" t="s">
        <v>256</v>
      </c>
      <c r="F14" s="156">
        <v>4</v>
      </c>
      <c r="G14" s="191"/>
      <c r="H14" s="146">
        <v>0</v>
      </c>
      <c r="I14" s="146">
        <v>0</v>
      </c>
      <c r="J14" s="146">
        <v>0</v>
      </c>
      <c r="K14" s="146">
        <v>-255000</v>
      </c>
      <c r="L14" s="146">
        <v>0</v>
      </c>
      <c r="M14" s="146">
        <v>0</v>
      </c>
      <c r="N14" s="146">
        <v>0</v>
      </c>
      <c r="O14" s="146">
        <v>0</v>
      </c>
      <c r="P14" s="146">
        <v>0</v>
      </c>
      <c r="Q14" s="146">
        <v>0</v>
      </c>
      <c r="R14" s="146">
        <v>0</v>
      </c>
      <c r="S14" s="146">
        <v>0</v>
      </c>
      <c r="T14" s="146">
        <v>0</v>
      </c>
      <c r="U14" s="146">
        <v>0</v>
      </c>
      <c r="V14" s="146">
        <v>0</v>
      </c>
      <c r="W14" s="146">
        <v>0</v>
      </c>
      <c r="X14" s="146">
        <v>0</v>
      </c>
      <c r="Y14" s="146">
        <v>0</v>
      </c>
      <c r="Z14" s="146">
        <v>0</v>
      </c>
      <c r="AA14" s="173"/>
      <c r="AB14" s="170">
        <f t="shared" si="4"/>
        <v>-255000</v>
      </c>
      <c r="AC14" s="148">
        <f t="shared" si="5"/>
        <v>-0.63749999999999996</v>
      </c>
      <c r="AE14" s="133"/>
      <c r="AF14" s="133"/>
    </row>
    <row r="15" spans="1:37" x14ac:dyDescent="0.25">
      <c r="A15" s="142" t="s">
        <v>137</v>
      </c>
      <c r="B15" s="140" t="s">
        <v>122</v>
      </c>
      <c r="C15" s="140" t="s">
        <v>136</v>
      </c>
      <c r="D15" s="142" t="s">
        <v>259</v>
      </c>
      <c r="E15" s="142" t="s">
        <v>256</v>
      </c>
      <c r="F15" s="156">
        <v>6</v>
      </c>
      <c r="G15" s="191"/>
      <c r="H15" s="146">
        <v>-74731</v>
      </c>
      <c r="I15" s="146">
        <v>-135701</v>
      </c>
      <c r="J15" s="146">
        <v>-26000</v>
      </c>
      <c r="K15" s="146">
        <v>-160166</v>
      </c>
      <c r="L15" s="146">
        <v>2531</v>
      </c>
      <c r="M15" s="146">
        <v>60262</v>
      </c>
      <c r="N15" s="146">
        <v>300611</v>
      </c>
      <c r="O15" s="146">
        <v>-76918</v>
      </c>
      <c r="P15" s="146">
        <v>-66968</v>
      </c>
      <c r="Q15" s="146">
        <v>-200</v>
      </c>
      <c r="R15" s="146">
        <v>43222</v>
      </c>
      <c r="S15" s="146">
        <v>-14013</v>
      </c>
      <c r="T15" s="146">
        <v>41466</v>
      </c>
      <c r="U15" s="146">
        <v>-6200</v>
      </c>
      <c r="V15" s="146">
        <v>-500</v>
      </c>
      <c r="W15" s="146">
        <v>70823</v>
      </c>
      <c r="X15" s="146">
        <v>-226329</v>
      </c>
      <c r="Y15" s="146">
        <v>165720</v>
      </c>
      <c r="Z15" s="146">
        <v>50</v>
      </c>
      <c r="AA15" s="173"/>
      <c r="AB15" s="170">
        <f t="shared" si="4"/>
        <v>-103041</v>
      </c>
      <c r="AC15" s="148">
        <f t="shared" si="5"/>
        <v>-0.171735</v>
      </c>
    </row>
    <row r="16" spans="1:37" x14ac:dyDescent="0.25">
      <c r="A16" s="142" t="s">
        <v>42</v>
      </c>
      <c r="B16" s="140" t="s">
        <v>230</v>
      </c>
      <c r="C16" s="140" t="s">
        <v>85</v>
      </c>
      <c r="D16" s="142" t="s">
        <v>106</v>
      </c>
      <c r="E16" s="142" t="s">
        <v>107</v>
      </c>
      <c r="F16" s="156">
        <v>1</v>
      </c>
      <c r="G16" s="191"/>
      <c r="H16" s="146">
        <v>0</v>
      </c>
      <c r="I16" s="146">
        <v>0</v>
      </c>
      <c r="J16" s="146">
        <v>0</v>
      </c>
      <c r="K16" s="146">
        <v>0</v>
      </c>
      <c r="L16" s="146">
        <v>0</v>
      </c>
      <c r="M16" s="146">
        <v>0</v>
      </c>
      <c r="N16" s="146">
        <v>0</v>
      </c>
      <c r="O16" s="146">
        <v>0</v>
      </c>
      <c r="P16" s="146">
        <v>564</v>
      </c>
      <c r="Q16" s="146">
        <v>-376</v>
      </c>
      <c r="R16" s="146">
        <v>-775</v>
      </c>
      <c r="S16" s="146">
        <v>172</v>
      </c>
      <c r="T16" s="146">
        <v>542</v>
      </c>
      <c r="U16" s="146">
        <v>186</v>
      </c>
      <c r="V16" s="146">
        <v>100</v>
      </c>
      <c r="W16" s="146">
        <v>1383</v>
      </c>
      <c r="X16" s="146">
        <v>-150</v>
      </c>
      <c r="Y16" s="146">
        <v>930</v>
      </c>
      <c r="Z16" s="146">
        <v>-1172</v>
      </c>
      <c r="AA16" s="173"/>
      <c r="AB16" s="170">
        <f t="shared" ref="AB16" si="8">SUM(H16:AA16)</f>
        <v>1404</v>
      </c>
      <c r="AC16" s="148">
        <f t="shared" ref="AC16" si="9">IFERROR(AB16/F16*100,0)/10000000</f>
        <v>1.404E-2</v>
      </c>
    </row>
    <row r="17" spans="1:38" x14ac:dyDescent="0.25">
      <c r="A17" s="141" t="s">
        <v>212</v>
      </c>
      <c r="B17" s="140" t="s">
        <v>230</v>
      </c>
      <c r="C17" s="141" t="s">
        <v>12</v>
      </c>
      <c r="D17" s="141" t="s">
        <v>39</v>
      </c>
      <c r="E17" s="141" t="s">
        <v>256</v>
      </c>
      <c r="F17" s="155">
        <v>1</v>
      </c>
      <c r="G17" s="193"/>
      <c r="H17" s="146">
        <v>-9015</v>
      </c>
      <c r="I17" s="146">
        <v>-45361</v>
      </c>
      <c r="J17" s="146">
        <v>2653</v>
      </c>
      <c r="K17" s="146">
        <v>-58319</v>
      </c>
      <c r="L17" s="146">
        <v>0</v>
      </c>
      <c r="M17" s="146">
        <v>-7777</v>
      </c>
      <c r="N17" s="146">
        <v>1145</v>
      </c>
      <c r="O17" s="146">
        <v>0</v>
      </c>
      <c r="P17" s="146">
        <v>32096</v>
      </c>
      <c r="Q17" s="146">
        <v>0</v>
      </c>
      <c r="R17" s="146">
        <v>-1462</v>
      </c>
      <c r="S17" s="146">
        <v>0</v>
      </c>
      <c r="T17" s="146">
        <v>0</v>
      </c>
      <c r="U17" s="146">
        <v>48536</v>
      </c>
      <c r="V17" s="146">
        <v>-14166</v>
      </c>
      <c r="W17" s="146">
        <v>43770</v>
      </c>
      <c r="X17" s="146">
        <v>-24704</v>
      </c>
      <c r="Y17" s="146">
        <v>-2625</v>
      </c>
      <c r="Z17" s="146">
        <v>0</v>
      </c>
      <c r="AA17" s="173"/>
      <c r="AB17" s="170">
        <f t="shared" si="4"/>
        <v>-35229</v>
      </c>
      <c r="AC17" s="148">
        <f t="shared" si="5"/>
        <v>-0.35228999999999999</v>
      </c>
    </row>
    <row r="18" spans="1:38" x14ac:dyDescent="0.25">
      <c r="A18" s="141" t="s">
        <v>44</v>
      </c>
      <c r="B18" s="140" t="s">
        <v>171</v>
      </c>
      <c r="C18" s="141" t="s">
        <v>172</v>
      </c>
      <c r="D18" s="141" t="s">
        <v>39</v>
      </c>
      <c r="E18" s="141" t="s">
        <v>256</v>
      </c>
      <c r="F18" s="155">
        <v>1</v>
      </c>
      <c r="G18" s="193"/>
      <c r="H18" s="146">
        <v>0</v>
      </c>
      <c r="I18" s="146">
        <v>-61941</v>
      </c>
      <c r="J18" s="146">
        <v>0</v>
      </c>
      <c r="K18" s="146">
        <v>-4581</v>
      </c>
      <c r="L18" s="146">
        <v>0</v>
      </c>
      <c r="M18" s="146">
        <v>0</v>
      </c>
      <c r="N18" s="146">
        <v>11116</v>
      </c>
      <c r="O18" s="146">
        <v>0</v>
      </c>
      <c r="P18" s="146">
        <v>-3295</v>
      </c>
      <c r="Q18" s="146">
        <v>0</v>
      </c>
      <c r="R18" s="146">
        <v>0</v>
      </c>
      <c r="S18" s="146">
        <v>0</v>
      </c>
      <c r="T18" s="146">
        <v>0</v>
      </c>
      <c r="U18" s="146">
        <v>56881</v>
      </c>
      <c r="V18" s="146">
        <v>0</v>
      </c>
      <c r="W18" s="146">
        <v>0</v>
      </c>
      <c r="X18" s="146">
        <v>27547</v>
      </c>
      <c r="Y18" s="146">
        <v>0</v>
      </c>
      <c r="Z18" s="146">
        <v>0</v>
      </c>
      <c r="AA18" s="173"/>
      <c r="AB18" s="170">
        <f t="shared" si="4"/>
        <v>25727</v>
      </c>
      <c r="AC18" s="148">
        <f t="shared" si="5"/>
        <v>0.25727</v>
      </c>
    </row>
    <row r="19" spans="1:38" x14ac:dyDescent="0.25">
      <c r="A19" s="141" t="s">
        <v>51</v>
      </c>
      <c r="B19" s="140" t="s">
        <v>56</v>
      </c>
      <c r="C19" s="140" t="s">
        <v>225</v>
      </c>
      <c r="D19" s="141" t="s">
        <v>39</v>
      </c>
      <c r="E19" s="141" t="s">
        <v>256</v>
      </c>
      <c r="F19" s="155">
        <v>1</v>
      </c>
      <c r="G19" s="189"/>
      <c r="H19" s="146">
        <v>0</v>
      </c>
      <c r="I19" s="146">
        <v>0</v>
      </c>
      <c r="J19" s="146">
        <v>0</v>
      </c>
      <c r="K19" s="146">
        <v>-111000</v>
      </c>
      <c r="L19" s="146">
        <v>0</v>
      </c>
      <c r="M19" s="146">
        <v>1000</v>
      </c>
      <c r="N19" s="146">
        <v>0</v>
      </c>
      <c r="O19" s="146">
        <v>1000</v>
      </c>
      <c r="P19" s="146">
        <v>0</v>
      </c>
      <c r="Q19" s="146">
        <v>7000</v>
      </c>
      <c r="R19" s="146">
        <v>0</v>
      </c>
      <c r="S19" s="146">
        <v>0</v>
      </c>
      <c r="T19" s="146">
        <v>0</v>
      </c>
      <c r="U19" s="146">
        <v>24000</v>
      </c>
      <c r="V19" s="146">
        <v>1700</v>
      </c>
      <c r="W19" s="146">
        <v>2400</v>
      </c>
      <c r="X19" s="146">
        <v>-6000</v>
      </c>
      <c r="Y19" s="146">
        <v>-9000</v>
      </c>
      <c r="Z19" s="146">
        <v>0</v>
      </c>
      <c r="AA19" s="173"/>
      <c r="AB19" s="170">
        <f t="shared" si="4"/>
        <v>-88900</v>
      </c>
      <c r="AC19" s="148">
        <f t="shared" si="5"/>
        <v>-0.88900000000000001</v>
      </c>
    </row>
    <row r="20" spans="1:38" x14ac:dyDescent="0.25">
      <c r="A20" s="141" t="s">
        <v>62</v>
      </c>
      <c r="B20" s="140" t="s">
        <v>114</v>
      </c>
      <c r="C20" s="140" t="s">
        <v>224</v>
      </c>
      <c r="D20" s="141" t="s">
        <v>39</v>
      </c>
      <c r="E20" s="141" t="s">
        <v>253</v>
      </c>
      <c r="F20" s="155">
        <v>1</v>
      </c>
      <c r="G20" s="189"/>
      <c r="H20" s="146">
        <v>0</v>
      </c>
      <c r="I20" s="146">
        <v>0</v>
      </c>
      <c r="J20" s="146">
        <v>0</v>
      </c>
      <c r="K20" s="146">
        <v>-140000</v>
      </c>
      <c r="L20" s="146">
        <v>0</v>
      </c>
      <c r="M20" s="146">
        <v>0</v>
      </c>
      <c r="N20" s="146">
        <v>0</v>
      </c>
      <c r="O20" s="146">
        <v>0</v>
      </c>
      <c r="P20" s="146">
        <v>80000</v>
      </c>
      <c r="Q20" s="146">
        <v>0</v>
      </c>
      <c r="R20" s="146">
        <v>0</v>
      </c>
      <c r="S20" s="146">
        <v>-6086</v>
      </c>
      <c r="T20" s="146">
        <v>0</v>
      </c>
      <c r="U20" s="146">
        <v>0</v>
      </c>
      <c r="V20" s="146">
        <v>0</v>
      </c>
      <c r="W20" s="146">
        <v>0</v>
      </c>
      <c r="X20" s="146">
        <v>0</v>
      </c>
      <c r="Y20" s="146">
        <v>0</v>
      </c>
      <c r="Z20" s="146">
        <v>0</v>
      </c>
      <c r="AA20" s="173"/>
      <c r="AB20" s="170">
        <f t="shared" si="4"/>
        <v>-66086</v>
      </c>
      <c r="AC20" s="148">
        <f t="shared" si="5"/>
        <v>-0.66086</v>
      </c>
    </row>
    <row r="21" spans="1:38" x14ac:dyDescent="0.25">
      <c r="A21" s="141" t="s">
        <v>43</v>
      </c>
      <c r="B21" s="140" t="s">
        <v>84</v>
      </c>
      <c r="C21" s="140" t="s">
        <v>85</v>
      </c>
      <c r="D21" s="141" t="s">
        <v>106</v>
      </c>
      <c r="E21" s="141" t="s">
        <v>107</v>
      </c>
      <c r="F21" s="156">
        <v>1</v>
      </c>
      <c r="G21" s="189"/>
      <c r="H21" s="146">
        <v>13724</v>
      </c>
      <c r="I21" s="146">
        <v>9034</v>
      </c>
      <c r="J21" s="146">
        <v>30997</v>
      </c>
      <c r="K21" s="146">
        <v>11233</v>
      </c>
      <c r="L21" s="146">
        <v>-401</v>
      </c>
      <c r="M21" s="146">
        <v>-20411</v>
      </c>
      <c r="N21" s="146">
        <v>-37294</v>
      </c>
      <c r="O21" s="146">
        <v>6929</v>
      </c>
      <c r="P21" s="146">
        <v>13665</v>
      </c>
      <c r="Q21" s="146">
        <v>-3835</v>
      </c>
      <c r="R21" s="146">
        <v>-8400</v>
      </c>
      <c r="S21" s="146">
        <v>11710</v>
      </c>
      <c r="T21" s="146">
        <v>4610</v>
      </c>
      <c r="U21" s="146">
        <v>2245</v>
      </c>
      <c r="V21" s="146">
        <v>1100</v>
      </c>
      <c r="W21" s="146">
        <v>20660</v>
      </c>
      <c r="X21" s="146">
        <v>-692</v>
      </c>
      <c r="Y21" s="146">
        <v>5950</v>
      </c>
      <c r="Z21" s="146">
        <v>-18500</v>
      </c>
      <c r="AA21" s="173"/>
      <c r="AB21" s="170">
        <f t="shared" si="4"/>
        <v>42324</v>
      </c>
      <c r="AC21" s="148">
        <f t="shared" si="5"/>
        <v>0.42324000000000001</v>
      </c>
    </row>
    <row r="22" spans="1:38" x14ac:dyDescent="0.25">
      <c r="A22" s="141" t="s">
        <v>108</v>
      </c>
      <c r="B22" s="140" t="s">
        <v>84</v>
      </c>
      <c r="C22" s="140" t="s">
        <v>207</v>
      </c>
      <c r="D22" s="141"/>
      <c r="E22" s="141" t="s">
        <v>256</v>
      </c>
      <c r="F22" s="156">
        <v>1</v>
      </c>
      <c r="G22" s="189"/>
      <c r="H22" s="146">
        <v>0</v>
      </c>
      <c r="I22" s="146">
        <v>0</v>
      </c>
      <c r="J22" s="146">
        <v>15000</v>
      </c>
      <c r="K22" s="146">
        <v>-58000</v>
      </c>
      <c r="L22" s="146">
        <v>0</v>
      </c>
      <c r="M22" s="146">
        <v>-100</v>
      </c>
      <c r="N22" s="146">
        <v>0</v>
      </c>
      <c r="O22" s="146">
        <v>0</v>
      </c>
      <c r="P22" s="146">
        <v>-58500</v>
      </c>
      <c r="Q22" s="146">
        <v>0</v>
      </c>
      <c r="R22" s="146">
        <v>0</v>
      </c>
      <c r="S22" s="146">
        <v>0</v>
      </c>
      <c r="T22" s="146">
        <v>0</v>
      </c>
      <c r="U22" s="146">
        <v>-9000</v>
      </c>
      <c r="V22" s="146">
        <v>0</v>
      </c>
      <c r="W22" s="146">
        <v>0</v>
      </c>
      <c r="X22" s="146">
        <v>0</v>
      </c>
      <c r="Y22" s="146">
        <v>12000</v>
      </c>
      <c r="Z22" s="146">
        <v>0</v>
      </c>
      <c r="AA22" s="173"/>
      <c r="AB22" s="170">
        <f t="shared" si="4"/>
        <v>-98600</v>
      </c>
      <c r="AC22" s="148">
        <f t="shared" si="5"/>
        <v>-0.98599999999999999</v>
      </c>
    </row>
    <row r="23" spans="1:38" x14ac:dyDescent="0.25">
      <c r="A23" s="141" t="s">
        <v>94</v>
      </c>
      <c r="B23" s="140" t="s">
        <v>56</v>
      </c>
      <c r="C23" s="140" t="s">
        <v>8</v>
      </c>
      <c r="D23" s="141" t="s">
        <v>39</v>
      </c>
      <c r="E23" s="141" t="s">
        <v>256</v>
      </c>
      <c r="F23" s="156">
        <v>1</v>
      </c>
      <c r="G23" s="189"/>
      <c r="H23" s="146">
        <v>0</v>
      </c>
      <c r="I23" s="146">
        <v>3996</v>
      </c>
      <c r="J23" s="146">
        <v>0</v>
      </c>
      <c r="K23" s="146">
        <v>-113450</v>
      </c>
      <c r="L23" s="146">
        <v>0</v>
      </c>
      <c r="M23" s="146">
        <v>0</v>
      </c>
      <c r="N23" s="146">
        <v>44462</v>
      </c>
      <c r="O23" s="146">
        <v>0</v>
      </c>
      <c r="P23" s="146">
        <v>-86337</v>
      </c>
      <c r="Q23" s="146">
        <v>0</v>
      </c>
      <c r="R23" s="146">
        <v>0</v>
      </c>
      <c r="S23" s="146">
        <v>0</v>
      </c>
      <c r="T23" s="146">
        <v>0</v>
      </c>
      <c r="U23" s="146">
        <v>16099</v>
      </c>
      <c r="V23" s="146">
        <v>0</v>
      </c>
      <c r="W23" s="146">
        <v>0</v>
      </c>
      <c r="X23" s="146">
        <v>-23909</v>
      </c>
      <c r="Y23" s="146">
        <v>0</v>
      </c>
      <c r="Z23" s="146">
        <v>0</v>
      </c>
      <c r="AA23" s="173"/>
      <c r="AB23" s="170">
        <f t="shared" si="4"/>
        <v>-159139</v>
      </c>
      <c r="AC23" s="148">
        <f t="shared" si="5"/>
        <v>-1.5913900000000001</v>
      </c>
    </row>
    <row r="24" spans="1:38" x14ac:dyDescent="0.25">
      <c r="A24" s="141" t="s">
        <v>24</v>
      </c>
      <c r="B24" s="140" t="s">
        <v>73</v>
      </c>
      <c r="C24" s="140" t="s">
        <v>58</v>
      </c>
      <c r="D24" s="141" t="s">
        <v>20</v>
      </c>
      <c r="E24" s="141" t="s">
        <v>256</v>
      </c>
      <c r="F24" s="155">
        <v>2.5</v>
      </c>
      <c r="G24" s="189"/>
      <c r="H24" s="146">
        <v>74300</v>
      </c>
      <c r="I24" s="146">
        <v>54896</v>
      </c>
      <c r="J24" s="146">
        <v>-123000</v>
      </c>
      <c r="K24" s="146">
        <v>-92751</v>
      </c>
      <c r="L24" s="146">
        <v>0</v>
      </c>
      <c r="M24" s="146">
        <v>0</v>
      </c>
      <c r="N24" s="146">
        <v>30224</v>
      </c>
      <c r="O24" s="146">
        <v>0</v>
      </c>
      <c r="P24" s="146">
        <v>27513</v>
      </c>
      <c r="Q24" s="146">
        <v>0</v>
      </c>
      <c r="R24" s="146">
        <v>21944</v>
      </c>
      <c r="S24" s="146">
        <v>66248</v>
      </c>
      <c r="T24" s="146">
        <v>0</v>
      </c>
      <c r="U24" s="146">
        <v>59359</v>
      </c>
      <c r="V24" s="146">
        <v>-134039</v>
      </c>
      <c r="W24" s="146">
        <v>0</v>
      </c>
      <c r="X24" s="146">
        <v>95303</v>
      </c>
      <c r="Y24" s="146">
        <v>-588</v>
      </c>
      <c r="Z24" s="146">
        <v>0</v>
      </c>
      <c r="AA24" s="173"/>
      <c r="AB24" s="170">
        <f t="shared" si="4"/>
        <v>79409</v>
      </c>
      <c r="AC24" s="148">
        <f t="shared" si="5"/>
        <v>0.31763599999999997</v>
      </c>
    </row>
    <row r="25" spans="1:38" x14ac:dyDescent="0.25">
      <c r="A25" s="141" t="s">
        <v>23</v>
      </c>
      <c r="B25" s="140" t="s">
        <v>74</v>
      </c>
      <c r="C25" s="140" t="s">
        <v>59</v>
      </c>
      <c r="D25" s="141" t="s">
        <v>3</v>
      </c>
      <c r="E25" s="141" t="s">
        <v>256</v>
      </c>
      <c r="F25" s="155">
        <v>4</v>
      </c>
      <c r="G25" s="189"/>
      <c r="H25" s="146">
        <v>-60222</v>
      </c>
      <c r="I25" s="146">
        <v>-72063</v>
      </c>
      <c r="J25" s="146">
        <v>-254076</v>
      </c>
      <c r="K25" s="146">
        <v>-181719</v>
      </c>
      <c r="L25" s="146">
        <v>0</v>
      </c>
      <c r="M25" s="146">
        <v>0</v>
      </c>
      <c r="N25" s="146">
        <v>146544</v>
      </c>
      <c r="O25" s="146">
        <v>0</v>
      </c>
      <c r="P25" s="146">
        <v>106643</v>
      </c>
      <c r="Q25" s="146">
        <v>0</v>
      </c>
      <c r="R25" s="146">
        <v>130280</v>
      </c>
      <c r="S25" s="146">
        <v>101872</v>
      </c>
      <c r="T25" s="146">
        <v>0</v>
      </c>
      <c r="U25" s="146">
        <v>-66867</v>
      </c>
      <c r="V25" s="146">
        <v>-200039</v>
      </c>
      <c r="W25" s="146">
        <v>0</v>
      </c>
      <c r="X25" s="146">
        <v>63822</v>
      </c>
      <c r="Y25" s="146">
        <v>-5127</v>
      </c>
      <c r="Z25" s="146">
        <v>0</v>
      </c>
      <c r="AA25" s="173"/>
      <c r="AB25" s="170">
        <f t="shared" si="4"/>
        <v>-290952</v>
      </c>
      <c r="AC25" s="148">
        <f t="shared" si="5"/>
        <v>-0.72738000000000003</v>
      </c>
    </row>
    <row r="26" spans="1:38" x14ac:dyDescent="0.25">
      <c r="A26" s="141" t="s">
        <v>110</v>
      </c>
      <c r="B26" s="140" t="s">
        <v>111</v>
      </c>
      <c r="C26" s="140" t="s">
        <v>109</v>
      </c>
      <c r="D26" s="141" t="s">
        <v>152</v>
      </c>
      <c r="E26" s="141" t="s">
        <v>256</v>
      </c>
      <c r="F26" s="155">
        <v>1.1000000000000001</v>
      </c>
      <c r="G26" s="189"/>
      <c r="H26" s="146">
        <v>-30272</v>
      </c>
      <c r="I26" s="146">
        <v>12309</v>
      </c>
      <c r="J26" s="146">
        <v>-19774</v>
      </c>
      <c r="K26" s="146">
        <v>-56313</v>
      </c>
      <c r="L26" s="146">
        <v>0</v>
      </c>
      <c r="M26" s="146">
        <v>9300</v>
      </c>
      <c r="N26" s="146">
        <v>-15640</v>
      </c>
      <c r="O26" s="146">
        <v>-37774</v>
      </c>
      <c r="P26" s="146">
        <v>-16249</v>
      </c>
      <c r="Q26" s="146">
        <v>-28294</v>
      </c>
      <c r="R26" s="146">
        <v>26515</v>
      </c>
      <c r="S26" s="146">
        <v>37458</v>
      </c>
      <c r="T26" s="146">
        <v>-43039</v>
      </c>
      <c r="U26" s="146">
        <v>0</v>
      </c>
      <c r="V26" s="146">
        <v>0</v>
      </c>
      <c r="W26" s="146">
        <v>1396</v>
      </c>
      <c r="X26" s="146">
        <v>0</v>
      </c>
      <c r="Y26" s="146">
        <v>8811</v>
      </c>
      <c r="Z26" s="146">
        <v>-26716</v>
      </c>
      <c r="AA26" s="173"/>
      <c r="AB26" s="170">
        <f t="shared" si="4"/>
        <v>-178282</v>
      </c>
      <c r="AC26" s="148">
        <f t="shared" si="5"/>
        <v>-1.6207454545454545</v>
      </c>
      <c r="AF26" s="132">
        <v>5199</v>
      </c>
    </row>
    <row r="27" spans="1:38" x14ac:dyDescent="0.25">
      <c r="A27" s="141" t="s">
        <v>148</v>
      </c>
      <c r="B27" s="140" t="s">
        <v>111</v>
      </c>
      <c r="C27" s="140" t="s">
        <v>128</v>
      </c>
      <c r="D27" s="141" t="s">
        <v>152</v>
      </c>
      <c r="E27" s="141" t="s">
        <v>256</v>
      </c>
      <c r="F27" s="155">
        <v>0.25</v>
      </c>
      <c r="G27" s="189"/>
      <c r="H27" s="146">
        <v>0</v>
      </c>
      <c r="I27" s="146">
        <v>0</v>
      </c>
      <c r="J27" s="146">
        <v>0</v>
      </c>
      <c r="K27" s="146">
        <v>-76253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X27" s="146">
        <v>0</v>
      </c>
      <c r="Y27" s="146">
        <v>0</v>
      </c>
      <c r="Z27" s="146">
        <v>0</v>
      </c>
      <c r="AA27" s="173"/>
      <c r="AB27" s="170">
        <f t="shared" si="4"/>
        <v>-76253</v>
      </c>
      <c r="AC27" s="148">
        <f t="shared" si="5"/>
        <v>-3.0501200000000002</v>
      </c>
      <c r="AF27" s="132">
        <v>4005</v>
      </c>
      <c r="AI27" s="132">
        <v>90975</v>
      </c>
      <c r="AL27" s="132">
        <v>-38200</v>
      </c>
    </row>
    <row r="28" spans="1:38" x14ac:dyDescent="0.25">
      <c r="A28" s="141" t="s">
        <v>165</v>
      </c>
      <c r="B28" s="140" t="s">
        <v>164</v>
      </c>
      <c r="C28" s="140" t="s">
        <v>223</v>
      </c>
      <c r="D28" s="141" t="s">
        <v>261</v>
      </c>
      <c r="E28" s="141" t="s">
        <v>256</v>
      </c>
      <c r="F28" s="155">
        <v>1.5</v>
      </c>
      <c r="G28" s="189"/>
      <c r="H28" s="146">
        <v>-44200</v>
      </c>
      <c r="I28" s="146">
        <v>46000</v>
      </c>
      <c r="J28" s="146">
        <v>80000</v>
      </c>
      <c r="K28" s="146">
        <v>-128000</v>
      </c>
      <c r="L28" s="146">
        <v>0</v>
      </c>
      <c r="M28" s="146">
        <v>35000</v>
      </c>
      <c r="N28" s="146">
        <v>8000</v>
      </c>
      <c r="O28" s="146">
        <v>-21000</v>
      </c>
      <c r="P28" s="146">
        <v>18000</v>
      </c>
      <c r="Q28" s="146">
        <v>-240000</v>
      </c>
      <c r="R28" s="146">
        <v>59542</v>
      </c>
      <c r="S28" s="146">
        <v>-270000</v>
      </c>
      <c r="T28" s="146">
        <v>105000</v>
      </c>
      <c r="U28" s="146">
        <v>-111119</v>
      </c>
      <c r="V28" s="146">
        <v>32000</v>
      </c>
      <c r="W28" s="146">
        <v>61559</v>
      </c>
      <c r="X28" s="146">
        <v>121612</v>
      </c>
      <c r="Y28" s="146">
        <v>-30000</v>
      </c>
      <c r="Z28" s="146">
        <v>275313</v>
      </c>
      <c r="AA28" s="173"/>
      <c r="AB28" s="170">
        <f t="shared" si="4"/>
        <v>-2293</v>
      </c>
      <c r="AC28" s="148">
        <f t="shared" si="5"/>
        <v>-1.5286666666666669E-2</v>
      </c>
      <c r="AF28" s="132">
        <v>-5157</v>
      </c>
      <c r="AI28" s="132">
        <v>-31616</v>
      </c>
      <c r="AL28" s="132">
        <v>11900</v>
      </c>
    </row>
    <row r="29" spans="1:38" x14ac:dyDescent="0.25">
      <c r="A29" s="141" t="s">
        <v>32</v>
      </c>
      <c r="B29" s="140" t="s">
        <v>63</v>
      </c>
      <c r="C29" s="141" t="s">
        <v>21</v>
      </c>
      <c r="D29" s="141" t="s">
        <v>40</v>
      </c>
      <c r="E29" s="141" t="s">
        <v>256</v>
      </c>
      <c r="F29" s="155">
        <v>1.1000000000000001</v>
      </c>
      <c r="G29" s="190"/>
      <c r="H29" s="146">
        <v>1615</v>
      </c>
      <c r="I29" s="146">
        <v>81570</v>
      </c>
      <c r="J29" s="146">
        <v>-79164</v>
      </c>
      <c r="K29" s="146">
        <v>18000</v>
      </c>
      <c r="L29" s="146">
        <v>-23000</v>
      </c>
      <c r="M29" s="146">
        <v>69536</v>
      </c>
      <c r="N29" s="146">
        <v>50466</v>
      </c>
      <c r="O29" s="146">
        <v>8507</v>
      </c>
      <c r="P29" s="146">
        <v>-98936</v>
      </c>
      <c r="Q29" s="146">
        <v>72368</v>
      </c>
      <c r="R29" s="146">
        <v>-10692</v>
      </c>
      <c r="S29" s="146">
        <v>-25458</v>
      </c>
      <c r="T29" s="146">
        <v>-127854</v>
      </c>
      <c r="U29" s="146">
        <v>51359</v>
      </c>
      <c r="V29" s="146">
        <v>43571</v>
      </c>
      <c r="W29" s="146">
        <v>50</v>
      </c>
      <c r="X29" s="146">
        <v>-42654</v>
      </c>
      <c r="Y29" s="146">
        <v>52928</v>
      </c>
      <c r="Z29" s="146">
        <v>-141813</v>
      </c>
      <c r="AA29" s="173"/>
      <c r="AB29" s="170">
        <f t="shared" si="4"/>
        <v>-99601</v>
      </c>
      <c r="AC29" s="148">
        <f t="shared" si="5"/>
        <v>-0.90546363636363636</v>
      </c>
    </row>
    <row r="30" spans="1:38" x14ac:dyDescent="0.25">
      <c r="A30" s="141" t="s">
        <v>117</v>
      </c>
      <c r="B30" s="140" t="s">
        <v>63</v>
      </c>
      <c r="C30" s="141" t="s">
        <v>231</v>
      </c>
      <c r="D30" s="141" t="s">
        <v>40</v>
      </c>
      <c r="E30" s="141" t="s">
        <v>256</v>
      </c>
      <c r="F30" s="155">
        <v>0.5</v>
      </c>
      <c r="G30" s="190"/>
      <c r="H30" s="146">
        <v>-32000</v>
      </c>
      <c r="I30" s="146">
        <v>-50500</v>
      </c>
      <c r="J30" s="146">
        <v>18000</v>
      </c>
      <c r="K30" s="146">
        <v>-95000</v>
      </c>
      <c r="L30" s="146">
        <v>1000</v>
      </c>
      <c r="M30" s="146">
        <v>69000</v>
      </c>
      <c r="N30" s="146">
        <v>0</v>
      </c>
      <c r="O30" s="146">
        <v>-58500</v>
      </c>
      <c r="P30" s="146">
        <v>25000</v>
      </c>
      <c r="Q30" s="146">
        <v>-12000</v>
      </c>
      <c r="R30" s="146">
        <v>6694</v>
      </c>
      <c r="S30" s="146">
        <v>0</v>
      </c>
      <c r="T30" s="146">
        <v>0</v>
      </c>
      <c r="U30" s="146">
        <v>0</v>
      </c>
      <c r="V30" s="146">
        <v>0</v>
      </c>
      <c r="W30" s="146">
        <v>0</v>
      </c>
      <c r="X30" s="146">
        <v>0</v>
      </c>
      <c r="Y30" s="146">
        <v>0</v>
      </c>
      <c r="Z30" s="146">
        <v>0</v>
      </c>
      <c r="AA30" s="173"/>
      <c r="AB30" s="170">
        <f t="shared" si="4"/>
        <v>-128306</v>
      </c>
      <c r="AC30" s="148">
        <f t="shared" si="5"/>
        <v>-2.5661200000000002</v>
      </c>
      <c r="AF30" s="132">
        <f>SUM(AF25:AF28)</f>
        <v>4047</v>
      </c>
      <c r="AI30" s="132">
        <f>SUM(AI27:AI28)</f>
        <v>59359</v>
      </c>
    </row>
    <row r="31" spans="1:38" x14ac:dyDescent="0.25">
      <c r="A31" s="141" t="s">
        <v>97</v>
      </c>
      <c r="B31" s="140" t="s">
        <v>68</v>
      </c>
      <c r="C31" s="140" t="s">
        <v>206</v>
      </c>
      <c r="D31" s="141" t="s">
        <v>107</v>
      </c>
      <c r="E31" s="141" t="s">
        <v>107</v>
      </c>
      <c r="F31" s="155">
        <v>2.2999999999999998</v>
      </c>
      <c r="G31" s="190"/>
      <c r="H31" s="146">
        <v>227231</v>
      </c>
      <c r="I31" s="146">
        <v>73500</v>
      </c>
      <c r="J31" s="146">
        <v>432863</v>
      </c>
      <c r="K31" s="146">
        <v>185121</v>
      </c>
      <c r="L31" s="146">
        <v>-27635</v>
      </c>
      <c r="M31" s="146">
        <v>-298645</v>
      </c>
      <c r="N31" s="146">
        <v>-692681</v>
      </c>
      <c r="O31" s="146">
        <v>166144</v>
      </c>
      <c r="P31" s="146">
        <v>283223</v>
      </c>
      <c r="Q31" s="146">
        <v>-144800</v>
      </c>
      <c r="R31" s="146">
        <v>-172000</v>
      </c>
      <c r="S31" s="146">
        <v>172000</v>
      </c>
      <c r="T31" s="146">
        <v>44815</v>
      </c>
      <c r="U31" s="146">
        <v>34323</v>
      </c>
      <c r="V31" s="146">
        <v>136162</v>
      </c>
      <c r="W31" s="146">
        <v>411426</v>
      </c>
      <c r="X31" s="146">
        <v>21776</v>
      </c>
      <c r="Y31" s="146">
        <v>278045</v>
      </c>
      <c r="Z31" s="146">
        <v>-442839</v>
      </c>
      <c r="AA31" s="173"/>
      <c r="AB31" s="170">
        <f t="shared" si="4"/>
        <v>688029</v>
      </c>
      <c r="AC31" s="148">
        <f t="shared" si="5"/>
        <v>2.9914304347826084</v>
      </c>
    </row>
    <row r="32" spans="1:38" x14ac:dyDescent="0.25">
      <c r="A32" s="141" t="s">
        <v>29</v>
      </c>
      <c r="B32" s="140" t="s">
        <v>22</v>
      </c>
      <c r="C32" s="140" t="s">
        <v>151</v>
      </c>
      <c r="D32" s="141" t="s">
        <v>5</v>
      </c>
      <c r="E32" s="141" t="s">
        <v>256</v>
      </c>
      <c r="F32" s="155">
        <v>5</v>
      </c>
      <c r="G32" s="190"/>
      <c r="H32" s="146">
        <v>0</v>
      </c>
      <c r="I32" s="146">
        <v>91000</v>
      </c>
      <c r="J32" s="146">
        <v>-485000</v>
      </c>
      <c r="K32" s="146">
        <v>0</v>
      </c>
      <c r="L32" s="146">
        <v>0</v>
      </c>
      <c r="M32" s="146">
        <v>0</v>
      </c>
      <c r="N32" s="146">
        <v>316425</v>
      </c>
      <c r="O32" s="146">
        <v>0</v>
      </c>
      <c r="P32" s="146">
        <v>278700</v>
      </c>
      <c r="Q32" s="146">
        <v>0</v>
      </c>
      <c r="R32" s="146">
        <v>203108</v>
      </c>
      <c r="S32" s="146">
        <v>384770</v>
      </c>
      <c r="T32" s="146">
        <v>0</v>
      </c>
      <c r="U32" s="146">
        <v>16821</v>
      </c>
      <c r="V32" s="146">
        <v>-311000</v>
      </c>
      <c r="W32" s="146">
        <v>0</v>
      </c>
      <c r="X32" s="146">
        <v>342162</v>
      </c>
      <c r="Y32" s="146">
        <v>4050</v>
      </c>
      <c r="Z32" s="146">
        <v>0</v>
      </c>
      <c r="AA32" s="173"/>
      <c r="AB32" s="170">
        <f t="shared" si="4"/>
        <v>841036</v>
      </c>
      <c r="AC32" s="148">
        <f t="shared" si="5"/>
        <v>1.682072</v>
      </c>
    </row>
    <row r="33" spans="1:32" x14ac:dyDescent="0.25">
      <c r="A33" s="141" t="s">
        <v>28</v>
      </c>
      <c r="B33" s="140" t="s">
        <v>155</v>
      </c>
      <c r="C33" s="140" t="s">
        <v>121</v>
      </c>
      <c r="D33" s="141" t="s">
        <v>91</v>
      </c>
      <c r="E33" s="141" t="s">
        <v>256</v>
      </c>
      <c r="F33" s="155">
        <v>10</v>
      </c>
      <c r="G33" s="190"/>
      <c r="H33" s="146">
        <v>0</v>
      </c>
      <c r="I33" s="146">
        <v>-450000</v>
      </c>
      <c r="J33" s="146">
        <v>350000</v>
      </c>
      <c r="K33" s="146">
        <v>315000</v>
      </c>
      <c r="L33" s="146">
        <v>1000</v>
      </c>
      <c r="M33" s="146">
        <v>0</v>
      </c>
      <c r="N33" s="146">
        <v>30000</v>
      </c>
      <c r="O33" s="146">
        <v>-480000</v>
      </c>
      <c r="P33" s="146">
        <v>-506000</v>
      </c>
      <c r="Q33" s="146">
        <v>0</v>
      </c>
      <c r="R33" s="146">
        <v>-1300</v>
      </c>
      <c r="S33" s="146">
        <v>630000</v>
      </c>
      <c r="T33" s="146">
        <v>14125</v>
      </c>
      <c r="U33" s="146">
        <v>304670</v>
      </c>
      <c r="V33" s="146">
        <v>0</v>
      </c>
      <c r="W33" s="146">
        <v>0</v>
      </c>
      <c r="X33" s="146">
        <v>-433430</v>
      </c>
      <c r="Y33" s="146">
        <v>195470</v>
      </c>
      <c r="Z33" s="146">
        <v>0</v>
      </c>
      <c r="AA33" s="173"/>
      <c r="AB33" s="170">
        <f t="shared" si="4"/>
        <v>-30465</v>
      </c>
      <c r="AC33" s="148">
        <f t="shared" si="5"/>
        <v>-3.0464999999999999E-2</v>
      </c>
    </row>
    <row r="34" spans="1:32" x14ac:dyDescent="0.25">
      <c r="A34" s="141" t="s">
        <v>191</v>
      </c>
      <c r="B34" s="140" t="s">
        <v>184</v>
      </c>
      <c r="C34" s="140" t="s">
        <v>185</v>
      </c>
      <c r="D34" s="141" t="s">
        <v>91</v>
      </c>
      <c r="E34" s="141" t="s">
        <v>256</v>
      </c>
      <c r="F34" s="155">
        <v>13</v>
      </c>
      <c r="G34" s="189"/>
      <c r="H34" s="146">
        <v>0</v>
      </c>
      <c r="I34" s="146">
        <v>-435000</v>
      </c>
      <c r="J34" s="146">
        <v>355000</v>
      </c>
      <c r="K34" s="146">
        <v>325000</v>
      </c>
      <c r="L34" s="146">
        <v>-2000</v>
      </c>
      <c r="M34" s="146">
        <v>0</v>
      </c>
      <c r="N34" s="146">
        <v>30000</v>
      </c>
      <c r="O34" s="146">
        <v>-480000</v>
      </c>
      <c r="P34" s="146">
        <v>-580000</v>
      </c>
      <c r="Q34" s="146">
        <v>0</v>
      </c>
      <c r="R34" s="146">
        <v>-3077</v>
      </c>
      <c r="S34" s="146">
        <v>1023900</v>
      </c>
      <c r="T34" s="146">
        <v>29034</v>
      </c>
      <c r="U34" s="146">
        <v>370833</v>
      </c>
      <c r="V34" s="146">
        <v>0</v>
      </c>
      <c r="W34" s="146">
        <v>0</v>
      </c>
      <c r="X34" s="146">
        <v>-543250</v>
      </c>
      <c r="Y34" s="146">
        <v>266831</v>
      </c>
      <c r="Z34" s="146">
        <v>0</v>
      </c>
      <c r="AA34" s="173"/>
      <c r="AB34" s="170">
        <f t="shared" ref="AB34:AB64" si="10">SUM(H34:AA34)</f>
        <v>357271</v>
      </c>
      <c r="AC34" s="148">
        <f t="shared" ref="AC34:AC64" si="11">IFERROR(AB34/F34*100,0)/10000000</f>
        <v>0.27482384615384614</v>
      </c>
      <c r="AF34" s="133"/>
    </row>
    <row r="35" spans="1:32" x14ac:dyDescent="0.25">
      <c r="A35" s="141" t="s">
        <v>194</v>
      </c>
      <c r="B35" s="140" t="s">
        <v>178</v>
      </c>
      <c r="C35" s="140" t="s">
        <v>180</v>
      </c>
      <c r="D35" s="141" t="s">
        <v>91</v>
      </c>
      <c r="E35" s="141" t="s">
        <v>256</v>
      </c>
      <c r="F35" s="155">
        <v>6</v>
      </c>
      <c r="G35" s="189"/>
      <c r="H35" s="146">
        <v>0</v>
      </c>
      <c r="I35" s="146">
        <v>-126000</v>
      </c>
      <c r="J35" s="146">
        <v>100000</v>
      </c>
      <c r="K35" s="146">
        <v>91000</v>
      </c>
      <c r="L35" s="146">
        <v>-500</v>
      </c>
      <c r="M35" s="146">
        <v>0</v>
      </c>
      <c r="N35" s="146">
        <v>9000</v>
      </c>
      <c r="O35" s="146">
        <v>-136000</v>
      </c>
      <c r="P35" s="146">
        <v>-163000</v>
      </c>
      <c r="Q35" s="146">
        <v>0</v>
      </c>
      <c r="R35" s="146">
        <v>-922</v>
      </c>
      <c r="S35" s="146">
        <v>368281</v>
      </c>
      <c r="T35" s="146">
        <v>13291</v>
      </c>
      <c r="U35" s="146">
        <v>165436</v>
      </c>
      <c r="V35" s="146">
        <v>0</v>
      </c>
      <c r="W35" s="146">
        <v>0</v>
      </c>
      <c r="X35" s="146">
        <v>-240186</v>
      </c>
      <c r="Y35" s="146">
        <v>119000</v>
      </c>
      <c r="Z35" s="146">
        <v>0</v>
      </c>
      <c r="AA35" s="173"/>
      <c r="AB35" s="170">
        <f t="shared" si="10"/>
        <v>199400</v>
      </c>
      <c r="AC35" s="148">
        <f t="shared" si="11"/>
        <v>0.33233333333333337</v>
      </c>
      <c r="AE35" s="5"/>
      <c r="AF35" s="133">
        <v>17901</v>
      </c>
    </row>
    <row r="36" spans="1:32" x14ac:dyDescent="0.25">
      <c r="A36" s="141" t="s">
        <v>147</v>
      </c>
      <c r="B36" s="140" t="s">
        <v>146</v>
      </c>
      <c r="C36" s="140" t="s">
        <v>140</v>
      </c>
      <c r="D36" s="141" t="s">
        <v>91</v>
      </c>
      <c r="E36" s="141" t="s">
        <v>256</v>
      </c>
      <c r="F36" s="155">
        <v>1.5</v>
      </c>
      <c r="G36" s="189"/>
      <c r="H36" s="146">
        <v>0</v>
      </c>
      <c r="I36" s="146">
        <v>-64000</v>
      </c>
      <c r="J36" s="146">
        <v>48000</v>
      </c>
      <c r="K36" s="146">
        <v>45000</v>
      </c>
      <c r="L36" s="146">
        <v>-500</v>
      </c>
      <c r="M36" s="146">
        <v>0</v>
      </c>
      <c r="N36" s="146">
        <v>5000</v>
      </c>
      <c r="O36" s="146">
        <v>-70000</v>
      </c>
      <c r="P36" s="146">
        <v>-88000</v>
      </c>
      <c r="Q36" s="146">
        <v>0</v>
      </c>
      <c r="R36" s="146">
        <v>-300</v>
      </c>
      <c r="S36" s="146">
        <v>92330</v>
      </c>
      <c r="T36" s="146">
        <v>3700</v>
      </c>
      <c r="U36" s="146">
        <v>41310</v>
      </c>
      <c r="V36" s="146">
        <v>0</v>
      </c>
      <c r="W36" s="146">
        <v>0</v>
      </c>
      <c r="X36" s="146">
        <v>-59889</v>
      </c>
      <c r="Y36" s="146">
        <v>29775</v>
      </c>
      <c r="Z36" s="146">
        <v>0</v>
      </c>
      <c r="AA36" s="173"/>
      <c r="AB36" s="170">
        <f t="shared" si="10"/>
        <v>-17574</v>
      </c>
      <c r="AC36" s="148">
        <f t="shared" si="11"/>
        <v>-0.11716</v>
      </c>
      <c r="AE36" s="5"/>
      <c r="AF36" s="133"/>
    </row>
    <row r="37" spans="1:32" x14ac:dyDescent="0.25">
      <c r="A37" s="162" t="s">
        <v>205</v>
      </c>
      <c r="B37" s="140" t="s">
        <v>203</v>
      </c>
      <c r="C37" s="140" t="s">
        <v>204</v>
      </c>
      <c r="D37" s="141" t="s">
        <v>91</v>
      </c>
      <c r="E37" s="162" t="s">
        <v>256</v>
      </c>
      <c r="F37" s="163">
        <v>1.25</v>
      </c>
      <c r="G37" s="194"/>
      <c r="H37" s="150">
        <v>0</v>
      </c>
      <c r="I37" s="150">
        <v>-64000</v>
      </c>
      <c r="J37" s="150">
        <v>48000</v>
      </c>
      <c r="K37" s="150">
        <v>45000</v>
      </c>
      <c r="L37" s="150">
        <v>-500</v>
      </c>
      <c r="M37" s="150">
        <v>0</v>
      </c>
      <c r="N37" s="150">
        <v>5000</v>
      </c>
      <c r="O37" s="150">
        <v>-70000</v>
      </c>
      <c r="P37" s="150">
        <v>-83000</v>
      </c>
      <c r="Q37" s="150">
        <v>0</v>
      </c>
      <c r="R37" s="150">
        <v>-425</v>
      </c>
      <c r="S37" s="150">
        <v>92511</v>
      </c>
      <c r="T37" s="150">
        <v>3550</v>
      </c>
      <c r="U37" s="150">
        <v>41235</v>
      </c>
      <c r="V37" s="150">
        <v>0</v>
      </c>
      <c r="W37" s="150">
        <v>0</v>
      </c>
      <c r="X37" s="150">
        <v>-60000</v>
      </c>
      <c r="Y37" s="150">
        <v>29387</v>
      </c>
      <c r="Z37" s="150">
        <v>0</v>
      </c>
      <c r="AA37" s="174"/>
      <c r="AB37" s="170">
        <f t="shared" si="10"/>
        <v>-13242</v>
      </c>
      <c r="AC37" s="148">
        <f t="shared" si="11"/>
        <v>-0.105936</v>
      </c>
      <c r="AE37" s="133">
        <v>48119</v>
      </c>
      <c r="AF37" s="133">
        <f>(AE38+AE37)/10000000*13780</f>
        <v>157.28354199999998</v>
      </c>
    </row>
    <row r="38" spans="1:32" x14ac:dyDescent="0.25">
      <c r="A38" s="62" t="s">
        <v>1</v>
      </c>
      <c r="B38" s="62" t="s">
        <v>113</v>
      </c>
      <c r="C38" s="62" t="s">
        <v>248</v>
      </c>
      <c r="D38" s="140" t="s">
        <v>92</v>
      </c>
      <c r="E38" s="62" t="s">
        <v>256</v>
      </c>
      <c r="F38" s="114">
        <v>1.5</v>
      </c>
      <c r="G38" s="195"/>
      <c r="H38" s="150">
        <v>0</v>
      </c>
      <c r="I38" s="150">
        <v>-64000</v>
      </c>
      <c r="J38" s="150">
        <v>48000</v>
      </c>
      <c r="K38" s="150">
        <v>45000</v>
      </c>
      <c r="L38" s="150">
        <v>-500</v>
      </c>
      <c r="M38" s="150">
        <v>0</v>
      </c>
      <c r="N38" s="150">
        <v>5000</v>
      </c>
      <c r="O38" s="150">
        <v>-70000</v>
      </c>
      <c r="P38" s="150">
        <v>-86000</v>
      </c>
      <c r="Q38" s="150">
        <v>0</v>
      </c>
      <c r="R38" s="150">
        <v>-210</v>
      </c>
      <c r="S38" s="150">
        <v>92274</v>
      </c>
      <c r="T38" s="150">
        <v>3550</v>
      </c>
      <c r="U38" s="150">
        <v>41492</v>
      </c>
      <c r="V38" s="150">
        <v>0</v>
      </c>
      <c r="W38" s="150">
        <v>0</v>
      </c>
      <c r="X38" s="150">
        <v>-60533</v>
      </c>
      <c r="Y38" s="150">
        <v>29837</v>
      </c>
      <c r="Z38" s="150">
        <v>0</v>
      </c>
      <c r="AA38" s="174"/>
      <c r="AB38" s="170">
        <f t="shared" si="10"/>
        <v>-16090</v>
      </c>
      <c r="AC38" s="148">
        <f t="shared" si="11"/>
        <v>-0.10726666666666665</v>
      </c>
      <c r="AE38" s="133">
        <v>66020</v>
      </c>
      <c r="AF38" s="133"/>
    </row>
    <row r="39" spans="1:32" x14ac:dyDescent="0.25">
      <c r="A39" s="141" t="s">
        <v>65</v>
      </c>
      <c r="B39" s="140" t="s">
        <v>64</v>
      </c>
      <c r="C39" s="140" t="s">
        <v>7</v>
      </c>
      <c r="D39" s="141" t="s">
        <v>152</v>
      </c>
      <c r="E39" s="141" t="s">
        <v>256</v>
      </c>
      <c r="F39" s="155">
        <v>5</v>
      </c>
      <c r="G39" s="189"/>
      <c r="H39" s="146">
        <v>0</v>
      </c>
      <c r="I39" s="146">
        <v>-113337</v>
      </c>
      <c r="J39" s="146">
        <v>0</v>
      </c>
      <c r="K39" s="146">
        <v>-25000</v>
      </c>
      <c r="L39" s="146">
        <v>0</v>
      </c>
      <c r="M39" s="146">
        <v>0</v>
      </c>
      <c r="N39" s="146">
        <v>263247</v>
      </c>
      <c r="O39" s="146">
        <v>0</v>
      </c>
      <c r="P39" s="146">
        <v>222637</v>
      </c>
      <c r="Q39" s="146">
        <v>0</v>
      </c>
      <c r="R39" s="146">
        <v>0</v>
      </c>
      <c r="S39" s="146">
        <v>507515</v>
      </c>
      <c r="T39" s="146">
        <v>0</v>
      </c>
      <c r="U39" s="146">
        <v>-196449</v>
      </c>
      <c r="V39" s="146">
        <v>0</v>
      </c>
      <c r="W39" s="146">
        <v>0</v>
      </c>
      <c r="X39" s="146">
        <v>6889</v>
      </c>
      <c r="Y39" s="146">
        <v>178726</v>
      </c>
      <c r="Z39" s="146">
        <v>0</v>
      </c>
      <c r="AA39" s="173"/>
      <c r="AB39" s="170">
        <f t="shared" si="10"/>
        <v>844228</v>
      </c>
      <c r="AC39" s="148">
        <f t="shared" si="11"/>
        <v>1.688456</v>
      </c>
      <c r="AE39" s="133"/>
      <c r="AF39" s="133"/>
    </row>
    <row r="40" spans="1:32" x14ac:dyDescent="0.25">
      <c r="A40" s="140" t="s">
        <v>34</v>
      </c>
      <c r="B40" s="142" t="s">
        <v>18</v>
      </c>
      <c r="C40" s="140" t="s">
        <v>10</v>
      </c>
      <c r="D40" s="141" t="s">
        <v>152</v>
      </c>
      <c r="E40" s="141" t="s">
        <v>256</v>
      </c>
      <c r="F40" s="118">
        <v>5</v>
      </c>
      <c r="G40" s="196"/>
      <c r="H40" s="146">
        <v>101487</v>
      </c>
      <c r="I40" s="146">
        <v>-30944</v>
      </c>
      <c r="J40" s="146">
        <v>-299979</v>
      </c>
      <c r="K40" s="146">
        <v>-244898</v>
      </c>
      <c r="L40" s="146">
        <v>-200000</v>
      </c>
      <c r="M40" s="146">
        <v>36873</v>
      </c>
      <c r="N40" s="146">
        <v>46086</v>
      </c>
      <c r="O40" s="146">
        <v>-63687</v>
      </c>
      <c r="P40" s="146">
        <v>-36516</v>
      </c>
      <c r="Q40" s="146">
        <v>129260</v>
      </c>
      <c r="R40" s="146">
        <v>152628</v>
      </c>
      <c r="S40" s="146">
        <v>-14592</v>
      </c>
      <c r="T40" s="146">
        <v>15819</v>
      </c>
      <c r="U40" s="146">
        <v>-65859</v>
      </c>
      <c r="V40" s="146">
        <v>-179874</v>
      </c>
      <c r="W40" s="146">
        <v>-24927</v>
      </c>
      <c r="X40" s="146">
        <v>0</v>
      </c>
      <c r="Y40" s="146">
        <v>0</v>
      </c>
      <c r="Z40" s="146">
        <v>48284</v>
      </c>
      <c r="AA40" s="173"/>
      <c r="AB40" s="170">
        <f t="shared" si="10"/>
        <v>-630839</v>
      </c>
      <c r="AC40" s="148">
        <f t="shared" si="11"/>
        <v>-1.2616780000000001</v>
      </c>
      <c r="AE40" s="133"/>
      <c r="AF40" s="133"/>
    </row>
    <row r="41" spans="1:32" ht="17.25" customHeight="1" x14ac:dyDescent="0.25">
      <c r="A41" s="140" t="s">
        <v>131</v>
      </c>
      <c r="B41" s="142" t="s">
        <v>130</v>
      </c>
      <c r="C41" s="140" t="s">
        <v>16</v>
      </c>
      <c r="D41" s="141" t="s">
        <v>262</v>
      </c>
      <c r="E41" s="141" t="s">
        <v>256</v>
      </c>
      <c r="F41" s="118">
        <v>0.5</v>
      </c>
      <c r="G41" s="196"/>
      <c r="H41" s="146">
        <v>-136</v>
      </c>
      <c r="I41" s="146">
        <v>-72694</v>
      </c>
      <c r="J41" s="146">
        <v>5031</v>
      </c>
      <c r="K41" s="146">
        <v>-42713</v>
      </c>
      <c r="L41" s="146">
        <v>-28500</v>
      </c>
      <c r="M41" s="146">
        <v>-3197</v>
      </c>
      <c r="N41" s="146">
        <v>50620</v>
      </c>
      <c r="O41" s="146">
        <v>-5718</v>
      </c>
      <c r="P41" s="146">
        <v>50901</v>
      </c>
      <c r="Q41" s="146">
        <v>-14735</v>
      </c>
      <c r="R41" s="146">
        <v>11914</v>
      </c>
      <c r="S41" s="146">
        <v>0</v>
      </c>
      <c r="T41" s="146">
        <v>24588</v>
      </c>
      <c r="U41" s="146">
        <v>72311</v>
      </c>
      <c r="V41" s="146">
        <v>16798</v>
      </c>
      <c r="W41" s="146">
        <v>-29907</v>
      </c>
      <c r="X41" s="146">
        <v>-10359</v>
      </c>
      <c r="Y41" s="146">
        <v>-24749</v>
      </c>
      <c r="Z41" s="146">
        <v>-21931</v>
      </c>
      <c r="AA41" s="173"/>
      <c r="AB41" s="170">
        <f t="shared" si="10"/>
        <v>-22476</v>
      </c>
      <c r="AC41" s="148">
        <f t="shared" si="11"/>
        <v>-0.44951999999999998</v>
      </c>
      <c r="AE41" s="133"/>
      <c r="AF41" s="192">
        <f>AF35-AF37</f>
        <v>17743.716457999999</v>
      </c>
    </row>
    <row r="42" spans="1:32" x14ac:dyDescent="0.25">
      <c r="A42" s="142" t="s">
        <v>26</v>
      </c>
      <c r="B42" s="140" t="s">
        <v>154</v>
      </c>
      <c r="C42" s="140" t="s">
        <v>15</v>
      </c>
      <c r="D42" s="142" t="s">
        <v>40</v>
      </c>
      <c r="E42" s="142" t="s">
        <v>256</v>
      </c>
      <c r="F42" s="156">
        <v>0.6</v>
      </c>
      <c r="G42" s="191"/>
      <c r="H42" s="146">
        <v>0</v>
      </c>
      <c r="I42" s="146">
        <v>56826</v>
      </c>
      <c r="J42" s="146">
        <v>0</v>
      </c>
      <c r="K42" s="146">
        <v>0</v>
      </c>
      <c r="L42" s="146">
        <v>0</v>
      </c>
      <c r="M42" s="146">
        <v>0</v>
      </c>
      <c r="N42" s="146">
        <v>0</v>
      </c>
      <c r="O42" s="146">
        <v>0</v>
      </c>
      <c r="P42" s="146">
        <v>0</v>
      </c>
      <c r="Q42" s="146">
        <v>0</v>
      </c>
      <c r="R42" s="146">
        <v>0</v>
      </c>
      <c r="S42" s="146">
        <v>0</v>
      </c>
      <c r="T42" s="146">
        <v>0</v>
      </c>
      <c r="U42" s="146">
        <v>0</v>
      </c>
      <c r="V42" s="146">
        <v>0</v>
      </c>
      <c r="W42" s="146">
        <v>0</v>
      </c>
      <c r="X42" s="146">
        <v>0</v>
      </c>
      <c r="Y42" s="146">
        <v>0</v>
      </c>
      <c r="Z42" s="146">
        <v>0</v>
      </c>
      <c r="AA42" s="173"/>
      <c r="AB42" s="170">
        <f t="shared" si="10"/>
        <v>56826</v>
      </c>
      <c r="AC42" s="148">
        <f t="shared" si="11"/>
        <v>0.94710000000000005</v>
      </c>
      <c r="AE42" s="133"/>
    </row>
    <row r="43" spans="1:32" x14ac:dyDescent="0.25">
      <c r="A43" s="43" t="s">
        <v>67</v>
      </c>
      <c r="B43" s="140" t="s">
        <v>154</v>
      </c>
      <c r="C43" s="140" t="s">
        <v>60</v>
      </c>
      <c r="D43" s="141" t="s">
        <v>4</v>
      </c>
      <c r="E43" s="141" t="s">
        <v>256</v>
      </c>
      <c r="F43" s="155">
        <v>0.4</v>
      </c>
      <c r="G43" s="190"/>
      <c r="H43" s="146">
        <v>-3009</v>
      </c>
      <c r="I43" s="146">
        <v>-41003</v>
      </c>
      <c r="J43" s="146">
        <v>1418</v>
      </c>
      <c r="K43" s="146">
        <v>-7197</v>
      </c>
      <c r="L43" s="146">
        <v>0</v>
      </c>
      <c r="M43" s="146">
        <v>-5359</v>
      </c>
      <c r="N43" s="146">
        <v>36543</v>
      </c>
      <c r="O43" s="146">
        <v>-30436</v>
      </c>
      <c r="P43" s="146">
        <v>-37195</v>
      </c>
      <c r="Q43" s="146">
        <v>-1157</v>
      </c>
      <c r="R43" s="146">
        <v>40364</v>
      </c>
      <c r="S43" s="146">
        <v>49203</v>
      </c>
      <c r="T43" s="146">
        <v>7500</v>
      </c>
      <c r="U43" s="146">
        <v>-1525</v>
      </c>
      <c r="V43" s="146">
        <v>-6593</v>
      </c>
      <c r="W43" s="146">
        <v>18444</v>
      </c>
      <c r="X43" s="146">
        <v>-53451</v>
      </c>
      <c r="Y43" s="146">
        <v>14521</v>
      </c>
      <c r="Z43" s="146">
        <v>9700</v>
      </c>
      <c r="AA43" s="173"/>
      <c r="AB43" s="170">
        <f t="shared" si="10"/>
        <v>-9232</v>
      </c>
      <c r="AC43" s="148">
        <f t="shared" si="11"/>
        <v>-0.23080000000000001</v>
      </c>
    </row>
    <row r="44" spans="1:32" x14ac:dyDescent="0.25">
      <c r="A44" s="43" t="s">
        <v>143</v>
      </c>
      <c r="B44" s="140" t="s">
        <v>19</v>
      </c>
      <c r="C44" s="141" t="s">
        <v>141</v>
      </c>
      <c r="D44" s="141" t="s">
        <v>107</v>
      </c>
      <c r="E44" s="141" t="s">
        <v>107</v>
      </c>
      <c r="F44" s="155">
        <v>0.5</v>
      </c>
      <c r="G44" s="190"/>
      <c r="H44" s="146">
        <v>0</v>
      </c>
      <c r="I44" s="146">
        <v>0</v>
      </c>
      <c r="J44" s="146">
        <v>0</v>
      </c>
      <c r="K44" s="146">
        <v>0</v>
      </c>
      <c r="L44" s="146">
        <v>0</v>
      </c>
      <c r="M44" s="146">
        <v>-45000</v>
      </c>
      <c r="N44" s="146">
        <v>17000</v>
      </c>
      <c r="O44" s="146">
        <v>-160000</v>
      </c>
      <c r="P44" s="146">
        <v>50000</v>
      </c>
      <c r="Q44" s="146">
        <v>-9600</v>
      </c>
      <c r="R44" s="146">
        <v>-33608</v>
      </c>
      <c r="S44" s="146">
        <v>-8791</v>
      </c>
      <c r="T44" s="146">
        <v>-43766</v>
      </c>
      <c r="U44" s="146">
        <v>0</v>
      </c>
      <c r="V44" s="146">
        <v>0</v>
      </c>
      <c r="W44" s="146">
        <v>-60908</v>
      </c>
      <c r="X44" s="146">
        <v>0</v>
      </c>
      <c r="Y44" s="146">
        <v>-24000</v>
      </c>
      <c r="Z44" s="146">
        <v>0</v>
      </c>
      <c r="AA44" s="173"/>
      <c r="AB44" s="170">
        <f t="shared" si="10"/>
        <v>-318673</v>
      </c>
      <c r="AC44" s="148">
        <f t="shared" si="11"/>
        <v>-6.3734599999999997</v>
      </c>
    </row>
    <row r="45" spans="1:32" x14ac:dyDescent="0.25">
      <c r="A45" s="43" t="s">
        <v>144</v>
      </c>
      <c r="B45" s="140" t="s">
        <v>19</v>
      </c>
      <c r="C45" s="141" t="s">
        <v>141</v>
      </c>
      <c r="D45" s="141" t="s">
        <v>145</v>
      </c>
      <c r="E45" s="141" t="s">
        <v>256</v>
      </c>
      <c r="F45" s="155">
        <v>0.5</v>
      </c>
      <c r="G45" s="190"/>
      <c r="H45" s="146">
        <v>0</v>
      </c>
      <c r="I45" s="146">
        <v>-15000</v>
      </c>
      <c r="J45" s="146">
        <v>5000</v>
      </c>
      <c r="K45" s="146">
        <v>-50000</v>
      </c>
      <c r="L45" s="146">
        <v>0</v>
      </c>
      <c r="M45" s="146">
        <v>0</v>
      </c>
      <c r="N45" s="146">
        <v>31000</v>
      </c>
      <c r="O45" s="146">
        <v>-46000</v>
      </c>
      <c r="P45" s="146">
        <v>-55000</v>
      </c>
      <c r="Q45" s="146">
        <v>-6000</v>
      </c>
      <c r="R45" s="146">
        <v>-79560</v>
      </c>
      <c r="S45" s="146">
        <v>0</v>
      </c>
      <c r="T45" s="146">
        <v>0</v>
      </c>
      <c r="U45" s="146">
        <v>0</v>
      </c>
      <c r="V45" s="146">
        <v>-39000</v>
      </c>
      <c r="W45" s="146">
        <v>0</v>
      </c>
      <c r="X45" s="146">
        <v>0</v>
      </c>
      <c r="Y45" s="146">
        <v>-16000</v>
      </c>
      <c r="Z45" s="146">
        <v>64000</v>
      </c>
      <c r="AA45" s="173"/>
      <c r="AB45" s="170">
        <f t="shared" si="10"/>
        <v>-206560</v>
      </c>
      <c r="AC45" s="148">
        <f t="shared" si="11"/>
        <v>-4.1311999999999998</v>
      </c>
    </row>
    <row r="46" spans="1:32" x14ac:dyDescent="0.25">
      <c r="A46" s="141" t="s">
        <v>31</v>
      </c>
      <c r="B46" s="142" t="s">
        <v>153</v>
      </c>
      <c r="C46" s="141" t="s">
        <v>222</v>
      </c>
      <c r="D46" s="141" t="s">
        <v>263</v>
      </c>
      <c r="E46" s="141" t="s">
        <v>256</v>
      </c>
      <c r="F46" s="155">
        <v>4</v>
      </c>
      <c r="G46" s="190"/>
      <c r="H46" s="146">
        <v>-35300</v>
      </c>
      <c r="I46" s="146">
        <v>-80000</v>
      </c>
      <c r="J46" s="146">
        <v>-18000</v>
      </c>
      <c r="K46" s="146">
        <v>-145000</v>
      </c>
      <c r="L46" s="146">
        <v>1000</v>
      </c>
      <c r="M46" s="146">
        <v>-99000</v>
      </c>
      <c r="N46" s="146">
        <v>11000</v>
      </c>
      <c r="O46" s="146">
        <v>17000</v>
      </c>
      <c r="P46" s="146">
        <v>38000</v>
      </c>
      <c r="Q46" s="146">
        <v>-156000</v>
      </c>
      <c r="R46" s="146">
        <v>-54000</v>
      </c>
      <c r="S46" s="146">
        <v>128721</v>
      </c>
      <c r="T46" s="146">
        <v>106753</v>
      </c>
      <c r="U46" s="146">
        <v>31672</v>
      </c>
      <c r="V46" s="146">
        <v>8000</v>
      </c>
      <c r="W46" s="146">
        <v>-617</v>
      </c>
      <c r="X46" s="146">
        <v>-58000</v>
      </c>
      <c r="Y46" s="146">
        <v>-48000</v>
      </c>
      <c r="Z46" s="146">
        <v>68000</v>
      </c>
      <c r="AA46" s="173"/>
      <c r="AB46" s="170">
        <f t="shared" si="10"/>
        <v>-283771</v>
      </c>
      <c r="AC46" s="148">
        <f t="shared" si="11"/>
        <v>-0.70942749999999999</v>
      </c>
    </row>
    <row r="47" spans="1:32" x14ac:dyDescent="0.25">
      <c r="A47" s="141" t="s">
        <v>104</v>
      </c>
      <c r="B47" s="142" t="s">
        <v>105</v>
      </c>
      <c r="C47" s="141" t="s">
        <v>315</v>
      </c>
      <c r="D47" s="141" t="s">
        <v>106</v>
      </c>
      <c r="E47" s="141" t="s">
        <v>107</v>
      </c>
      <c r="F47" s="155">
        <v>1</v>
      </c>
      <c r="G47" s="190"/>
      <c r="H47" s="146">
        <v>46983</v>
      </c>
      <c r="I47" s="146">
        <v>7501</v>
      </c>
      <c r="J47" s="146">
        <v>84232</v>
      </c>
      <c r="K47" s="146">
        <v>52317</v>
      </c>
      <c r="L47" s="146">
        <v>-15263</v>
      </c>
      <c r="M47" s="146">
        <v>-60961</v>
      </c>
      <c r="N47" s="146">
        <v>-120014</v>
      </c>
      <c r="O47" s="146">
        <v>41263</v>
      </c>
      <c r="P47" s="146">
        <v>33817</v>
      </c>
      <c r="Q47" s="146">
        <v>-45270</v>
      </c>
      <c r="R47" s="146">
        <v>-34400</v>
      </c>
      <c r="S47" s="146">
        <v>44617</v>
      </c>
      <c r="T47" s="146">
        <v>15095</v>
      </c>
      <c r="U47" s="146">
        <v>12924</v>
      </c>
      <c r="V47" s="146">
        <v>-2891</v>
      </c>
      <c r="W47" s="146">
        <v>60996</v>
      </c>
      <c r="X47" s="146">
        <v>1620</v>
      </c>
      <c r="Y47" s="146">
        <v>14898</v>
      </c>
      <c r="Z47" s="146">
        <v>-62531</v>
      </c>
      <c r="AA47" s="173"/>
      <c r="AB47" s="170">
        <f t="shared" si="10"/>
        <v>74933</v>
      </c>
      <c r="AC47" s="148">
        <f t="shared" si="11"/>
        <v>0.74933000000000005</v>
      </c>
    </row>
    <row r="48" spans="1:32" x14ac:dyDescent="0.25">
      <c r="A48" s="141" t="s">
        <v>229</v>
      </c>
      <c r="B48" s="142" t="s">
        <v>105</v>
      </c>
      <c r="C48" s="141" t="s">
        <v>218</v>
      </c>
      <c r="D48" s="141" t="s">
        <v>269</v>
      </c>
      <c r="E48" s="141" t="s">
        <v>256</v>
      </c>
      <c r="F48" s="155">
        <v>0.5</v>
      </c>
      <c r="G48" s="190"/>
      <c r="H48" s="146">
        <v>0</v>
      </c>
      <c r="I48" s="146">
        <v>0</v>
      </c>
      <c r="J48" s="146">
        <v>0</v>
      </c>
      <c r="K48" s="146">
        <v>0</v>
      </c>
      <c r="L48" s="146">
        <v>0</v>
      </c>
      <c r="M48" s="146">
        <v>0</v>
      </c>
      <c r="N48" s="146">
        <v>0</v>
      </c>
      <c r="O48" s="146">
        <v>0</v>
      </c>
      <c r="P48" s="146">
        <v>-479</v>
      </c>
      <c r="Q48" s="146">
        <v>-2716</v>
      </c>
      <c r="R48" s="146">
        <v>-500</v>
      </c>
      <c r="S48" s="146">
        <v>-800</v>
      </c>
      <c r="T48" s="146">
        <v>0</v>
      </c>
      <c r="U48" s="146">
        <v>-4062</v>
      </c>
      <c r="V48" s="146">
        <v>1845</v>
      </c>
      <c r="W48" s="146">
        <v>9043</v>
      </c>
      <c r="X48" s="146">
        <v>-18075</v>
      </c>
      <c r="Y48" s="146">
        <v>-4188</v>
      </c>
      <c r="Z48" s="146">
        <v>17743</v>
      </c>
      <c r="AA48" s="173"/>
      <c r="AB48" s="170">
        <f t="shared" si="10"/>
        <v>-2189</v>
      </c>
      <c r="AC48" s="148">
        <f t="shared" si="11"/>
        <v>-4.3779999999999999E-2</v>
      </c>
    </row>
    <row r="49" spans="1:32" x14ac:dyDescent="0.25">
      <c r="A49" s="141" t="s">
        <v>52</v>
      </c>
      <c r="B49" s="142" t="s">
        <v>115</v>
      </c>
      <c r="C49" s="141" t="s">
        <v>219</v>
      </c>
      <c r="D49" s="141" t="s">
        <v>265</v>
      </c>
      <c r="E49" s="141" t="s">
        <v>256</v>
      </c>
      <c r="F49" s="155">
        <v>3</v>
      </c>
      <c r="G49" s="190"/>
      <c r="H49" s="146">
        <v>0</v>
      </c>
      <c r="I49" s="146">
        <v>6500</v>
      </c>
      <c r="J49" s="146">
        <v>-265000</v>
      </c>
      <c r="K49" s="146">
        <v>-109000</v>
      </c>
      <c r="L49" s="146">
        <v>500</v>
      </c>
      <c r="M49" s="146">
        <v>59000</v>
      </c>
      <c r="N49" s="146">
        <v>31000</v>
      </c>
      <c r="O49" s="146">
        <v>68000</v>
      </c>
      <c r="P49" s="146">
        <v>11000</v>
      </c>
      <c r="Q49" s="146">
        <v>-1000</v>
      </c>
      <c r="R49" s="146">
        <v>77778</v>
      </c>
      <c r="S49" s="146">
        <v>0</v>
      </c>
      <c r="T49" s="146">
        <v>50000</v>
      </c>
      <c r="U49" s="146">
        <v>8000</v>
      </c>
      <c r="V49" s="146">
        <v>48000</v>
      </c>
      <c r="W49" s="146">
        <v>60046</v>
      </c>
      <c r="X49" s="146">
        <v>29608</v>
      </c>
      <c r="Y49" s="146">
        <v>42000</v>
      </c>
      <c r="Z49" s="146">
        <v>58000</v>
      </c>
      <c r="AA49" s="173"/>
      <c r="AB49" s="170">
        <f t="shared" si="10"/>
        <v>174432</v>
      </c>
      <c r="AC49" s="148">
        <f t="shared" si="11"/>
        <v>0.58143999999999996</v>
      </c>
    </row>
    <row r="50" spans="1:32" ht="18" customHeight="1" x14ac:dyDescent="0.25">
      <c r="A50" s="141" t="s">
        <v>45</v>
      </c>
      <c r="B50" s="142" t="s">
        <v>98</v>
      </c>
      <c r="C50" s="141" t="s">
        <v>220</v>
      </c>
      <c r="D50" s="141" t="s">
        <v>266</v>
      </c>
      <c r="E50" s="141" t="s">
        <v>256</v>
      </c>
      <c r="F50" s="155">
        <v>3</v>
      </c>
      <c r="G50" s="190"/>
      <c r="H50" s="146">
        <v>-66500</v>
      </c>
      <c r="I50" s="146">
        <v>83000</v>
      </c>
      <c r="J50" s="146">
        <v>-55000</v>
      </c>
      <c r="K50" s="146">
        <v>-78000</v>
      </c>
      <c r="L50" s="146">
        <v>11000</v>
      </c>
      <c r="M50" s="146">
        <v>63000</v>
      </c>
      <c r="N50" s="146">
        <v>43000</v>
      </c>
      <c r="O50" s="146">
        <v>-119000</v>
      </c>
      <c r="P50" s="146">
        <v>-18000</v>
      </c>
      <c r="Q50" s="146">
        <v>-49000</v>
      </c>
      <c r="R50" s="146">
        <v>16185</v>
      </c>
      <c r="S50" s="146">
        <v>114686</v>
      </c>
      <c r="T50" s="146">
        <v>69000</v>
      </c>
      <c r="U50" s="146">
        <v>-65640</v>
      </c>
      <c r="V50" s="146">
        <v>-12500</v>
      </c>
      <c r="W50" s="146">
        <v>39320</v>
      </c>
      <c r="X50" s="146">
        <v>19000</v>
      </c>
      <c r="Y50" s="146">
        <v>60000</v>
      </c>
      <c r="Z50" s="146">
        <v>22000</v>
      </c>
      <c r="AA50" s="173"/>
      <c r="AB50" s="170">
        <f t="shared" si="10"/>
        <v>76551</v>
      </c>
      <c r="AC50" s="148">
        <f t="shared" si="11"/>
        <v>0.25517000000000001</v>
      </c>
    </row>
    <row r="51" spans="1:32" ht="15" customHeight="1" x14ac:dyDescent="0.25">
      <c r="A51" s="141" t="s">
        <v>193</v>
      </c>
      <c r="B51" s="142" t="s">
        <v>186</v>
      </c>
      <c r="C51" s="141" t="s">
        <v>221</v>
      </c>
      <c r="D51" s="141" t="s">
        <v>266</v>
      </c>
      <c r="E51" s="141" t="s">
        <v>256</v>
      </c>
      <c r="F51" s="155">
        <v>3</v>
      </c>
      <c r="G51" s="190"/>
      <c r="H51" s="146">
        <v>-33300</v>
      </c>
      <c r="I51" s="146">
        <v>83000</v>
      </c>
      <c r="J51" s="146">
        <v>-55000</v>
      </c>
      <c r="K51" s="146">
        <v>-78000</v>
      </c>
      <c r="L51" s="146">
        <v>8000</v>
      </c>
      <c r="M51" s="146">
        <v>63000</v>
      </c>
      <c r="N51" s="146">
        <v>43000</v>
      </c>
      <c r="O51" s="146">
        <v>-123000</v>
      </c>
      <c r="P51" s="146">
        <v>-18000</v>
      </c>
      <c r="Q51" s="146">
        <v>-46000</v>
      </c>
      <c r="R51" s="146">
        <v>68536</v>
      </c>
      <c r="S51" s="146">
        <v>110724</v>
      </c>
      <c r="T51" s="146">
        <v>69000</v>
      </c>
      <c r="U51" s="146">
        <v>-65640</v>
      </c>
      <c r="V51" s="146">
        <v>-12500</v>
      </c>
      <c r="W51" s="146">
        <v>38591</v>
      </c>
      <c r="X51" s="146">
        <v>18000</v>
      </c>
      <c r="Y51" s="146">
        <v>60000</v>
      </c>
      <c r="Z51" s="146">
        <v>22000</v>
      </c>
      <c r="AA51" s="173"/>
      <c r="AB51" s="170">
        <f t="shared" si="10"/>
        <v>152411</v>
      </c>
      <c r="AC51" s="148">
        <f t="shared" si="11"/>
        <v>0.50803666666666658</v>
      </c>
    </row>
    <row r="52" spans="1:32" x14ac:dyDescent="0.25">
      <c r="A52" s="141" t="s">
        <v>132</v>
      </c>
      <c r="B52" s="142" t="s">
        <v>129</v>
      </c>
      <c r="C52" s="141" t="s">
        <v>17</v>
      </c>
      <c r="D52" s="141" t="s">
        <v>267</v>
      </c>
      <c r="E52" s="141" t="s">
        <v>256</v>
      </c>
      <c r="F52" s="155">
        <v>1.5</v>
      </c>
      <c r="G52" s="190"/>
      <c r="H52" s="146">
        <v>-700</v>
      </c>
      <c r="I52" s="146">
        <v>10350</v>
      </c>
      <c r="J52" s="146">
        <v>-88158</v>
      </c>
      <c r="K52" s="146">
        <v>-5000</v>
      </c>
      <c r="L52" s="146">
        <v>0</v>
      </c>
      <c r="M52" s="146">
        <v>28423</v>
      </c>
      <c r="N52" s="146">
        <v>27004</v>
      </c>
      <c r="O52" s="146">
        <v>-63753</v>
      </c>
      <c r="P52" s="146">
        <v>3731</v>
      </c>
      <c r="Q52" s="146">
        <v>13370</v>
      </c>
      <c r="R52" s="146">
        <v>33960</v>
      </c>
      <c r="S52" s="146">
        <v>0</v>
      </c>
      <c r="T52" s="146">
        <v>19629</v>
      </c>
      <c r="U52" s="146">
        <v>-5883</v>
      </c>
      <c r="V52" s="146">
        <v>1322</v>
      </c>
      <c r="W52" s="146">
        <v>20170</v>
      </c>
      <c r="X52" s="146">
        <v>-12215</v>
      </c>
      <c r="Y52" s="146">
        <v>29269</v>
      </c>
      <c r="Z52" s="146">
        <v>0</v>
      </c>
      <c r="AA52" s="173"/>
      <c r="AB52" s="170">
        <f t="shared" si="10"/>
        <v>11519</v>
      </c>
      <c r="AC52" s="148">
        <f t="shared" si="11"/>
        <v>7.6793333333333325E-2</v>
      </c>
    </row>
    <row r="53" spans="1:32" x14ac:dyDescent="0.25">
      <c r="A53" s="141" t="s">
        <v>48</v>
      </c>
      <c r="B53" s="140" t="s">
        <v>95</v>
      </c>
      <c r="C53" s="141" t="s">
        <v>228</v>
      </c>
      <c r="D53" s="141" t="s">
        <v>107</v>
      </c>
      <c r="E53" s="141" t="s">
        <v>107</v>
      </c>
      <c r="F53" s="155">
        <v>1</v>
      </c>
      <c r="G53" s="190"/>
      <c r="H53" s="146">
        <v>58500</v>
      </c>
      <c r="I53" s="146">
        <v>1305</v>
      </c>
      <c r="J53" s="146">
        <v>27811</v>
      </c>
      <c r="K53" s="146">
        <v>47443</v>
      </c>
      <c r="L53" s="146">
        <v>28870</v>
      </c>
      <c r="M53" s="146">
        <v>-26287</v>
      </c>
      <c r="N53" s="146">
        <v>-135007</v>
      </c>
      <c r="O53" s="146">
        <v>53595</v>
      </c>
      <c r="P53" s="146">
        <v>5304</v>
      </c>
      <c r="Q53" s="146">
        <v>-44617</v>
      </c>
      <c r="R53" s="146">
        <v>-74199</v>
      </c>
      <c r="S53" s="146">
        <v>56905</v>
      </c>
      <c r="T53" s="146">
        <v>12260</v>
      </c>
      <c r="U53" s="146">
        <v>35394</v>
      </c>
      <c r="V53" s="146">
        <v>31713</v>
      </c>
      <c r="W53" s="146">
        <v>62982</v>
      </c>
      <c r="X53" s="146">
        <v>46290</v>
      </c>
      <c r="Y53" s="146">
        <v>48817</v>
      </c>
      <c r="Z53" s="146">
        <v>-4511</v>
      </c>
      <c r="AA53" s="173"/>
      <c r="AB53" s="170">
        <f t="shared" si="10"/>
        <v>232568</v>
      </c>
      <c r="AC53" s="148">
        <f t="shared" si="11"/>
        <v>2.3256800000000002</v>
      </c>
    </row>
    <row r="54" spans="1:32" x14ac:dyDescent="0.25">
      <c r="A54" s="142" t="s">
        <v>168</v>
      </c>
      <c r="B54" s="140" t="s">
        <v>169</v>
      </c>
      <c r="C54" s="132" t="s">
        <v>255</v>
      </c>
      <c r="D54" s="162" t="s">
        <v>253</v>
      </c>
      <c r="E54" s="162" t="s">
        <v>253</v>
      </c>
      <c r="F54" s="114">
        <v>4</v>
      </c>
      <c r="G54" s="190"/>
      <c r="H54" s="146">
        <v>0</v>
      </c>
      <c r="I54" s="146">
        <v>0</v>
      </c>
      <c r="J54" s="146">
        <v>24000</v>
      </c>
      <c r="K54" s="146">
        <v>-128000</v>
      </c>
      <c r="L54" s="146">
        <v>0</v>
      </c>
      <c r="M54" s="146">
        <v>0</v>
      </c>
      <c r="N54" s="146">
        <v>0</v>
      </c>
      <c r="O54" s="146">
        <v>-6500</v>
      </c>
      <c r="P54" s="146">
        <v>108000</v>
      </c>
      <c r="Q54" s="146">
        <v>0</v>
      </c>
      <c r="R54" s="146">
        <v>-27500</v>
      </c>
      <c r="S54" s="146">
        <v>0</v>
      </c>
      <c r="T54" s="146">
        <v>0</v>
      </c>
      <c r="U54" s="146">
        <v>222000</v>
      </c>
      <c r="V54" s="146">
        <v>0</v>
      </c>
      <c r="W54" s="146">
        <v>0</v>
      </c>
      <c r="X54" s="146">
        <v>0</v>
      </c>
      <c r="Y54" s="146">
        <v>160000</v>
      </c>
      <c r="Z54" s="146">
        <v>0</v>
      </c>
      <c r="AA54" s="173"/>
      <c r="AB54" s="170">
        <f t="shared" si="10"/>
        <v>352000</v>
      </c>
      <c r="AC54" s="148">
        <f t="shared" si="11"/>
        <v>0.88</v>
      </c>
    </row>
    <row r="55" spans="1:32" x14ac:dyDescent="0.25">
      <c r="A55" s="142" t="s">
        <v>201</v>
      </c>
      <c r="B55" s="140" t="s">
        <v>169</v>
      </c>
      <c r="C55" s="59" t="s">
        <v>227</v>
      </c>
      <c r="D55" s="162" t="s">
        <v>254</v>
      </c>
      <c r="E55" s="162" t="s">
        <v>256</v>
      </c>
      <c r="F55" s="114">
        <v>0.5</v>
      </c>
      <c r="G55" s="190"/>
      <c r="H55" s="146">
        <v>-19500</v>
      </c>
      <c r="I55" s="146">
        <v>0</v>
      </c>
      <c r="J55" s="146">
        <v>8000</v>
      </c>
      <c r="K55" s="146">
        <v>500</v>
      </c>
      <c r="L55" s="146">
        <v>0</v>
      </c>
      <c r="M55" s="146">
        <v>11000</v>
      </c>
      <c r="N55" s="146">
        <v>0</v>
      </c>
      <c r="O55" s="146">
        <v>-25000</v>
      </c>
      <c r="P55" s="146">
        <v>-35000</v>
      </c>
      <c r="Q55" s="146">
        <v>-20000</v>
      </c>
      <c r="R55" s="146">
        <v>0</v>
      </c>
      <c r="S55" s="146">
        <v>0</v>
      </c>
      <c r="T55" s="146">
        <v>-26500</v>
      </c>
      <c r="U55" s="146">
        <v>200</v>
      </c>
      <c r="V55" s="146">
        <v>0</v>
      </c>
      <c r="W55" s="146">
        <v>0</v>
      </c>
      <c r="X55" s="146">
        <v>0</v>
      </c>
      <c r="Y55" s="146">
        <v>0</v>
      </c>
      <c r="Z55" s="146">
        <v>0</v>
      </c>
      <c r="AA55" s="173"/>
      <c r="AB55" s="170">
        <f t="shared" si="10"/>
        <v>-106300</v>
      </c>
      <c r="AC55" s="148">
        <f t="shared" si="11"/>
        <v>-2.1259999999999999</v>
      </c>
    </row>
    <row r="56" spans="1:32" x14ac:dyDescent="0.25">
      <c r="A56" s="142" t="s">
        <v>202</v>
      </c>
      <c r="B56" s="140" t="s">
        <v>169</v>
      </c>
      <c r="C56" s="59" t="s">
        <v>255</v>
      </c>
      <c r="D56" s="162" t="s">
        <v>116</v>
      </c>
      <c r="E56" s="162" t="s">
        <v>256</v>
      </c>
      <c r="F56" s="114">
        <v>4</v>
      </c>
      <c r="G56" s="190"/>
      <c r="H56" s="146">
        <v>-500</v>
      </c>
      <c r="I56" s="146">
        <v>150000</v>
      </c>
      <c r="J56" s="146">
        <v>0</v>
      </c>
      <c r="K56" s="146">
        <v>-1000</v>
      </c>
      <c r="L56" s="146">
        <v>3000</v>
      </c>
      <c r="M56" s="146">
        <v>-34000</v>
      </c>
      <c r="N56" s="146">
        <v>-140000</v>
      </c>
      <c r="O56" s="146">
        <v>0</v>
      </c>
      <c r="P56" s="146">
        <v>0</v>
      </c>
      <c r="Q56" s="146">
        <v>-7000</v>
      </c>
      <c r="R56" s="146">
        <v>0</v>
      </c>
      <c r="S56" s="146">
        <v>0</v>
      </c>
      <c r="T56" s="146">
        <v>0</v>
      </c>
      <c r="U56" s="146">
        <v>0</v>
      </c>
      <c r="V56" s="146">
        <v>17000</v>
      </c>
      <c r="W56" s="146">
        <v>29000</v>
      </c>
      <c r="X56" s="146">
        <v>130000</v>
      </c>
      <c r="Y56" s="146">
        <v>0</v>
      </c>
      <c r="Z56" s="146">
        <v>-800</v>
      </c>
      <c r="AA56" s="173"/>
      <c r="AB56" s="170">
        <f t="shared" si="10"/>
        <v>145700</v>
      </c>
      <c r="AC56" s="148">
        <f t="shared" si="11"/>
        <v>0.36425000000000002</v>
      </c>
    </row>
    <row r="57" spans="1:32" x14ac:dyDescent="0.25">
      <c r="A57" s="142" t="s">
        <v>33</v>
      </c>
      <c r="B57" s="140" t="s">
        <v>14</v>
      </c>
      <c r="C57" s="142" t="s">
        <v>13</v>
      </c>
      <c r="D57" s="141" t="s">
        <v>152</v>
      </c>
      <c r="E57" s="141" t="s">
        <v>256</v>
      </c>
      <c r="F57" s="118">
        <v>3</v>
      </c>
      <c r="G57" s="196"/>
      <c r="H57" s="146">
        <v>-48522</v>
      </c>
      <c r="I57" s="146">
        <v>73579</v>
      </c>
      <c r="J57" s="146">
        <v>101256</v>
      </c>
      <c r="K57" s="146">
        <v>-308992</v>
      </c>
      <c r="L57" s="146">
        <v>0</v>
      </c>
      <c r="M57" s="146">
        <v>24749</v>
      </c>
      <c r="N57" s="146">
        <v>309013</v>
      </c>
      <c r="O57" s="146">
        <v>0</v>
      </c>
      <c r="P57" s="146">
        <v>89413</v>
      </c>
      <c r="Q57" s="146">
        <v>0</v>
      </c>
      <c r="R57" s="146">
        <v>62928</v>
      </c>
      <c r="S57" s="146">
        <v>-125982</v>
      </c>
      <c r="T57" s="146">
        <v>-14857</v>
      </c>
      <c r="U57" s="146">
        <v>-93373</v>
      </c>
      <c r="V57" s="146">
        <v>0</v>
      </c>
      <c r="W57" s="146">
        <v>52250</v>
      </c>
      <c r="X57" s="146">
        <v>254491</v>
      </c>
      <c r="Y57" s="146">
        <v>162521</v>
      </c>
      <c r="Z57" s="146">
        <v>0</v>
      </c>
      <c r="AA57" s="173"/>
      <c r="AB57" s="170">
        <f t="shared" si="10"/>
        <v>538474</v>
      </c>
      <c r="AC57" s="148">
        <f t="shared" si="11"/>
        <v>1.7949133333333336</v>
      </c>
      <c r="AF57" s="133"/>
    </row>
    <row r="58" spans="1:32" x14ac:dyDescent="0.25">
      <c r="A58" s="142" t="s">
        <v>103</v>
      </c>
      <c r="B58" s="142" t="s">
        <v>0</v>
      </c>
      <c r="C58" s="59" t="s">
        <v>96</v>
      </c>
      <c r="D58" s="162" t="s">
        <v>57</v>
      </c>
      <c r="E58" s="162" t="s">
        <v>256</v>
      </c>
      <c r="F58" s="114">
        <v>1.5</v>
      </c>
      <c r="G58" s="23"/>
      <c r="H58" s="150">
        <v>-36545</v>
      </c>
      <c r="I58" s="150">
        <v>50000</v>
      </c>
      <c r="J58" s="150">
        <v>21824</v>
      </c>
      <c r="K58" s="150">
        <v>0</v>
      </c>
      <c r="L58" s="150">
        <v>0</v>
      </c>
      <c r="M58" s="150">
        <v>0</v>
      </c>
      <c r="N58" s="150">
        <v>0</v>
      </c>
      <c r="O58" s="150">
        <v>0</v>
      </c>
      <c r="P58" s="150">
        <v>0</v>
      </c>
      <c r="Q58" s="150">
        <v>0</v>
      </c>
      <c r="R58" s="150">
        <v>0</v>
      </c>
      <c r="S58" s="150">
        <v>0</v>
      </c>
      <c r="T58" s="150">
        <v>0</v>
      </c>
      <c r="U58" s="150">
        <v>0</v>
      </c>
      <c r="V58" s="150">
        <v>0</v>
      </c>
      <c r="W58" s="150">
        <v>0</v>
      </c>
      <c r="X58" s="150">
        <v>0</v>
      </c>
      <c r="Y58" s="150">
        <v>0</v>
      </c>
      <c r="Z58" s="150">
        <v>0</v>
      </c>
      <c r="AA58" s="174"/>
      <c r="AB58" s="170">
        <f t="shared" si="10"/>
        <v>35279</v>
      </c>
      <c r="AC58" s="148">
        <f t="shared" si="11"/>
        <v>0.23519333333333331</v>
      </c>
      <c r="AE58" s="133"/>
    </row>
    <row r="59" spans="1:32" x14ac:dyDescent="0.25">
      <c r="A59" s="59" t="s">
        <v>197</v>
      </c>
      <c r="B59" s="62" t="s">
        <v>270</v>
      </c>
      <c r="C59" s="59" t="s">
        <v>196</v>
      </c>
      <c r="D59" s="141" t="s">
        <v>268</v>
      </c>
      <c r="E59" s="162" t="s">
        <v>256</v>
      </c>
      <c r="F59" s="114">
        <v>0.5</v>
      </c>
      <c r="G59" s="23"/>
      <c r="H59" s="150">
        <v>1518</v>
      </c>
      <c r="I59" s="150">
        <v>-6205</v>
      </c>
      <c r="J59" s="150">
        <v>26986</v>
      </c>
      <c r="K59" s="150">
        <v>-18600</v>
      </c>
      <c r="L59" s="150">
        <v>-35000</v>
      </c>
      <c r="M59" s="150">
        <v>-2167</v>
      </c>
      <c r="N59" s="150">
        <v>-1118</v>
      </c>
      <c r="O59" s="150">
        <v>-9939</v>
      </c>
      <c r="P59" s="150">
        <v>5008</v>
      </c>
      <c r="Q59" s="150">
        <v>-700</v>
      </c>
      <c r="R59" s="150">
        <v>-4033</v>
      </c>
      <c r="S59" s="150">
        <v>159</v>
      </c>
      <c r="T59" s="150">
        <v>4462</v>
      </c>
      <c r="U59" s="150">
        <v>0</v>
      </c>
      <c r="V59" s="150">
        <v>100</v>
      </c>
      <c r="W59" s="150">
        <v>-14986</v>
      </c>
      <c r="X59" s="150">
        <v>3252</v>
      </c>
      <c r="Y59" s="150">
        <v>7919</v>
      </c>
      <c r="Z59" s="150">
        <v>-1112</v>
      </c>
      <c r="AA59" s="174"/>
      <c r="AB59" s="170">
        <f t="shared" si="10"/>
        <v>-44456</v>
      </c>
      <c r="AC59" s="148">
        <f t="shared" si="11"/>
        <v>-0.88912000000000002</v>
      </c>
      <c r="AF59" s="133">
        <v>-21573</v>
      </c>
    </row>
    <row r="60" spans="1:32" x14ac:dyDescent="0.25">
      <c r="A60" s="59" t="s">
        <v>213</v>
      </c>
      <c r="B60" s="62" t="s">
        <v>209</v>
      </c>
      <c r="C60" s="59" t="s">
        <v>210</v>
      </c>
      <c r="D60" s="62" t="s">
        <v>209</v>
      </c>
      <c r="E60" s="162" t="s">
        <v>256</v>
      </c>
      <c r="F60" s="114">
        <v>4</v>
      </c>
      <c r="G60" s="23"/>
      <c r="H60" s="150">
        <v>0</v>
      </c>
      <c r="I60" s="150">
        <v>-225359</v>
      </c>
      <c r="J60" s="150">
        <v>0</v>
      </c>
      <c r="K60" s="150">
        <v>-179558</v>
      </c>
      <c r="L60" s="150">
        <v>0</v>
      </c>
      <c r="M60" s="150">
        <v>0</v>
      </c>
      <c r="N60" s="150">
        <v>60412</v>
      </c>
      <c r="O60" s="150">
        <v>0</v>
      </c>
      <c r="P60" s="150">
        <v>38570</v>
      </c>
      <c r="Q60" s="150">
        <v>0</v>
      </c>
      <c r="R60" s="150">
        <v>0</v>
      </c>
      <c r="S60" s="150">
        <v>107783</v>
      </c>
      <c r="T60" s="150">
        <v>0</v>
      </c>
      <c r="U60" s="150">
        <v>-89206</v>
      </c>
      <c r="V60" s="150">
        <v>0</v>
      </c>
      <c r="W60" s="150">
        <v>0</v>
      </c>
      <c r="X60" s="150">
        <v>31037</v>
      </c>
      <c r="Y60" s="150">
        <v>49962</v>
      </c>
      <c r="Z60" s="150">
        <v>0</v>
      </c>
      <c r="AA60" s="174"/>
      <c r="AB60" s="170">
        <f t="shared" si="10"/>
        <v>-206359</v>
      </c>
      <c r="AC60" s="148">
        <f t="shared" si="11"/>
        <v>-0.51589750000000001</v>
      </c>
      <c r="AE60" s="5"/>
      <c r="AF60" s="133"/>
    </row>
    <row r="61" spans="1:32" x14ac:dyDescent="0.25">
      <c r="A61" s="59" t="s">
        <v>214</v>
      </c>
      <c r="B61" s="62" t="s">
        <v>209</v>
      </c>
      <c r="C61" s="59" t="s">
        <v>211</v>
      </c>
      <c r="D61" s="62" t="s">
        <v>209</v>
      </c>
      <c r="E61" s="162" t="s">
        <v>256</v>
      </c>
      <c r="F61" s="114">
        <v>1</v>
      </c>
      <c r="G61" s="23"/>
      <c r="H61" s="150">
        <v>0</v>
      </c>
      <c r="I61" s="150">
        <v>-85207</v>
      </c>
      <c r="J61" s="150">
        <v>0</v>
      </c>
      <c r="K61" s="150">
        <v>-95000</v>
      </c>
      <c r="L61" s="150">
        <v>0</v>
      </c>
      <c r="M61" s="150">
        <v>0</v>
      </c>
      <c r="N61" s="150">
        <v>141453</v>
      </c>
      <c r="O61" s="150">
        <v>0</v>
      </c>
      <c r="P61" s="150">
        <v>191404</v>
      </c>
      <c r="Q61" s="150">
        <v>0</v>
      </c>
      <c r="R61" s="150">
        <v>0</v>
      </c>
      <c r="S61" s="150">
        <v>-126671</v>
      </c>
      <c r="T61" s="150">
        <v>0</v>
      </c>
      <c r="U61" s="150">
        <v>-71123</v>
      </c>
      <c r="V61" s="150">
        <v>0</v>
      </c>
      <c r="W61" s="150">
        <v>0</v>
      </c>
      <c r="X61" s="150">
        <v>7749</v>
      </c>
      <c r="Y61" s="150">
        <v>-15315</v>
      </c>
      <c r="Z61" s="150">
        <v>0</v>
      </c>
      <c r="AA61" s="174"/>
      <c r="AB61" s="170">
        <f t="shared" si="10"/>
        <v>-52710</v>
      </c>
      <c r="AC61" s="148">
        <f t="shared" si="11"/>
        <v>-0.52710000000000001</v>
      </c>
      <c r="AE61" s="133">
        <v>140738</v>
      </c>
      <c r="AF61" s="133">
        <f>(AE62+AE61)/10000000*13780</f>
        <v>358.14495600000004</v>
      </c>
    </row>
    <row r="62" spans="1:32" x14ac:dyDescent="0.25">
      <c r="A62" s="59" t="s">
        <v>120</v>
      </c>
      <c r="B62" s="59" t="s">
        <v>99</v>
      </c>
      <c r="C62" s="59" t="s">
        <v>38</v>
      </c>
      <c r="D62" s="59" t="s">
        <v>99</v>
      </c>
      <c r="E62" s="162" t="s">
        <v>256</v>
      </c>
      <c r="F62" s="114">
        <v>1.5</v>
      </c>
      <c r="G62" s="23"/>
      <c r="H62" s="150">
        <v>0</v>
      </c>
      <c r="I62" s="150">
        <v>0</v>
      </c>
      <c r="J62" s="150">
        <v>0</v>
      </c>
      <c r="K62" s="150">
        <v>0</v>
      </c>
      <c r="L62" s="150">
        <v>0</v>
      </c>
      <c r="M62" s="150">
        <v>0</v>
      </c>
      <c r="N62" s="150">
        <v>0</v>
      </c>
      <c r="O62" s="150">
        <v>0</v>
      </c>
      <c r="P62" s="150">
        <v>0</v>
      </c>
      <c r="Q62" s="150">
        <v>0</v>
      </c>
      <c r="R62" s="150">
        <v>0</v>
      </c>
      <c r="S62" s="150">
        <v>0</v>
      </c>
      <c r="T62" s="150">
        <v>0</v>
      </c>
      <c r="U62" s="150">
        <v>0</v>
      </c>
      <c r="V62" s="150">
        <v>0</v>
      </c>
      <c r="W62" s="150">
        <v>0</v>
      </c>
      <c r="X62" s="150">
        <v>0</v>
      </c>
      <c r="Y62" s="150">
        <v>0</v>
      </c>
      <c r="Z62" s="150">
        <v>0</v>
      </c>
      <c r="AA62" s="174"/>
      <c r="AB62" s="170">
        <f t="shared" si="10"/>
        <v>0</v>
      </c>
      <c r="AC62" s="148">
        <f t="shared" si="11"/>
        <v>0</v>
      </c>
      <c r="AE62" s="133">
        <v>119164</v>
      </c>
      <c r="AF62" s="133"/>
    </row>
    <row r="63" spans="1:32" x14ac:dyDescent="0.25">
      <c r="A63" s="59" t="s">
        <v>49</v>
      </c>
      <c r="B63" s="59" t="s">
        <v>99</v>
      </c>
      <c r="C63" s="59" t="s">
        <v>100</v>
      </c>
      <c r="D63" s="59" t="s">
        <v>99</v>
      </c>
      <c r="E63" s="162" t="s">
        <v>256</v>
      </c>
      <c r="F63" s="114">
        <v>3</v>
      </c>
      <c r="G63" s="23"/>
      <c r="H63" s="150">
        <v>0</v>
      </c>
      <c r="I63" s="150">
        <v>-69000</v>
      </c>
      <c r="J63" s="150">
        <v>0</v>
      </c>
      <c r="K63" s="150">
        <v>-238545</v>
      </c>
      <c r="L63" s="150">
        <v>0</v>
      </c>
      <c r="M63" s="150">
        <v>0</v>
      </c>
      <c r="N63" s="150">
        <v>187709</v>
      </c>
      <c r="O63" s="150">
        <v>0</v>
      </c>
      <c r="P63" s="150">
        <v>47815</v>
      </c>
      <c r="Q63" s="150">
        <v>0</v>
      </c>
      <c r="R63" s="150">
        <v>0</v>
      </c>
      <c r="S63" s="150">
        <v>-255562</v>
      </c>
      <c r="T63" s="150">
        <v>0</v>
      </c>
      <c r="U63" s="150">
        <v>-90634</v>
      </c>
      <c r="V63" s="150">
        <v>0</v>
      </c>
      <c r="W63" s="150">
        <v>0</v>
      </c>
      <c r="X63" s="150">
        <v>191250</v>
      </c>
      <c r="Y63" s="150">
        <v>53544</v>
      </c>
      <c r="Z63" s="150">
        <v>0</v>
      </c>
      <c r="AA63" s="174"/>
      <c r="AB63" s="170">
        <f t="shared" si="10"/>
        <v>-173423</v>
      </c>
      <c r="AC63" s="148">
        <f t="shared" si="11"/>
        <v>-0.57807666666666657</v>
      </c>
      <c r="AE63" s="133"/>
      <c r="AF63" s="133"/>
    </row>
    <row r="64" spans="1:32" ht="30.75" customHeight="1" x14ac:dyDescent="0.25">
      <c r="A64" s="59" t="s">
        <v>41</v>
      </c>
      <c r="B64" s="59" t="s">
        <v>86</v>
      </c>
      <c r="C64" s="59" t="s">
        <v>242</v>
      </c>
      <c r="D64" s="59" t="s">
        <v>86</v>
      </c>
      <c r="E64" s="162" t="s">
        <v>256</v>
      </c>
      <c r="F64" s="114">
        <v>2.5</v>
      </c>
      <c r="G64" s="23"/>
      <c r="H64" s="150">
        <v>0</v>
      </c>
      <c r="I64" s="150">
        <v>-34086</v>
      </c>
      <c r="J64" s="150">
        <v>0</v>
      </c>
      <c r="K64" s="150">
        <v>-40040</v>
      </c>
      <c r="L64" s="150">
        <v>0</v>
      </c>
      <c r="M64" s="150">
        <v>0</v>
      </c>
      <c r="N64" s="150">
        <v>31455</v>
      </c>
      <c r="O64" s="150">
        <v>0</v>
      </c>
      <c r="P64" s="150">
        <v>0</v>
      </c>
      <c r="Q64" s="150">
        <v>0</v>
      </c>
      <c r="R64" s="150">
        <v>0</v>
      </c>
      <c r="S64" s="150">
        <v>0</v>
      </c>
      <c r="T64" s="150">
        <v>0</v>
      </c>
      <c r="U64" s="150">
        <v>0</v>
      </c>
      <c r="V64" s="150">
        <v>0</v>
      </c>
      <c r="W64" s="150">
        <v>0</v>
      </c>
      <c r="X64" s="150">
        <v>0</v>
      </c>
      <c r="Y64" s="150">
        <v>0</v>
      </c>
      <c r="Z64" s="150">
        <v>-7500</v>
      </c>
      <c r="AA64" s="174"/>
      <c r="AB64" s="170">
        <f t="shared" si="10"/>
        <v>-50171</v>
      </c>
      <c r="AC64" s="148">
        <f t="shared" si="11"/>
        <v>-0.20068400000000003</v>
      </c>
      <c r="AE64" s="133"/>
      <c r="AF64" s="192">
        <f>AF59-AF61</f>
        <v>-21931.144956</v>
      </c>
    </row>
    <row r="65" spans="1:31" ht="15.75" thickBot="1" x14ac:dyDescent="0.3">
      <c r="A65" s="20"/>
      <c r="B65" s="21"/>
      <c r="C65" s="20"/>
      <c r="D65" s="22"/>
      <c r="E65" s="22"/>
      <c r="F65" s="114"/>
      <c r="G65" s="23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74"/>
      <c r="AB65" s="170"/>
      <c r="AC65" s="148"/>
      <c r="AE65" s="133"/>
    </row>
    <row r="66" spans="1:31" ht="15.75" thickBot="1" x14ac:dyDescent="0.3">
      <c r="A66" s="24"/>
      <c r="B66" s="25"/>
      <c r="C66" s="26"/>
      <c r="D66" s="24"/>
      <c r="E66" s="24"/>
      <c r="F66" s="115"/>
      <c r="G66" s="16"/>
      <c r="H66" s="168">
        <f t="shared" ref="H66:AA66" si="12">SUM(H4:H64)</f>
        <v>-99848</v>
      </c>
      <c r="I66" s="168">
        <f t="shared" si="12"/>
        <v>-1552552</v>
      </c>
      <c r="J66" s="168">
        <f t="shared" si="12"/>
        <v>-153998</v>
      </c>
      <c r="K66" s="168">
        <f t="shared" si="12"/>
        <v>-3617642</v>
      </c>
      <c r="L66" s="168">
        <f t="shared" si="12"/>
        <v>-358083</v>
      </c>
      <c r="M66" s="168">
        <f t="shared" si="12"/>
        <v>99329</v>
      </c>
      <c r="N66" s="168">
        <f t="shared" si="12"/>
        <v>2476965</v>
      </c>
      <c r="O66" s="168">
        <f t="shared" si="12"/>
        <v>-2181071</v>
      </c>
      <c r="P66" s="168">
        <f t="shared" si="12"/>
        <v>-631457</v>
      </c>
      <c r="Q66" s="168">
        <f t="shared" si="12"/>
        <v>-748465</v>
      </c>
      <c r="R66" s="168">
        <f t="shared" si="12"/>
        <v>67929</v>
      </c>
      <c r="S66" s="168">
        <f t="shared" si="12"/>
        <v>3026114</v>
      </c>
      <c r="T66" s="168">
        <f t="shared" si="12"/>
        <v>394882</v>
      </c>
      <c r="U66" s="168">
        <f t="shared" si="12"/>
        <v>279096</v>
      </c>
      <c r="V66" s="168">
        <f t="shared" si="12"/>
        <v>-553894</v>
      </c>
      <c r="W66" s="168">
        <f t="shared" si="12"/>
        <v>998714</v>
      </c>
      <c r="X66" s="168">
        <f t="shared" si="12"/>
        <v>39680</v>
      </c>
      <c r="Y66" s="168">
        <f t="shared" si="12"/>
        <v>1743229</v>
      </c>
      <c r="Z66" s="168">
        <f t="shared" si="12"/>
        <v>162758</v>
      </c>
      <c r="AA66" s="135">
        <f t="shared" si="12"/>
        <v>0</v>
      </c>
      <c r="AB66" s="170">
        <f>SUM(H66:AA66)</f>
        <v>-608314</v>
      </c>
      <c r="AC66" s="148">
        <f>IFERROR(AB66/F66*100,0)/10000000</f>
        <v>0</v>
      </c>
    </row>
    <row r="67" spans="1:31" ht="15.75" thickBot="1" x14ac:dyDescent="0.3">
      <c r="A67" s="133"/>
      <c r="B67" s="133"/>
      <c r="C67" s="133"/>
      <c r="D67" s="133"/>
      <c r="E67" s="133"/>
      <c r="F67" s="119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75"/>
      <c r="AB67" s="133"/>
      <c r="AC67" s="148"/>
    </row>
    <row r="68" spans="1:31" x14ac:dyDescent="0.25">
      <c r="A68" s="75" t="s">
        <v>36</v>
      </c>
      <c r="B68" s="76" t="s">
        <v>71</v>
      </c>
      <c r="C68" s="76" t="s">
        <v>57</v>
      </c>
      <c r="D68" s="76" t="s">
        <v>87</v>
      </c>
      <c r="E68" s="76" t="s">
        <v>256</v>
      </c>
      <c r="F68" s="120">
        <v>30</v>
      </c>
      <c r="G68" s="177"/>
      <c r="H68" s="151">
        <v>0</v>
      </c>
      <c r="I68" s="151">
        <v>950000</v>
      </c>
      <c r="J68" s="151">
        <v>0</v>
      </c>
      <c r="K68" s="151">
        <v>-2460000</v>
      </c>
      <c r="L68" s="151">
        <v>-1500</v>
      </c>
      <c r="M68" s="151">
        <v>0</v>
      </c>
      <c r="N68" s="151">
        <v>1900000</v>
      </c>
      <c r="O68" s="151">
        <v>0</v>
      </c>
      <c r="P68" s="151">
        <v>-1400000</v>
      </c>
      <c r="Q68" s="151">
        <v>0</v>
      </c>
      <c r="R68" s="151">
        <v>0</v>
      </c>
      <c r="S68" s="151">
        <v>-225000</v>
      </c>
      <c r="T68" s="151">
        <v>0</v>
      </c>
      <c r="U68" s="151">
        <v>485000</v>
      </c>
      <c r="V68" s="151">
        <v>0</v>
      </c>
      <c r="W68" s="151">
        <v>0</v>
      </c>
      <c r="X68" s="151">
        <v>400000</v>
      </c>
      <c r="Y68" s="151">
        <v>160000</v>
      </c>
      <c r="Z68" s="151">
        <v>0</v>
      </c>
      <c r="AA68" s="176"/>
      <c r="AB68" s="170">
        <f>SUM(H68:AA68)</f>
        <v>-191500</v>
      </c>
      <c r="AC68" s="148">
        <f>IFERROR(AB68/F68*100,0)/10000000</f>
        <v>-6.3833333333333325E-2</v>
      </c>
    </row>
    <row r="69" spans="1:31" x14ac:dyDescent="0.25">
      <c r="A69" s="201" t="s">
        <v>241</v>
      </c>
      <c r="B69" s="202" t="s">
        <v>240</v>
      </c>
      <c r="C69" s="202" t="s">
        <v>57</v>
      </c>
      <c r="D69" s="202" t="s">
        <v>87</v>
      </c>
      <c r="E69" s="202" t="s">
        <v>256</v>
      </c>
      <c r="F69" s="203"/>
      <c r="G69" s="204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>
        <v>110000</v>
      </c>
      <c r="X69" s="161">
        <v>22000</v>
      </c>
      <c r="Y69" s="161">
        <v>80000</v>
      </c>
      <c r="Z69" s="161">
        <v>0</v>
      </c>
      <c r="AA69" s="205"/>
      <c r="AB69" s="170">
        <f>SUM(H69:AA69)</f>
        <v>212000</v>
      </c>
      <c r="AC69" s="148">
        <f>IFERROR(AB69/F69*100,0)/10000000</f>
        <v>0</v>
      </c>
    </row>
    <row r="70" spans="1:31" ht="15.75" thickBot="1" x14ac:dyDescent="0.3">
      <c r="A70" s="197"/>
      <c r="B70" s="20"/>
      <c r="C70" s="20"/>
      <c r="D70" s="20"/>
      <c r="E70" s="20"/>
      <c r="F70" s="114"/>
      <c r="G70" s="198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74"/>
      <c r="AB70" s="171"/>
      <c r="AC70" s="66"/>
    </row>
    <row r="71" spans="1:31" ht="15.75" thickBot="1" x14ac:dyDescent="0.3">
      <c r="A71" s="199"/>
      <c r="B71" s="16"/>
      <c r="C71" s="16"/>
      <c r="D71" s="16"/>
      <c r="E71" s="16"/>
      <c r="F71" s="74"/>
      <c r="G71" s="17"/>
      <c r="H71" s="169">
        <f t="shared" ref="H71:V71" si="13">SUM(H68:H68)</f>
        <v>0</v>
      </c>
      <c r="I71" s="169">
        <f t="shared" si="13"/>
        <v>950000</v>
      </c>
      <c r="J71" s="169">
        <f t="shared" si="13"/>
        <v>0</v>
      </c>
      <c r="K71" s="169">
        <f t="shared" si="13"/>
        <v>-2460000</v>
      </c>
      <c r="L71" s="169">
        <f t="shared" si="13"/>
        <v>-1500</v>
      </c>
      <c r="M71" s="169">
        <f t="shared" si="13"/>
        <v>0</v>
      </c>
      <c r="N71" s="169">
        <f t="shared" si="13"/>
        <v>1900000</v>
      </c>
      <c r="O71" s="169">
        <f t="shared" si="13"/>
        <v>0</v>
      </c>
      <c r="P71" s="169">
        <f t="shared" si="13"/>
        <v>-1400000</v>
      </c>
      <c r="Q71" s="169">
        <f t="shared" si="13"/>
        <v>0</v>
      </c>
      <c r="R71" s="169">
        <f t="shared" si="13"/>
        <v>0</v>
      </c>
      <c r="S71" s="169">
        <f t="shared" si="13"/>
        <v>-225000</v>
      </c>
      <c r="T71" s="169">
        <f t="shared" si="13"/>
        <v>0</v>
      </c>
      <c r="U71" s="169">
        <f t="shared" si="13"/>
        <v>485000</v>
      </c>
      <c r="V71" s="169">
        <f t="shared" si="13"/>
        <v>0</v>
      </c>
      <c r="W71" s="169">
        <f>SUM(W68:W69)</f>
        <v>110000</v>
      </c>
      <c r="X71" s="169">
        <f>SUM(X68:X69)</f>
        <v>422000</v>
      </c>
      <c r="Y71" s="169">
        <f>SUM(Y68:Y69)</f>
        <v>240000</v>
      </c>
      <c r="Z71" s="169">
        <f>SUM(Z68:Z69)</f>
        <v>0</v>
      </c>
      <c r="AA71" s="169">
        <f>SUM(AA68:AA69)</f>
        <v>0</v>
      </c>
      <c r="AB71" s="172">
        <f>SUM(C71:AA71)</f>
        <v>20500</v>
      </c>
      <c r="AC71" s="19"/>
    </row>
  </sheetData>
  <conditionalFormatting sqref="G30 G14:G15 G2 A57:G57 G58 A55:A56 H2:AC4 A17:G27 H57:AA62 AC67 AC50:AC64 AB5:AC5 A53:G53 H49:AA54 AB49:AB64 A37:AA40 H5:AA15 AB7:AC15 A16:AC16 A31:G36 H17:AA36 AB65:AC66 AC17:AC46 AB17:AB47 A68:AC71 A54:B54 D54:G54 C55:AA56 A3:G5 A7:G8 A6:C6 E6:G6 A10:G13 A9:C9 E9:G9 A29:G29 A28:C28 E28:G28 A42:AA45 A41:C41 E41:AA41 A47:AA48 A46:C46 E46:AA46 A49:C52 E49:G52 A64:AA66 A59:C63 E63:AA63 E59:G62">
    <cfRule type="expression" dxfId="279" priority="28">
      <formula>MOD(ROW(),2)=0</formula>
    </cfRule>
  </conditionalFormatting>
  <conditionalFormatting sqref="AC47">
    <cfRule type="expression" dxfId="278" priority="27">
      <formula>MOD(ROW(),2)=0</formula>
    </cfRule>
  </conditionalFormatting>
  <conditionalFormatting sqref="AC49">
    <cfRule type="expression" dxfId="277" priority="26">
      <formula>MOD(ROW(),2)=0</formula>
    </cfRule>
  </conditionalFormatting>
  <conditionalFormatting sqref="A30:C30 F30">
    <cfRule type="expression" dxfId="276" priority="25">
      <formula>MOD(ROW(),2)=0</formula>
    </cfRule>
  </conditionalFormatting>
  <conditionalFormatting sqref="A14:F14 A15:C15 E15:F15">
    <cfRule type="expression" dxfId="275" priority="23">
      <formula>MOD(ROW(),2)=0</formula>
    </cfRule>
  </conditionalFormatting>
  <conditionalFormatting sqref="D30:E30">
    <cfRule type="expression" dxfId="274" priority="22">
      <formula>MOD(ROW(),2)=0</formula>
    </cfRule>
  </conditionalFormatting>
  <conditionalFormatting sqref="A58:F58">
    <cfRule type="expression" dxfId="273" priority="20">
      <formula>MOD(ROW(),2)=0</formula>
    </cfRule>
  </conditionalFormatting>
  <conditionalFormatting sqref="B55:B56">
    <cfRule type="expression" dxfId="272" priority="19">
      <formula>MOD(ROW(),2)=0</formula>
    </cfRule>
  </conditionalFormatting>
  <conditionalFormatting sqref="AB6:AC6">
    <cfRule type="expression" dxfId="271" priority="15">
      <formula>MOD(ROW(),2)=0</formula>
    </cfRule>
  </conditionalFormatting>
  <conditionalFormatting sqref="AB48">
    <cfRule type="expression" dxfId="270" priority="14">
      <formula>MOD(ROW(),2)=0</formula>
    </cfRule>
  </conditionalFormatting>
  <conditionalFormatting sqref="AC48">
    <cfRule type="expression" dxfId="269" priority="13">
      <formula>MOD(ROW(),2)=0</formula>
    </cfRule>
  </conditionalFormatting>
  <conditionalFormatting sqref="D6">
    <cfRule type="expression" dxfId="268" priority="12">
      <formula>MOD(ROW(),2)=0</formula>
    </cfRule>
  </conditionalFormatting>
  <conditionalFormatting sqref="D9">
    <cfRule type="expression" dxfId="267" priority="11">
      <formula>MOD(ROW(),2)=0</formula>
    </cfRule>
  </conditionalFormatting>
  <conditionalFormatting sqref="D15">
    <cfRule type="expression" dxfId="266" priority="10">
      <formula>MOD(ROW(),2)=0</formula>
    </cfRule>
  </conditionalFormatting>
  <conditionalFormatting sqref="D28">
    <cfRule type="expression" dxfId="265" priority="9">
      <formula>MOD(ROW(),2)=0</formula>
    </cfRule>
  </conditionalFormatting>
  <conditionalFormatting sqref="D41">
    <cfRule type="expression" dxfId="264" priority="8">
      <formula>MOD(ROW(),2)=0</formula>
    </cfRule>
  </conditionalFormatting>
  <conditionalFormatting sqref="D46">
    <cfRule type="expression" dxfId="263" priority="7">
      <formula>MOD(ROW(),2)=0</formula>
    </cfRule>
  </conditionalFormatting>
  <conditionalFormatting sqref="D49">
    <cfRule type="expression" dxfId="262" priority="6">
      <formula>MOD(ROW(),2)=0</formula>
    </cfRule>
  </conditionalFormatting>
  <conditionalFormatting sqref="D60:D63">
    <cfRule type="expression" dxfId="261" priority="1">
      <formula>MOD(ROW(),2)=0</formula>
    </cfRule>
  </conditionalFormatting>
  <conditionalFormatting sqref="D50:D51">
    <cfRule type="expression" dxfId="260" priority="5">
      <formula>MOD(ROW(),2)=0</formula>
    </cfRule>
  </conditionalFormatting>
  <conditionalFormatting sqref="D52">
    <cfRule type="expression" dxfId="259" priority="4">
      <formula>MOD(ROW(),2)=0</formula>
    </cfRule>
  </conditionalFormatting>
  <conditionalFormatting sqref="D59">
    <cfRule type="expression" dxfId="258" priority="2">
      <formula>MOD(ROW(),2)=0</formula>
    </cfRule>
  </conditionalFormatting>
  <pageMargins left="0.7" right="0.7" top="0.75" bottom="0.75" header="0.3" footer="0.3"/>
  <pageSetup orientation="portrait" r:id="rId1"/>
  <ignoredErrors>
    <ignoredError sqref="AB10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8"/>
  <sheetViews>
    <sheetView topLeftCell="A19" workbookViewId="0">
      <selection activeCell="C47" sqref="C47"/>
    </sheetView>
  </sheetViews>
  <sheetFormatPr defaultRowHeight="15" outlineLevelCol="2" x14ac:dyDescent="0.25"/>
  <cols>
    <col min="1" max="1" width="10.5703125" style="1" customWidth="1"/>
    <col min="2" max="2" width="20.5703125" style="1" customWidth="1"/>
    <col min="3" max="3" width="14" style="1" customWidth="1"/>
    <col min="4" max="4" width="18.7109375" style="1" customWidth="1"/>
    <col min="5" max="5" width="13.28515625" style="131" customWidth="1"/>
    <col min="6" max="6" width="6.5703125" style="1" customWidth="1"/>
    <col min="7" max="7" width="1.7109375" style="1" customWidth="1"/>
    <col min="8" max="8" width="11.28515625" style="1" hidden="1" customWidth="1" outlineLevel="2"/>
    <col min="9" max="17" width="11.28515625" style="131" hidden="1" customWidth="1" outlineLevel="2"/>
    <col min="18" max="18" width="11.28515625" style="131" hidden="1" customWidth="1" outlineLevel="1" collapsed="1"/>
    <col min="19" max="23" width="11.28515625" style="131" hidden="1" customWidth="1" outlineLevel="1"/>
    <col min="24" max="24" width="11.28515625" style="131" customWidth="1" collapsed="1"/>
    <col min="25" max="26" width="11.28515625" style="131" customWidth="1"/>
    <col min="27" max="27" width="11.5703125" style="1" customWidth="1"/>
    <col min="28" max="28" width="10.42578125" style="1" customWidth="1" outlineLevel="1"/>
    <col min="29" max="29" width="10.7109375" style="1" customWidth="1" outlineLevel="1"/>
    <col min="30" max="35" width="9.140625" style="1"/>
    <col min="36" max="36" width="14.140625" style="1" customWidth="1"/>
    <col min="37" max="37" width="12" style="1" customWidth="1"/>
    <col min="38" max="16384" width="9.140625" style="1"/>
  </cols>
  <sheetData>
    <row r="1" spans="1:37" ht="15.75" thickBot="1" x14ac:dyDescent="0.3"/>
    <row r="2" spans="1:37" ht="15.75" x14ac:dyDescent="0.25">
      <c r="G2" s="9"/>
      <c r="H2" s="46">
        <v>46113</v>
      </c>
      <c r="I2" s="144">
        <v>46114</v>
      </c>
      <c r="J2" s="144">
        <v>46118</v>
      </c>
      <c r="K2" s="144">
        <v>46119</v>
      </c>
      <c r="L2" s="144">
        <v>46120</v>
      </c>
      <c r="M2" s="144">
        <v>46121</v>
      </c>
      <c r="N2" s="144">
        <v>46122</v>
      </c>
      <c r="O2" s="144">
        <v>46125</v>
      </c>
      <c r="P2" s="144">
        <v>46127</v>
      </c>
      <c r="Q2" s="144">
        <v>46128</v>
      </c>
      <c r="R2" s="144">
        <v>46129</v>
      </c>
      <c r="S2" s="144">
        <v>46132</v>
      </c>
      <c r="T2" s="144">
        <v>46133</v>
      </c>
      <c r="U2" s="144">
        <v>46134</v>
      </c>
      <c r="V2" s="144">
        <v>46135</v>
      </c>
      <c r="W2" s="144">
        <v>46136</v>
      </c>
      <c r="X2" s="144">
        <v>46139</v>
      </c>
      <c r="Y2" s="144">
        <v>46140</v>
      </c>
      <c r="Z2" s="144">
        <v>46141</v>
      </c>
      <c r="AA2" s="46">
        <v>46142</v>
      </c>
      <c r="AB2" s="11" t="s">
        <v>149</v>
      </c>
      <c r="AC2" s="10" t="s">
        <v>150</v>
      </c>
    </row>
    <row r="3" spans="1:37" ht="15.75" x14ac:dyDescent="0.25">
      <c r="A3" s="49" t="s">
        <v>54</v>
      </c>
      <c r="B3" s="49" t="s">
        <v>69</v>
      </c>
      <c r="C3" s="49" t="s">
        <v>70</v>
      </c>
      <c r="D3" s="49" t="s">
        <v>2</v>
      </c>
      <c r="E3" s="49" t="s">
        <v>257</v>
      </c>
      <c r="F3" s="55" t="s">
        <v>9</v>
      </c>
      <c r="G3" s="28"/>
      <c r="H3" s="47" t="s">
        <v>237</v>
      </c>
      <c r="I3" s="145" t="s">
        <v>236</v>
      </c>
      <c r="J3" s="145" t="s">
        <v>234</v>
      </c>
      <c r="K3" s="145" t="s">
        <v>233</v>
      </c>
      <c r="L3" s="145" t="s">
        <v>237</v>
      </c>
      <c r="M3" s="145" t="s">
        <v>236</v>
      </c>
      <c r="N3" s="145" t="s">
        <v>235</v>
      </c>
      <c r="O3" s="145" t="s">
        <v>234</v>
      </c>
      <c r="P3" s="145" t="s">
        <v>237</v>
      </c>
      <c r="Q3" s="145" t="s">
        <v>236</v>
      </c>
      <c r="R3" s="145" t="s">
        <v>235</v>
      </c>
      <c r="S3" s="145" t="s">
        <v>234</v>
      </c>
      <c r="T3" s="145" t="s">
        <v>233</v>
      </c>
      <c r="U3" s="145" t="s">
        <v>237</v>
      </c>
      <c r="V3" s="145" t="s">
        <v>236</v>
      </c>
      <c r="W3" s="145" t="s">
        <v>235</v>
      </c>
      <c r="X3" s="145" t="s">
        <v>234</v>
      </c>
      <c r="Y3" s="145" t="s">
        <v>233</v>
      </c>
      <c r="Z3" s="145" t="s">
        <v>237</v>
      </c>
      <c r="AA3" s="47" t="s">
        <v>236</v>
      </c>
      <c r="AB3" s="12"/>
      <c r="AC3" s="7"/>
      <c r="AJ3" s="1" t="s">
        <v>198</v>
      </c>
      <c r="AK3" s="1">
        <v>13780</v>
      </c>
    </row>
    <row r="4" spans="1:37" x14ac:dyDescent="0.25">
      <c r="A4" s="35" t="s">
        <v>25</v>
      </c>
      <c r="B4" s="44" t="s">
        <v>72</v>
      </c>
      <c r="C4" s="35" t="s">
        <v>158</v>
      </c>
      <c r="D4" s="35" t="s">
        <v>88</v>
      </c>
      <c r="E4" s="141" t="s">
        <v>256</v>
      </c>
      <c r="F4" s="116">
        <v>3</v>
      </c>
      <c r="G4" s="29"/>
      <c r="H4" s="121">
        <v>0</v>
      </c>
      <c r="I4" s="157">
        <v>130000</v>
      </c>
      <c r="J4" s="157">
        <v>0</v>
      </c>
      <c r="K4" s="157">
        <v>-76000</v>
      </c>
      <c r="L4" s="157">
        <v>0</v>
      </c>
      <c r="M4" s="157">
        <v>32000</v>
      </c>
      <c r="N4" s="157">
        <v>0</v>
      </c>
      <c r="O4" s="157">
        <v>210000</v>
      </c>
      <c r="P4" s="157">
        <v>0</v>
      </c>
      <c r="Q4" s="157">
        <v>28000</v>
      </c>
      <c r="R4" s="157">
        <v>0</v>
      </c>
      <c r="S4" s="157">
        <v>0</v>
      </c>
      <c r="T4" s="157">
        <v>115000</v>
      </c>
      <c r="U4" s="157">
        <v>-1000</v>
      </c>
      <c r="V4" s="157">
        <v>-85000</v>
      </c>
      <c r="W4" s="157">
        <v>0</v>
      </c>
      <c r="X4" s="157">
        <v>0</v>
      </c>
      <c r="Y4" s="157">
        <v>-85000</v>
      </c>
      <c r="Z4" s="157">
        <v>0</v>
      </c>
      <c r="AA4" s="48">
        <v>62000</v>
      </c>
      <c r="AB4" s="64">
        <f t="shared" ref="AB4:AB61" si="0">SUM(H4:AA4)</f>
        <v>330000</v>
      </c>
      <c r="AC4" s="65">
        <f t="shared" ref="AC4:AC25" si="1">IFERROR(AB4/F4*100,0)/10000000</f>
        <v>1.1000000000000001</v>
      </c>
      <c r="AJ4" s="132" t="s">
        <v>170</v>
      </c>
      <c r="AK4" s="132">
        <v>2865</v>
      </c>
    </row>
    <row r="5" spans="1:37" x14ac:dyDescent="0.25">
      <c r="A5" s="35" t="s">
        <v>46</v>
      </c>
      <c r="B5" s="44" t="s">
        <v>139</v>
      </c>
      <c r="C5" s="35" t="s">
        <v>157</v>
      </c>
      <c r="D5" s="141" t="s">
        <v>88</v>
      </c>
      <c r="E5" s="141" t="s">
        <v>256</v>
      </c>
      <c r="F5" s="116">
        <v>3</v>
      </c>
      <c r="G5" s="29"/>
      <c r="H5" s="121">
        <v>0</v>
      </c>
      <c r="I5" s="157">
        <v>0</v>
      </c>
      <c r="J5" s="157">
        <v>0</v>
      </c>
      <c r="K5" s="157">
        <v>10000</v>
      </c>
      <c r="L5" s="157">
        <v>0</v>
      </c>
      <c r="M5" s="157">
        <v>-12000</v>
      </c>
      <c r="N5" s="157">
        <v>0</v>
      </c>
      <c r="O5" s="157">
        <v>5000</v>
      </c>
      <c r="P5" s="157">
        <v>0</v>
      </c>
      <c r="Q5" s="157">
        <v>2000</v>
      </c>
      <c r="R5" s="157">
        <v>0</v>
      </c>
      <c r="S5" s="157">
        <v>0</v>
      </c>
      <c r="T5" s="157">
        <v>7000</v>
      </c>
      <c r="U5" s="157">
        <v>-4000</v>
      </c>
      <c r="V5" s="157">
        <v>-15000</v>
      </c>
      <c r="W5" s="157">
        <v>0</v>
      </c>
      <c r="X5" s="157">
        <v>0</v>
      </c>
      <c r="Y5" s="157">
        <v>-3000</v>
      </c>
      <c r="Z5" s="157">
        <v>0</v>
      </c>
      <c r="AA5" s="48">
        <v>-11500</v>
      </c>
      <c r="AB5" s="147">
        <f t="shared" si="0"/>
        <v>-21500</v>
      </c>
      <c r="AC5" s="65">
        <f t="shared" si="1"/>
        <v>-7.166666666666667E-2</v>
      </c>
    </row>
    <row r="6" spans="1:37" x14ac:dyDescent="0.25">
      <c r="A6" s="35" t="s">
        <v>30</v>
      </c>
      <c r="B6" s="34" t="s">
        <v>176</v>
      </c>
      <c r="C6" s="34" t="s">
        <v>6</v>
      </c>
      <c r="D6" s="125" t="s">
        <v>138</v>
      </c>
      <c r="E6" s="159" t="s">
        <v>256</v>
      </c>
      <c r="F6" s="116">
        <v>3</v>
      </c>
      <c r="G6" s="30"/>
      <c r="H6" s="48">
        <v>-15300</v>
      </c>
      <c r="I6" s="146">
        <v>-11560</v>
      </c>
      <c r="J6" s="146">
        <v>-61600</v>
      </c>
      <c r="K6" s="146">
        <v>-66574</v>
      </c>
      <c r="L6" s="146">
        <v>90405</v>
      </c>
      <c r="M6" s="146">
        <v>105067</v>
      </c>
      <c r="N6" s="146">
        <v>100270</v>
      </c>
      <c r="O6" s="146">
        <v>222666</v>
      </c>
      <c r="P6" s="146">
        <v>44732</v>
      </c>
      <c r="Q6" s="146">
        <v>96364</v>
      </c>
      <c r="R6" s="146">
        <v>100775</v>
      </c>
      <c r="S6" s="146">
        <v>-168700</v>
      </c>
      <c r="T6" s="146">
        <v>160346</v>
      </c>
      <c r="U6" s="146">
        <v>129531</v>
      </c>
      <c r="V6" s="146">
        <v>69793</v>
      </c>
      <c r="W6" s="146">
        <v>69156</v>
      </c>
      <c r="X6" s="146">
        <v>-115098</v>
      </c>
      <c r="Y6" s="146">
        <v>60108</v>
      </c>
      <c r="Z6" s="146">
        <v>-190358</v>
      </c>
      <c r="AA6" s="48">
        <v>-17328</v>
      </c>
      <c r="AB6" s="147">
        <f t="shared" si="0"/>
        <v>602695</v>
      </c>
      <c r="AC6" s="65">
        <f t="shared" si="1"/>
        <v>2.0089833333333336</v>
      </c>
      <c r="AE6" s="5"/>
      <c r="AF6" s="4">
        <v>-9294</v>
      </c>
    </row>
    <row r="7" spans="1:37" ht="17.25" customHeight="1" x14ac:dyDescent="0.25">
      <c r="A7" s="141" t="s">
        <v>177</v>
      </c>
      <c r="B7" s="140" t="s">
        <v>175</v>
      </c>
      <c r="C7" s="140" t="s">
        <v>192</v>
      </c>
      <c r="D7" s="159" t="s">
        <v>200</v>
      </c>
      <c r="E7" s="159" t="s">
        <v>256</v>
      </c>
      <c r="F7" s="155">
        <v>1</v>
      </c>
      <c r="G7" s="137"/>
      <c r="H7" s="146">
        <v>0</v>
      </c>
      <c r="I7" s="146">
        <v>0</v>
      </c>
      <c r="J7" s="146">
        <v>-86000</v>
      </c>
      <c r="K7" s="146">
        <v>22300</v>
      </c>
      <c r="L7" s="146">
        <v>10600</v>
      </c>
      <c r="M7" s="146">
        <v>31300</v>
      </c>
      <c r="N7" s="146">
        <v>30000</v>
      </c>
      <c r="O7" s="146">
        <v>-55800</v>
      </c>
      <c r="P7" s="146">
        <v>11000</v>
      </c>
      <c r="Q7" s="146">
        <v>13000</v>
      </c>
      <c r="R7" s="146">
        <v>43000</v>
      </c>
      <c r="S7" s="146">
        <v>-103400</v>
      </c>
      <c r="T7" s="146">
        <v>22322</v>
      </c>
      <c r="U7" s="146">
        <v>54000</v>
      </c>
      <c r="V7" s="146">
        <v>24900</v>
      </c>
      <c r="W7" s="146">
        <v>-7400</v>
      </c>
      <c r="X7" s="146">
        <v>9909</v>
      </c>
      <c r="Y7" s="146">
        <v>5886</v>
      </c>
      <c r="Z7" s="146">
        <v>-80448</v>
      </c>
      <c r="AA7" s="146">
        <v>-60346</v>
      </c>
      <c r="AB7" s="147">
        <f t="shared" si="0"/>
        <v>-115177</v>
      </c>
      <c r="AC7" s="148">
        <f t="shared" si="1"/>
        <v>-1.15177</v>
      </c>
      <c r="AE7" s="4">
        <v>1283507</v>
      </c>
      <c r="AF7" s="4"/>
    </row>
    <row r="8" spans="1:37" ht="15.75" customHeight="1" x14ac:dyDescent="0.25">
      <c r="A8" s="35" t="s">
        <v>134</v>
      </c>
      <c r="B8" s="34" t="s">
        <v>133</v>
      </c>
      <c r="C8" s="34" t="s">
        <v>135</v>
      </c>
      <c r="D8" s="159" t="s">
        <v>258</v>
      </c>
      <c r="E8" s="159" t="s">
        <v>256</v>
      </c>
      <c r="F8" s="116">
        <v>0.5</v>
      </c>
      <c r="G8" s="30"/>
      <c r="H8" s="48">
        <v>-3500</v>
      </c>
      <c r="I8" s="146">
        <v>-21803</v>
      </c>
      <c r="J8" s="146">
        <v>-20905</v>
      </c>
      <c r="K8" s="146">
        <v>-36509</v>
      </c>
      <c r="L8" s="146">
        <v>776</v>
      </c>
      <c r="M8" s="146">
        <v>11800</v>
      </c>
      <c r="N8" s="146">
        <v>-23697</v>
      </c>
      <c r="O8" s="146">
        <v>-27747</v>
      </c>
      <c r="P8" s="146">
        <v>-27635</v>
      </c>
      <c r="Q8" s="146">
        <v>53775</v>
      </c>
      <c r="R8" s="146">
        <v>-18000</v>
      </c>
      <c r="S8" s="146">
        <v>-20018</v>
      </c>
      <c r="T8" s="146">
        <v>49282</v>
      </c>
      <c r="U8" s="146">
        <v>9500</v>
      </c>
      <c r="V8" s="146">
        <v>-60646</v>
      </c>
      <c r="W8" s="146">
        <v>82417</v>
      </c>
      <c r="X8" s="146">
        <v>-103850</v>
      </c>
      <c r="Y8" s="146">
        <v>66515</v>
      </c>
      <c r="Z8" s="146">
        <v>39586</v>
      </c>
      <c r="AA8" s="48">
        <v>-36000</v>
      </c>
      <c r="AB8" s="147">
        <f t="shared" si="0"/>
        <v>-86659</v>
      </c>
      <c r="AC8" s="65">
        <f t="shared" si="1"/>
        <v>-1.7331799999999999</v>
      </c>
      <c r="AE8" s="6">
        <v>1274213</v>
      </c>
      <c r="AF8" s="6">
        <f>(AE8+AE7)/10000000*13780</f>
        <v>3524.5381600000001</v>
      </c>
    </row>
    <row r="9" spans="1:37" x14ac:dyDescent="0.25">
      <c r="A9" s="36" t="s">
        <v>35</v>
      </c>
      <c r="B9" s="34" t="s">
        <v>55</v>
      </c>
      <c r="C9" s="34" t="s">
        <v>79</v>
      </c>
      <c r="D9" s="36" t="s">
        <v>112</v>
      </c>
      <c r="E9" s="142" t="s">
        <v>256</v>
      </c>
      <c r="F9" s="117">
        <v>15</v>
      </c>
      <c r="G9" s="31"/>
      <c r="H9" s="48">
        <v>0</v>
      </c>
      <c r="I9" s="146">
        <v>-486000</v>
      </c>
      <c r="J9" s="146">
        <v>-128000</v>
      </c>
      <c r="K9" s="146">
        <v>-221000</v>
      </c>
      <c r="L9" s="146">
        <v>3000</v>
      </c>
      <c r="M9" s="146">
        <v>-490000</v>
      </c>
      <c r="N9" s="146">
        <v>0</v>
      </c>
      <c r="O9" s="146">
        <v>590000</v>
      </c>
      <c r="P9" s="146">
        <v>0</v>
      </c>
      <c r="Q9" s="146">
        <v>650000</v>
      </c>
      <c r="R9" s="146">
        <v>0</v>
      </c>
      <c r="S9" s="146">
        <v>0</v>
      </c>
      <c r="T9" s="146">
        <v>840000</v>
      </c>
      <c r="U9" s="146">
        <v>0</v>
      </c>
      <c r="V9" s="146">
        <v>-150000</v>
      </c>
      <c r="W9" s="146">
        <v>0</v>
      </c>
      <c r="X9" s="146">
        <v>121000</v>
      </c>
      <c r="Y9" s="146">
        <v>10000</v>
      </c>
      <c r="Z9" s="146">
        <v>170000</v>
      </c>
      <c r="AA9" s="48">
        <v>-715000</v>
      </c>
      <c r="AB9" s="147">
        <f t="shared" si="0"/>
        <v>194000</v>
      </c>
      <c r="AC9" s="65">
        <f t="shared" si="1"/>
        <v>0.12933333333333336</v>
      </c>
      <c r="AE9" s="6"/>
      <c r="AF9" s="6"/>
    </row>
    <row r="10" spans="1:37" x14ac:dyDescent="0.25">
      <c r="A10" s="142" t="s">
        <v>190</v>
      </c>
      <c r="B10" s="140" t="s">
        <v>182</v>
      </c>
      <c r="C10" s="140" t="s">
        <v>181</v>
      </c>
      <c r="D10" s="142" t="s">
        <v>112</v>
      </c>
      <c r="E10" s="142" t="s">
        <v>256</v>
      </c>
      <c r="F10" s="156">
        <v>3</v>
      </c>
      <c r="G10" s="138"/>
      <c r="H10" s="146">
        <v>0</v>
      </c>
      <c r="I10" s="146">
        <v>0</v>
      </c>
      <c r="J10" s="146">
        <v>-100</v>
      </c>
      <c r="K10" s="146">
        <v>-35000</v>
      </c>
      <c r="L10" s="146">
        <v>0</v>
      </c>
      <c r="M10" s="146">
        <v>-83000</v>
      </c>
      <c r="N10" s="146">
        <v>0</v>
      </c>
      <c r="O10" s="146">
        <v>98000</v>
      </c>
      <c r="P10" s="146">
        <v>0</v>
      </c>
      <c r="Q10" s="146">
        <v>105000</v>
      </c>
      <c r="R10" s="146">
        <v>0</v>
      </c>
      <c r="S10" s="146">
        <v>0</v>
      </c>
      <c r="T10" s="146">
        <v>130000</v>
      </c>
      <c r="U10" s="146">
        <v>0</v>
      </c>
      <c r="V10" s="146">
        <v>-38000</v>
      </c>
      <c r="W10" s="146">
        <v>0</v>
      </c>
      <c r="X10" s="146">
        <v>19000</v>
      </c>
      <c r="Y10" s="146">
        <v>-13000</v>
      </c>
      <c r="Z10" s="146">
        <v>26000</v>
      </c>
      <c r="AA10" s="146">
        <v>-120000</v>
      </c>
      <c r="AB10" s="147">
        <f t="shared" si="0"/>
        <v>88900</v>
      </c>
      <c r="AC10" s="148">
        <f t="shared" si="1"/>
        <v>0.29633333333333328</v>
      </c>
      <c r="AE10" s="6"/>
      <c r="AF10" s="6"/>
    </row>
    <row r="11" spans="1:37" x14ac:dyDescent="0.25">
      <c r="A11" s="142" t="s">
        <v>189</v>
      </c>
      <c r="B11" s="140" t="s">
        <v>183</v>
      </c>
      <c r="C11" s="140" t="s">
        <v>179</v>
      </c>
      <c r="D11" s="142" t="s">
        <v>112</v>
      </c>
      <c r="E11" s="142" t="s">
        <v>256</v>
      </c>
      <c r="F11" s="156">
        <v>3</v>
      </c>
      <c r="G11" s="138"/>
      <c r="H11" s="146">
        <v>0</v>
      </c>
      <c r="I11" s="146">
        <v>0</v>
      </c>
      <c r="J11" s="146">
        <v>-23500</v>
      </c>
      <c r="K11" s="146">
        <v>-38000</v>
      </c>
      <c r="L11" s="146">
        <v>0</v>
      </c>
      <c r="M11" s="146">
        <v>-83000</v>
      </c>
      <c r="N11" s="146">
        <v>0</v>
      </c>
      <c r="O11" s="146">
        <v>98500</v>
      </c>
      <c r="P11" s="146">
        <v>0</v>
      </c>
      <c r="Q11" s="146">
        <v>105000</v>
      </c>
      <c r="R11" s="146">
        <v>0</v>
      </c>
      <c r="S11" s="146">
        <v>0</v>
      </c>
      <c r="T11" s="146">
        <v>130000</v>
      </c>
      <c r="U11" s="146">
        <v>0</v>
      </c>
      <c r="V11" s="146">
        <v>-38000</v>
      </c>
      <c r="W11" s="146">
        <v>0</v>
      </c>
      <c r="X11" s="146">
        <v>19000</v>
      </c>
      <c r="Y11" s="146">
        <v>-13000</v>
      </c>
      <c r="Z11" s="146">
        <v>26500</v>
      </c>
      <c r="AA11" s="146">
        <v>-120000</v>
      </c>
      <c r="AB11" s="147">
        <f t="shared" si="0"/>
        <v>63500</v>
      </c>
      <c r="AC11" s="148">
        <f t="shared" si="1"/>
        <v>0.2116666666666667</v>
      </c>
      <c r="AE11" s="6"/>
      <c r="AF11" s="6"/>
    </row>
    <row r="12" spans="1:37" x14ac:dyDescent="0.25">
      <c r="A12" s="36" t="s">
        <v>81</v>
      </c>
      <c r="B12" s="34" t="s">
        <v>55</v>
      </c>
      <c r="C12" s="34" t="s">
        <v>80</v>
      </c>
      <c r="D12" s="36" t="s">
        <v>107</v>
      </c>
      <c r="E12" s="142" t="s">
        <v>107</v>
      </c>
      <c r="F12" s="117">
        <v>2</v>
      </c>
      <c r="G12" s="31"/>
      <c r="H12" s="48">
        <v>148153</v>
      </c>
      <c r="I12" s="146">
        <v>-38588</v>
      </c>
      <c r="J12" s="146">
        <v>87005</v>
      </c>
      <c r="K12" s="146">
        <v>-25059</v>
      </c>
      <c r="L12" s="146">
        <v>270990</v>
      </c>
      <c r="M12" s="146">
        <v>38309</v>
      </c>
      <c r="N12" s="146">
        <v>150387</v>
      </c>
      <c r="O12" s="146">
        <v>-78883</v>
      </c>
      <c r="P12" s="146">
        <v>132503</v>
      </c>
      <c r="Q12" s="146">
        <v>8000</v>
      </c>
      <c r="R12" s="146">
        <v>115000</v>
      </c>
      <c r="S12" s="146">
        <v>-4500</v>
      </c>
      <c r="T12" s="146">
        <v>0</v>
      </c>
      <c r="U12" s="146">
        <v>0</v>
      </c>
      <c r="V12" s="146">
        <v>0</v>
      </c>
      <c r="W12" s="146">
        <v>0</v>
      </c>
      <c r="X12" s="146">
        <v>0</v>
      </c>
      <c r="Y12" s="146">
        <v>0</v>
      </c>
      <c r="Z12" s="146">
        <v>0</v>
      </c>
      <c r="AA12" s="48">
        <v>0</v>
      </c>
      <c r="AB12" s="147">
        <f t="shared" si="0"/>
        <v>803317</v>
      </c>
      <c r="AC12" s="65">
        <f t="shared" si="1"/>
        <v>4.0165850000000001</v>
      </c>
      <c r="AE12" s="6"/>
      <c r="AF12" s="124">
        <f>AF6-AF8</f>
        <v>-12818.53816</v>
      </c>
      <c r="AI12" s="1">
        <v>94116</v>
      </c>
      <c r="AK12" s="1">
        <f>AI12+AF12</f>
        <v>81297.461840000004</v>
      </c>
    </row>
    <row r="13" spans="1:37" x14ac:dyDescent="0.25">
      <c r="A13" s="36" t="s">
        <v>123</v>
      </c>
      <c r="B13" s="34" t="s">
        <v>122</v>
      </c>
      <c r="C13" s="34" t="s">
        <v>124</v>
      </c>
      <c r="D13" s="36" t="s">
        <v>116</v>
      </c>
      <c r="E13" s="142" t="s">
        <v>256</v>
      </c>
      <c r="F13" s="117">
        <v>3</v>
      </c>
      <c r="G13" s="31"/>
      <c r="H13" s="48">
        <v>-72000</v>
      </c>
      <c r="I13" s="146">
        <v>0</v>
      </c>
      <c r="J13" s="146">
        <v>100</v>
      </c>
      <c r="K13" s="146">
        <v>125000</v>
      </c>
      <c r="L13" s="146">
        <v>-50000</v>
      </c>
      <c r="M13" s="146">
        <v>115000</v>
      </c>
      <c r="N13" s="146">
        <v>61000</v>
      </c>
      <c r="O13" s="146">
        <v>192000</v>
      </c>
      <c r="P13" s="146">
        <v>0</v>
      </c>
      <c r="Q13" s="146">
        <v>230000</v>
      </c>
      <c r="R13" s="146">
        <v>-3000</v>
      </c>
      <c r="S13" s="146">
        <v>-179000</v>
      </c>
      <c r="T13" s="146">
        <v>279000</v>
      </c>
      <c r="U13" s="146">
        <v>12000</v>
      </c>
      <c r="V13" s="146">
        <v>-340000</v>
      </c>
      <c r="W13" s="146">
        <v>-3000</v>
      </c>
      <c r="X13" s="146">
        <v>0</v>
      </c>
      <c r="Y13" s="146">
        <v>93400</v>
      </c>
      <c r="Z13" s="146">
        <v>0</v>
      </c>
      <c r="AA13" s="48">
        <v>0</v>
      </c>
      <c r="AB13" s="147">
        <f t="shared" si="0"/>
        <v>460500</v>
      </c>
      <c r="AC13" s="65">
        <f t="shared" si="1"/>
        <v>1.5349999999999999</v>
      </c>
      <c r="AE13" s="3"/>
      <c r="AF13" s="3"/>
    </row>
    <row r="14" spans="1:37" x14ac:dyDescent="0.25">
      <c r="A14" s="36" t="s">
        <v>137</v>
      </c>
      <c r="B14" s="34" t="s">
        <v>122</v>
      </c>
      <c r="C14" s="34" t="s">
        <v>136</v>
      </c>
      <c r="D14" s="142" t="s">
        <v>259</v>
      </c>
      <c r="E14" s="142" t="s">
        <v>256</v>
      </c>
      <c r="F14" s="117">
        <v>0.5</v>
      </c>
      <c r="G14" s="31"/>
      <c r="H14" s="48">
        <v>0</v>
      </c>
      <c r="I14" s="146">
        <v>0</v>
      </c>
      <c r="J14" s="146">
        <v>0</v>
      </c>
      <c r="K14" s="146">
        <v>0</v>
      </c>
      <c r="L14" s="146">
        <v>0</v>
      </c>
      <c r="M14" s="146">
        <v>0</v>
      </c>
      <c r="N14" s="146">
        <v>0</v>
      </c>
      <c r="O14" s="146">
        <v>1477</v>
      </c>
      <c r="P14" s="146">
        <v>-1150</v>
      </c>
      <c r="Q14" s="146">
        <v>10807</v>
      </c>
      <c r="R14" s="146">
        <v>0</v>
      </c>
      <c r="S14" s="146">
        <v>-57300</v>
      </c>
      <c r="T14" s="146">
        <v>28540</v>
      </c>
      <c r="U14" s="146">
        <v>16727</v>
      </c>
      <c r="V14" s="146">
        <v>-79132</v>
      </c>
      <c r="W14" s="146">
        <v>-500</v>
      </c>
      <c r="X14" s="146">
        <v>-53709</v>
      </c>
      <c r="Y14" s="146">
        <v>-27322</v>
      </c>
      <c r="Z14" s="146">
        <v>5722</v>
      </c>
      <c r="AA14" s="48">
        <v>-12818</v>
      </c>
      <c r="AB14" s="147">
        <f t="shared" si="0"/>
        <v>-168658</v>
      </c>
      <c r="AC14" s="65">
        <f t="shared" si="1"/>
        <v>-3.3731599999999999</v>
      </c>
    </row>
    <row r="15" spans="1:37" x14ac:dyDescent="0.25">
      <c r="A15" s="35" t="s">
        <v>83</v>
      </c>
      <c r="B15" s="34" t="s">
        <v>230</v>
      </c>
      <c r="C15" s="34" t="s">
        <v>82</v>
      </c>
      <c r="D15" s="36" t="s">
        <v>107</v>
      </c>
      <c r="E15" s="142" t="s">
        <v>107</v>
      </c>
      <c r="F15" s="117">
        <v>1</v>
      </c>
      <c r="G15" s="31"/>
      <c r="H15" s="48">
        <v>340719</v>
      </c>
      <c r="I15" s="146">
        <v>86973</v>
      </c>
      <c r="J15" s="146">
        <v>136052</v>
      </c>
      <c r="K15" s="146">
        <v>97937</v>
      </c>
      <c r="L15" s="146">
        <v>337231</v>
      </c>
      <c r="M15" s="146">
        <v>34618</v>
      </c>
      <c r="N15" s="146">
        <v>36215</v>
      </c>
      <c r="O15" s="146">
        <v>-26033</v>
      </c>
      <c r="P15" s="146">
        <v>104838</v>
      </c>
      <c r="Q15" s="146">
        <v>76000</v>
      </c>
      <c r="R15" s="146">
        <v>5000</v>
      </c>
      <c r="S15" s="146">
        <v>11417</v>
      </c>
      <c r="T15" s="146">
        <v>0</v>
      </c>
      <c r="U15" s="146">
        <v>0</v>
      </c>
      <c r="V15" s="146">
        <v>0</v>
      </c>
      <c r="W15" s="146">
        <v>0</v>
      </c>
      <c r="X15" s="146">
        <v>0</v>
      </c>
      <c r="Y15" s="146">
        <v>0</v>
      </c>
      <c r="Z15" s="146">
        <v>0</v>
      </c>
      <c r="AA15" s="48">
        <v>0</v>
      </c>
      <c r="AB15" s="147">
        <f t="shared" si="0"/>
        <v>1240967</v>
      </c>
      <c r="AC15" s="65">
        <f t="shared" si="1"/>
        <v>12.40967</v>
      </c>
    </row>
    <row r="16" spans="1:37" s="131" customFormat="1" x14ac:dyDescent="0.25">
      <c r="A16" s="35" t="s">
        <v>42</v>
      </c>
      <c r="B16" s="34" t="s">
        <v>230</v>
      </c>
      <c r="C16" s="35" t="s">
        <v>12</v>
      </c>
      <c r="D16" s="35" t="s">
        <v>39</v>
      </c>
      <c r="E16" s="141" t="s">
        <v>256</v>
      </c>
      <c r="F16" s="116">
        <v>1</v>
      </c>
      <c r="G16" s="32"/>
      <c r="H16" s="48">
        <v>0</v>
      </c>
      <c r="I16" s="146">
        <v>0</v>
      </c>
      <c r="J16" s="146">
        <v>-50006</v>
      </c>
      <c r="K16" s="146">
        <v>-45908</v>
      </c>
      <c r="L16" s="146">
        <v>0</v>
      </c>
      <c r="M16" s="146">
        <v>26152</v>
      </c>
      <c r="N16" s="146">
        <v>-47474</v>
      </c>
      <c r="O16" s="146">
        <v>36721</v>
      </c>
      <c r="P16" s="146">
        <v>0</v>
      </c>
      <c r="Q16" s="146">
        <v>48275</v>
      </c>
      <c r="R16" s="146">
        <v>5250</v>
      </c>
      <c r="S16" s="146">
        <v>10584</v>
      </c>
      <c r="T16" s="146">
        <v>-18606</v>
      </c>
      <c r="U16" s="146">
        <v>0</v>
      </c>
      <c r="V16" s="146">
        <v>-9553</v>
      </c>
      <c r="W16" s="146">
        <v>0</v>
      </c>
      <c r="X16" s="146">
        <v>-17759</v>
      </c>
      <c r="Y16" s="146">
        <v>30712</v>
      </c>
      <c r="Z16" s="146">
        <v>0</v>
      </c>
      <c r="AA16" s="48">
        <v>36539</v>
      </c>
      <c r="AB16" s="147">
        <f t="shared" si="0"/>
        <v>4927</v>
      </c>
      <c r="AC16" s="65">
        <f t="shared" si="1"/>
        <v>4.9270000000000001E-2</v>
      </c>
    </row>
    <row r="17" spans="1:38" x14ac:dyDescent="0.25">
      <c r="A17" s="141" t="s">
        <v>44</v>
      </c>
      <c r="B17" s="140" t="s">
        <v>84</v>
      </c>
      <c r="C17" s="141" t="s">
        <v>172</v>
      </c>
      <c r="D17" s="141" t="s">
        <v>39</v>
      </c>
      <c r="E17" s="141" t="s">
        <v>256</v>
      </c>
      <c r="F17" s="155">
        <v>1</v>
      </c>
      <c r="G17" s="139"/>
      <c r="H17" s="146">
        <v>0</v>
      </c>
      <c r="I17" s="146">
        <v>0</v>
      </c>
      <c r="J17" s="146">
        <v>0</v>
      </c>
      <c r="K17" s="146">
        <v>0</v>
      </c>
      <c r="L17" s="146">
        <v>0</v>
      </c>
      <c r="M17" s="146">
        <v>0</v>
      </c>
      <c r="N17" s="146">
        <v>0</v>
      </c>
      <c r="O17" s="146">
        <v>0</v>
      </c>
      <c r="P17" s="146">
        <v>0</v>
      </c>
      <c r="Q17" s="146">
        <v>0</v>
      </c>
      <c r="R17" s="146">
        <v>0</v>
      </c>
      <c r="S17" s="146">
        <v>-23105</v>
      </c>
      <c r="T17" s="146">
        <v>38858</v>
      </c>
      <c r="U17" s="146">
        <v>0</v>
      </c>
      <c r="V17" s="146">
        <v>31722</v>
      </c>
      <c r="W17" s="146">
        <v>0</v>
      </c>
      <c r="X17" s="146">
        <v>-31347</v>
      </c>
      <c r="Y17" s="146">
        <v>7189</v>
      </c>
      <c r="Z17" s="146">
        <v>0</v>
      </c>
      <c r="AA17" s="146">
        <v>-12800</v>
      </c>
      <c r="AB17" s="147">
        <f t="shared" si="0"/>
        <v>10517</v>
      </c>
      <c r="AC17" s="148">
        <f t="shared" si="1"/>
        <v>0.10517</v>
      </c>
    </row>
    <row r="18" spans="1:38" x14ac:dyDescent="0.25">
      <c r="A18" s="35" t="s">
        <v>51</v>
      </c>
      <c r="B18" s="34" t="s">
        <v>230</v>
      </c>
      <c r="C18" s="34" t="s">
        <v>61</v>
      </c>
      <c r="D18" s="35" t="s">
        <v>39</v>
      </c>
      <c r="E18" s="141" t="s">
        <v>256</v>
      </c>
      <c r="F18" s="116">
        <v>1</v>
      </c>
      <c r="G18" s="29"/>
      <c r="H18" s="48">
        <v>0</v>
      </c>
      <c r="I18" s="146">
        <v>0</v>
      </c>
      <c r="J18" s="146">
        <v>0</v>
      </c>
      <c r="K18" s="146">
        <v>0</v>
      </c>
      <c r="L18" s="146">
        <v>0</v>
      </c>
      <c r="M18" s="146">
        <v>0</v>
      </c>
      <c r="N18" s="146">
        <v>0</v>
      </c>
      <c r="O18" s="146">
        <v>0</v>
      </c>
      <c r="P18" s="146">
        <v>0</v>
      </c>
      <c r="Q18" s="146">
        <v>0</v>
      </c>
      <c r="R18" s="146">
        <v>0</v>
      </c>
      <c r="S18" s="146">
        <v>0</v>
      </c>
      <c r="T18" s="146">
        <v>0</v>
      </c>
      <c r="U18" s="146">
        <v>0</v>
      </c>
      <c r="V18" s="146">
        <v>0</v>
      </c>
      <c r="W18" s="146">
        <v>0</v>
      </c>
      <c r="X18" s="146">
        <v>0</v>
      </c>
      <c r="Y18" s="146">
        <v>0</v>
      </c>
      <c r="Z18" s="146">
        <v>0</v>
      </c>
      <c r="AA18" s="48">
        <v>0</v>
      </c>
      <c r="AB18" s="147">
        <f t="shared" si="0"/>
        <v>0</v>
      </c>
      <c r="AC18" s="65">
        <f t="shared" si="1"/>
        <v>0</v>
      </c>
    </row>
    <row r="19" spans="1:38" x14ac:dyDescent="0.25">
      <c r="A19" s="35" t="s">
        <v>62</v>
      </c>
      <c r="B19" s="34" t="s">
        <v>230</v>
      </c>
      <c r="C19" s="34" t="s">
        <v>61</v>
      </c>
      <c r="D19" s="35" t="s">
        <v>39</v>
      </c>
      <c r="E19" s="141" t="s">
        <v>253</v>
      </c>
      <c r="F19" s="116">
        <v>1</v>
      </c>
      <c r="G19" s="29"/>
      <c r="H19" s="48">
        <v>0</v>
      </c>
      <c r="I19" s="146">
        <v>0</v>
      </c>
      <c r="J19" s="146">
        <v>0</v>
      </c>
      <c r="K19" s="146">
        <v>0</v>
      </c>
      <c r="L19" s="146">
        <v>0</v>
      </c>
      <c r="M19" s="146">
        <v>61000</v>
      </c>
      <c r="N19" s="146">
        <v>0</v>
      </c>
      <c r="O19" s="146">
        <v>0</v>
      </c>
      <c r="P19" s="146">
        <v>0</v>
      </c>
      <c r="Q19" s="146">
        <v>79000</v>
      </c>
      <c r="R19" s="146">
        <v>0</v>
      </c>
      <c r="S19" s="146">
        <v>0</v>
      </c>
      <c r="T19" s="146">
        <v>0</v>
      </c>
      <c r="U19" s="146">
        <v>0</v>
      </c>
      <c r="V19" s="146">
        <v>-13000</v>
      </c>
      <c r="W19" s="146">
        <v>0</v>
      </c>
      <c r="X19" s="146">
        <v>0</v>
      </c>
      <c r="Y19" s="146">
        <v>0</v>
      </c>
      <c r="Z19" s="146">
        <v>0</v>
      </c>
      <c r="AA19" s="48">
        <v>14000</v>
      </c>
      <c r="AB19" s="147">
        <f t="shared" si="0"/>
        <v>141000</v>
      </c>
      <c r="AC19" s="65">
        <f t="shared" si="1"/>
        <v>1.41</v>
      </c>
    </row>
    <row r="20" spans="1:38" x14ac:dyDescent="0.25">
      <c r="A20" s="35" t="s">
        <v>43</v>
      </c>
      <c r="B20" s="34" t="s">
        <v>84</v>
      </c>
      <c r="C20" s="34" t="s">
        <v>85</v>
      </c>
      <c r="D20" s="35" t="s">
        <v>107</v>
      </c>
      <c r="E20" s="141" t="s">
        <v>107</v>
      </c>
      <c r="F20" s="117">
        <v>1</v>
      </c>
      <c r="G20" s="29"/>
      <c r="H20" s="48">
        <v>441552</v>
      </c>
      <c r="I20" s="146">
        <v>37392</v>
      </c>
      <c r="J20" s="146">
        <v>144427</v>
      </c>
      <c r="K20" s="146">
        <v>834</v>
      </c>
      <c r="L20" s="146">
        <v>430248</v>
      </c>
      <c r="M20" s="146">
        <v>69437</v>
      </c>
      <c r="N20" s="146">
        <v>174836</v>
      </c>
      <c r="O20" s="146">
        <v>-61028</v>
      </c>
      <c r="P20" s="146">
        <v>320978</v>
      </c>
      <c r="Q20" s="146">
        <v>50000</v>
      </c>
      <c r="R20" s="146">
        <v>20000</v>
      </c>
      <c r="S20" s="146">
        <v>-6606</v>
      </c>
      <c r="T20" s="146">
        <v>13213</v>
      </c>
      <c r="U20" s="146">
        <v>1241</v>
      </c>
      <c r="V20" s="146">
        <v>-7201</v>
      </c>
      <c r="W20" s="146">
        <v>-22492</v>
      </c>
      <c r="X20" s="146">
        <v>30000</v>
      </c>
      <c r="Y20" s="146">
        <v>1206</v>
      </c>
      <c r="Z20" s="146">
        <v>13496</v>
      </c>
      <c r="AA20" s="48">
        <v>-9011</v>
      </c>
      <c r="AB20" s="147">
        <f t="shared" si="0"/>
        <v>1642522</v>
      </c>
      <c r="AC20" s="65">
        <f t="shared" si="1"/>
        <v>16.425219999999999</v>
      </c>
    </row>
    <row r="21" spans="1:38" x14ac:dyDescent="0.25">
      <c r="A21" s="141" t="s">
        <v>108</v>
      </c>
      <c r="B21" s="140" t="s">
        <v>84</v>
      </c>
      <c r="C21" s="140" t="s">
        <v>207</v>
      </c>
      <c r="D21" s="141"/>
      <c r="E21" s="141" t="s">
        <v>256</v>
      </c>
      <c r="F21" s="156">
        <v>1</v>
      </c>
      <c r="G21" s="136"/>
      <c r="H21" s="146">
        <v>0</v>
      </c>
      <c r="I21" s="146">
        <v>0</v>
      </c>
      <c r="J21" s="146">
        <v>0</v>
      </c>
      <c r="K21" s="146">
        <v>0</v>
      </c>
      <c r="L21" s="146">
        <v>600</v>
      </c>
      <c r="M21" s="146">
        <v>9500</v>
      </c>
      <c r="N21" s="146">
        <v>0</v>
      </c>
      <c r="O21" s="146">
        <v>0</v>
      </c>
      <c r="P21" s="146">
        <v>-5500</v>
      </c>
      <c r="Q21" s="146">
        <v>42000</v>
      </c>
      <c r="R21" s="146">
        <v>0</v>
      </c>
      <c r="S21" s="146">
        <v>-6363</v>
      </c>
      <c r="T21" s="146">
        <v>-27500</v>
      </c>
      <c r="U21" s="146">
        <v>0</v>
      </c>
      <c r="V21" s="146">
        <v>-48000</v>
      </c>
      <c r="W21" s="146">
        <v>0</v>
      </c>
      <c r="X21" s="146">
        <v>-4000</v>
      </c>
      <c r="Y21" s="146">
        <v>500</v>
      </c>
      <c r="Z21" s="146">
        <v>0</v>
      </c>
      <c r="AA21" s="146">
        <v>-6370</v>
      </c>
      <c r="AB21" s="147">
        <f t="shared" si="0"/>
        <v>-45133</v>
      </c>
      <c r="AC21" s="148">
        <f t="shared" ref="AC21" si="2">IFERROR(AB21/F21*100,0)/10000000</f>
        <v>-0.45133000000000001</v>
      </c>
    </row>
    <row r="22" spans="1:38" x14ac:dyDescent="0.25">
      <c r="A22" s="35" t="s">
        <v>94</v>
      </c>
      <c r="B22" s="34" t="s">
        <v>230</v>
      </c>
      <c r="C22" s="34" t="s">
        <v>8</v>
      </c>
      <c r="D22" s="35" t="s">
        <v>39</v>
      </c>
      <c r="E22" s="141" t="s">
        <v>256</v>
      </c>
      <c r="F22" s="117">
        <v>1</v>
      </c>
      <c r="G22" s="29"/>
      <c r="H22" s="48">
        <v>0</v>
      </c>
      <c r="I22" s="146">
        <v>0</v>
      </c>
      <c r="J22" s="146">
        <v>20483</v>
      </c>
      <c r="K22" s="146">
        <v>9196</v>
      </c>
      <c r="L22" s="146">
        <v>0</v>
      </c>
      <c r="M22" s="146">
        <v>-10500</v>
      </c>
      <c r="N22" s="146">
        <v>0</v>
      </c>
      <c r="O22" s="146">
        <v>49335</v>
      </c>
      <c r="P22" s="146">
        <v>0</v>
      </c>
      <c r="Q22" s="146">
        <v>59052</v>
      </c>
      <c r="R22" s="146">
        <v>0</v>
      </c>
      <c r="S22" s="146">
        <v>-75530</v>
      </c>
      <c r="T22" s="146">
        <v>78660</v>
      </c>
      <c r="U22" s="146">
        <v>0</v>
      </c>
      <c r="V22" s="146">
        <v>35505</v>
      </c>
      <c r="W22" s="146">
        <v>0</v>
      </c>
      <c r="X22" s="146">
        <v>-24767</v>
      </c>
      <c r="Y22" s="146">
        <v>-9032</v>
      </c>
      <c r="Z22" s="146">
        <v>0</v>
      </c>
      <c r="AA22" s="48">
        <v>-32140</v>
      </c>
      <c r="AB22" s="147">
        <f t="shared" si="0"/>
        <v>100262</v>
      </c>
      <c r="AC22" s="65">
        <f t="shared" si="1"/>
        <v>1.0026200000000001</v>
      </c>
    </row>
    <row r="23" spans="1:38" x14ac:dyDescent="0.25">
      <c r="A23" s="35" t="s">
        <v>24</v>
      </c>
      <c r="B23" s="34" t="s">
        <v>73</v>
      </c>
      <c r="C23" s="34" t="s">
        <v>58</v>
      </c>
      <c r="D23" s="35" t="s">
        <v>20</v>
      </c>
      <c r="E23" s="141" t="s">
        <v>256</v>
      </c>
      <c r="F23" s="116">
        <v>2.5</v>
      </c>
      <c r="G23" s="29"/>
      <c r="H23" s="48">
        <v>-31651</v>
      </c>
      <c r="I23" s="146">
        <v>0</v>
      </c>
      <c r="J23" s="146">
        <v>-62677</v>
      </c>
      <c r="K23" s="146">
        <v>133197</v>
      </c>
      <c r="L23" s="146">
        <v>-140747</v>
      </c>
      <c r="M23" s="146">
        <v>171213</v>
      </c>
      <c r="N23" s="146">
        <v>-78786</v>
      </c>
      <c r="O23" s="146">
        <v>-22961</v>
      </c>
      <c r="P23" s="146">
        <v>-14290</v>
      </c>
      <c r="Q23" s="146">
        <v>109431</v>
      </c>
      <c r="R23" s="146">
        <v>-6519</v>
      </c>
      <c r="S23" s="146">
        <v>-25467</v>
      </c>
      <c r="T23" s="146">
        <v>46379</v>
      </c>
      <c r="U23" s="146">
        <v>53339</v>
      </c>
      <c r="V23" s="146">
        <v>-70000</v>
      </c>
      <c r="W23" s="146">
        <v>14982</v>
      </c>
      <c r="X23" s="146">
        <v>-51702</v>
      </c>
      <c r="Y23" s="146">
        <v>72079</v>
      </c>
      <c r="Z23" s="146">
        <v>135967</v>
      </c>
      <c r="AA23" s="48">
        <v>77152</v>
      </c>
      <c r="AB23" s="147">
        <f t="shared" si="0"/>
        <v>308939</v>
      </c>
      <c r="AC23" s="65">
        <f t="shared" si="1"/>
        <v>1.2357560000000001</v>
      </c>
    </row>
    <row r="24" spans="1:38" x14ac:dyDescent="0.25">
      <c r="A24" s="35" t="s">
        <v>23</v>
      </c>
      <c r="B24" s="34" t="s">
        <v>74</v>
      </c>
      <c r="C24" s="34" t="s">
        <v>59</v>
      </c>
      <c r="D24" s="35" t="s">
        <v>3</v>
      </c>
      <c r="E24" s="141" t="s">
        <v>256</v>
      </c>
      <c r="F24" s="116">
        <v>4</v>
      </c>
      <c r="G24" s="29"/>
      <c r="H24" s="48">
        <v>24698</v>
      </c>
      <c r="I24" s="146">
        <v>0</v>
      </c>
      <c r="J24" s="146">
        <v>187492</v>
      </c>
      <c r="K24" s="146">
        <v>18300</v>
      </c>
      <c r="L24" s="146">
        <v>-28860</v>
      </c>
      <c r="M24" s="146">
        <v>166334</v>
      </c>
      <c r="N24" s="146">
        <v>-37388</v>
      </c>
      <c r="O24" s="146">
        <v>-22936</v>
      </c>
      <c r="P24" s="146">
        <v>25415</v>
      </c>
      <c r="Q24" s="146">
        <v>104876</v>
      </c>
      <c r="R24" s="146">
        <v>-6969</v>
      </c>
      <c r="S24" s="146">
        <v>-101248</v>
      </c>
      <c r="T24" s="146">
        <v>66983</v>
      </c>
      <c r="U24" s="146">
        <v>92989</v>
      </c>
      <c r="V24" s="146">
        <v>-134638</v>
      </c>
      <c r="W24" s="146">
        <v>1982</v>
      </c>
      <c r="X24" s="146">
        <v>-111322</v>
      </c>
      <c r="Y24" s="146">
        <v>94791</v>
      </c>
      <c r="Z24" s="146">
        <v>5000</v>
      </c>
      <c r="AA24" s="48">
        <v>59625</v>
      </c>
      <c r="AB24" s="147">
        <f t="shared" si="0"/>
        <v>405124</v>
      </c>
      <c r="AC24" s="65">
        <f t="shared" si="1"/>
        <v>1.01281</v>
      </c>
    </row>
    <row r="25" spans="1:38" x14ac:dyDescent="0.25">
      <c r="A25" s="35" t="s">
        <v>110</v>
      </c>
      <c r="B25" s="34" t="s">
        <v>111</v>
      </c>
      <c r="C25" s="34" t="s">
        <v>109</v>
      </c>
      <c r="D25" s="35" t="s">
        <v>152</v>
      </c>
      <c r="E25" s="141" t="s">
        <v>256</v>
      </c>
      <c r="F25" s="116">
        <v>1.1000000000000001</v>
      </c>
      <c r="G25" s="29"/>
      <c r="H25" s="48">
        <v>5578</v>
      </c>
      <c r="I25" s="146">
        <v>20970</v>
      </c>
      <c r="J25" s="146">
        <v>-9177</v>
      </c>
      <c r="K25" s="146">
        <v>-55046</v>
      </c>
      <c r="L25" s="146">
        <v>0</v>
      </c>
      <c r="M25" s="146">
        <v>0</v>
      </c>
      <c r="N25" s="146">
        <v>31150</v>
      </c>
      <c r="O25" s="146">
        <v>11780</v>
      </c>
      <c r="P25" s="146">
        <v>0</v>
      </c>
      <c r="Q25" s="146">
        <v>-200</v>
      </c>
      <c r="R25" s="146">
        <v>0</v>
      </c>
      <c r="S25" s="146">
        <v>0</v>
      </c>
      <c r="T25" s="146">
        <v>6024</v>
      </c>
      <c r="U25" s="146">
        <v>20053</v>
      </c>
      <c r="V25" s="146">
        <v>11507</v>
      </c>
      <c r="W25" s="146">
        <v>9106</v>
      </c>
      <c r="X25" s="146">
        <v>8300</v>
      </c>
      <c r="Y25" s="146">
        <v>-29005</v>
      </c>
      <c r="Z25" s="146">
        <v>-1062</v>
      </c>
      <c r="AA25" s="48">
        <v>5944</v>
      </c>
      <c r="AB25" s="147">
        <f t="shared" si="0"/>
        <v>35922</v>
      </c>
      <c r="AC25" s="65">
        <f t="shared" si="1"/>
        <v>0.32656363636363633</v>
      </c>
      <c r="AF25" s="1">
        <v>254510</v>
      </c>
    </row>
    <row r="26" spans="1:38" x14ac:dyDescent="0.25">
      <c r="A26" s="141" t="s">
        <v>148</v>
      </c>
      <c r="B26" s="140" t="s">
        <v>111</v>
      </c>
      <c r="C26" s="140" t="s">
        <v>128</v>
      </c>
      <c r="D26" s="141" t="s">
        <v>152</v>
      </c>
      <c r="E26" s="141" t="s">
        <v>256</v>
      </c>
      <c r="F26" s="155">
        <v>0.25</v>
      </c>
      <c r="G26" s="13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>
        <v>0</v>
      </c>
      <c r="U26" s="146">
        <v>4831</v>
      </c>
      <c r="V26" s="146">
        <v>3646</v>
      </c>
      <c r="W26" s="146">
        <v>-200</v>
      </c>
      <c r="X26" s="146">
        <v>0</v>
      </c>
      <c r="Y26" s="146">
        <v>0</v>
      </c>
      <c r="Z26" s="146">
        <v>0</v>
      </c>
      <c r="AA26" s="146">
        <v>1726</v>
      </c>
      <c r="AB26" s="147">
        <f t="shared" si="0"/>
        <v>10003</v>
      </c>
      <c r="AC26" s="148">
        <f t="shared" ref="AC26" si="3">IFERROR(AB26/F26*100,0)/10000000</f>
        <v>0.40011999999999998</v>
      </c>
      <c r="AF26" s="1">
        <v>103400</v>
      </c>
      <c r="AI26" s="1">
        <v>-13450</v>
      </c>
      <c r="AL26" s="1">
        <v>-38200</v>
      </c>
    </row>
    <row r="27" spans="1:38" x14ac:dyDescent="0.25">
      <c r="A27" s="35" t="s">
        <v>165</v>
      </c>
      <c r="B27" s="34" t="s">
        <v>164</v>
      </c>
      <c r="C27" s="34" t="s">
        <v>166</v>
      </c>
      <c r="D27" s="141" t="s">
        <v>261</v>
      </c>
      <c r="E27" s="141" t="s">
        <v>256</v>
      </c>
      <c r="F27" s="116">
        <v>1.5</v>
      </c>
      <c r="G27" s="29"/>
      <c r="H27" s="48">
        <v>-52000</v>
      </c>
      <c r="I27" s="146">
        <v>-8000</v>
      </c>
      <c r="J27" s="146">
        <v>200000</v>
      </c>
      <c r="K27" s="146">
        <v>-111000</v>
      </c>
      <c r="L27" s="146">
        <v>50000</v>
      </c>
      <c r="M27" s="146">
        <v>-5000</v>
      </c>
      <c r="N27" s="146">
        <v>139000</v>
      </c>
      <c r="O27" s="146">
        <v>-103000</v>
      </c>
      <c r="P27" s="146">
        <v>-9500</v>
      </c>
      <c r="Q27" s="146">
        <v>-68000</v>
      </c>
      <c r="R27" s="146">
        <v>76000</v>
      </c>
      <c r="S27" s="146">
        <v>-82000</v>
      </c>
      <c r="T27" s="146">
        <v>-25000</v>
      </c>
      <c r="U27" s="146">
        <v>40000</v>
      </c>
      <c r="V27" s="146">
        <v>-73000</v>
      </c>
      <c r="W27" s="146">
        <v>205000</v>
      </c>
      <c r="X27" s="146">
        <v>-46106</v>
      </c>
      <c r="Y27" s="146">
        <v>114000</v>
      </c>
      <c r="Z27" s="146">
        <v>-15500</v>
      </c>
      <c r="AA27" s="48">
        <v>-23618</v>
      </c>
      <c r="AB27" s="147">
        <f t="shared" si="0"/>
        <v>202276</v>
      </c>
      <c r="AC27" s="65">
        <f t="shared" ref="AC27" si="4">IFERROR(AB27/F27*100,0)/10000000</f>
        <v>1.3485066666666665</v>
      </c>
      <c r="AF27" s="1">
        <v>-315000</v>
      </c>
      <c r="AI27" s="1">
        <v>15432</v>
      </c>
      <c r="AL27" s="1">
        <v>11900</v>
      </c>
    </row>
    <row r="28" spans="1:38" x14ac:dyDescent="0.25">
      <c r="A28" s="35" t="s">
        <v>32</v>
      </c>
      <c r="B28" s="34" t="s">
        <v>63</v>
      </c>
      <c r="C28" s="35" t="s">
        <v>21</v>
      </c>
      <c r="D28" s="35" t="s">
        <v>40</v>
      </c>
      <c r="E28" s="141" t="s">
        <v>256</v>
      </c>
      <c r="F28" s="116">
        <v>1.1000000000000001</v>
      </c>
      <c r="G28" s="30"/>
      <c r="H28" s="48">
        <v>-12308</v>
      </c>
      <c r="I28" s="146">
        <v>0</v>
      </c>
      <c r="J28" s="146">
        <v>-38237</v>
      </c>
      <c r="K28" s="146">
        <v>-90000</v>
      </c>
      <c r="L28" s="146">
        <v>11852</v>
      </c>
      <c r="M28" s="146">
        <v>2017</v>
      </c>
      <c r="N28" s="146">
        <v>-53047</v>
      </c>
      <c r="O28" s="146">
        <v>85060</v>
      </c>
      <c r="P28" s="146">
        <v>-27527</v>
      </c>
      <c r="Q28" s="146">
        <v>19530</v>
      </c>
      <c r="R28" s="146">
        <v>-10150</v>
      </c>
      <c r="S28" s="146">
        <v>5000</v>
      </c>
      <c r="T28" s="146">
        <v>-5500</v>
      </c>
      <c r="U28" s="146">
        <v>15040</v>
      </c>
      <c r="V28" s="146">
        <v>20522</v>
      </c>
      <c r="W28" s="146">
        <v>18184</v>
      </c>
      <c r="X28" s="146">
        <v>-11907</v>
      </c>
      <c r="Y28" s="146">
        <v>2039</v>
      </c>
      <c r="Z28" s="146">
        <v>36854</v>
      </c>
      <c r="AA28" s="48">
        <v>48922</v>
      </c>
      <c r="AB28" s="147">
        <f t="shared" si="0"/>
        <v>16344</v>
      </c>
      <c r="AC28" s="65">
        <f t="shared" ref="AC28:AC35" si="5">IFERROR(AB28/F28*100,0)/10000000</f>
        <v>0.14858181818181818</v>
      </c>
    </row>
    <row r="29" spans="1:38" x14ac:dyDescent="0.25">
      <c r="A29" s="35" t="s">
        <v>117</v>
      </c>
      <c r="B29" s="34" t="s">
        <v>63</v>
      </c>
      <c r="C29" s="35" t="s">
        <v>118</v>
      </c>
      <c r="D29" s="35" t="s">
        <v>40</v>
      </c>
      <c r="E29" s="141" t="s">
        <v>256</v>
      </c>
      <c r="F29" s="116">
        <v>0.5</v>
      </c>
      <c r="G29" s="30"/>
      <c r="H29" s="48">
        <v>-18000</v>
      </c>
      <c r="I29" s="146">
        <v>11000</v>
      </c>
      <c r="J29" s="146">
        <v>6000</v>
      </c>
      <c r="K29" s="146">
        <v>-5800</v>
      </c>
      <c r="L29" s="146">
        <v>-15000</v>
      </c>
      <c r="M29" s="146">
        <v>-24000</v>
      </c>
      <c r="N29" s="146">
        <v>-101000</v>
      </c>
      <c r="O29" s="146">
        <v>17500</v>
      </c>
      <c r="P29" s="146">
        <v>-30500</v>
      </c>
      <c r="Q29" s="146">
        <v>26000</v>
      </c>
      <c r="R29" s="146">
        <v>6500</v>
      </c>
      <c r="S29" s="146">
        <v>-32000</v>
      </c>
      <c r="T29" s="146">
        <v>15000</v>
      </c>
      <c r="U29" s="146">
        <v>-28000</v>
      </c>
      <c r="V29" s="146">
        <v>-41000</v>
      </c>
      <c r="W29" s="146">
        <v>35000</v>
      </c>
      <c r="X29" s="146">
        <v>-43171</v>
      </c>
      <c r="Y29" s="146">
        <v>48000</v>
      </c>
      <c r="Z29" s="146">
        <v>-13500</v>
      </c>
      <c r="AA29" s="48">
        <v>-16130</v>
      </c>
      <c r="AB29" s="147">
        <f t="shared" si="0"/>
        <v>-203101</v>
      </c>
      <c r="AC29" s="65">
        <f t="shared" si="5"/>
        <v>-4.0620200000000004</v>
      </c>
      <c r="AF29" s="2">
        <f>SUM(AF24:AF27)</f>
        <v>42910</v>
      </c>
      <c r="AI29" s="2">
        <f>SUM(AI26:AI27)</f>
        <v>1982</v>
      </c>
    </row>
    <row r="30" spans="1:38" x14ac:dyDescent="0.25">
      <c r="A30" s="35" t="s">
        <v>97</v>
      </c>
      <c r="B30" s="34" t="s">
        <v>68</v>
      </c>
      <c r="C30" s="34" t="s">
        <v>206</v>
      </c>
      <c r="D30" s="35" t="s">
        <v>107</v>
      </c>
      <c r="E30" s="141" t="s">
        <v>107</v>
      </c>
      <c r="F30" s="116">
        <v>2.2999999999999998</v>
      </c>
      <c r="G30" s="30"/>
      <c r="H30" s="48">
        <v>538821</v>
      </c>
      <c r="I30" s="146">
        <v>-33736</v>
      </c>
      <c r="J30" s="146">
        <v>346787</v>
      </c>
      <c r="K30" s="146">
        <v>74363</v>
      </c>
      <c r="L30" s="146">
        <v>1017305</v>
      </c>
      <c r="M30" s="146">
        <v>-18101</v>
      </c>
      <c r="N30" s="146">
        <v>422992</v>
      </c>
      <c r="O30" s="146">
        <v>-200566</v>
      </c>
      <c r="P30" s="146">
        <v>542620</v>
      </c>
      <c r="Q30" s="146">
        <v>158370</v>
      </c>
      <c r="R30" s="146">
        <v>296090</v>
      </c>
      <c r="S30" s="146">
        <v>-47313</v>
      </c>
      <c r="T30" s="146">
        <v>169856</v>
      </c>
      <c r="U30" s="146">
        <v>67802</v>
      </c>
      <c r="V30" s="146">
        <v>-179604</v>
      </c>
      <c r="W30" s="146">
        <v>-232194</v>
      </c>
      <c r="X30" s="146">
        <v>311700</v>
      </c>
      <c r="Y30" s="146">
        <v>1705</v>
      </c>
      <c r="Z30" s="146">
        <v>70800</v>
      </c>
      <c r="AA30" s="48">
        <v>-117000</v>
      </c>
      <c r="AB30" s="147">
        <f t="shared" si="0"/>
        <v>3190697</v>
      </c>
      <c r="AC30" s="65">
        <f t="shared" si="5"/>
        <v>13.872595652173912</v>
      </c>
    </row>
    <row r="31" spans="1:38" x14ac:dyDescent="0.25">
      <c r="A31" s="35" t="s">
        <v>29</v>
      </c>
      <c r="B31" s="34" t="s">
        <v>22</v>
      </c>
      <c r="C31" s="34" t="s">
        <v>151</v>
      </c>
      <c r="D31" s="35" t="s">
        <v>5</v>
      </c>
      <c r="E31" s="141" t="s">
        <v>256</v>
      </c>
      <c r="F31" s="116">
        <v>5</v>
      </c>
      <c r="G31" s="30"/>
      <c r="H31" s="48">
        <v>-221468</v>
      </c>
      <c r="I31" s="146">
        <v>0</v>
      </c>
      <c r="J31" s="146">
        <v>-329217</v>
      </c>
      <c r="K31" s="146">
        <v>210250</v>
      </c>
      <c r="L31" s="146">
        <v>-167500</v>
      </c>
      <c r="M31" s="146">
        <v>510000</v>
      </c>
      <c r="N31" s="146">
        <v>24250</v>
      </c>
      <c r="O31" s="146">
        <v>173030</v>
      </c>
      <c r="P31" s="146">
        <v>138000</v>
      </c>
      <c r="Q31" s="146">
        <v>400000</v>
      </c>
      <c r="R31" s="146">
        <v>-35000</v>
      </c>
      <c r="S31" s="146">
        <v>-260000</v>
      </c>
      <c r="T31" s="146">
        <v>413300</v>
      </c>
      <c r="U31" s="146">
        <v>163342</v>
      </c>
      <c r="V31" s="146">
        <v>-176000</v>
      </c>
      <c r="W31" s="146">
        <v>68000</v>
      </c>
      <c r="X31" s="146">
        <v>-204454</v>
      </c>
      <c r="Y31" s="146">
        <v>341500</v>
      </c>
      <c r="Z31" s="146">
        <v>169100</v>
      </c>
      <c r="AA31" s="48">
        <v>102150</v>
      </c>
      <c r="AB31" s="147">
        <f t="shared" si="0"/>
        <v>1319283</v>
      </c>
      <c r="AC31" s="65">
        <f t="shared" si="5"/>
        <v>2.6385659999999995</v>
      </c>
    </row>
    <row r="32" spans="1:38" x14ac:dyDescent="0.25">
      <c r="A32" s="35" t="s">
        <v>28</v>
      </c>
      <c r="B32" s="34" t="s">
        <v>155</v>
      </c>
      <c r="C32" s="34" t="s">
        <v>121</v>
      </c>
      <c r="D32" s="35" t="s">
        <v>91</v>
      </c>
      <c r="E32" s="141" t="s">
        <v>256</v>
      </c>
      <c r="F32" s="116">
        <v>10</v>
      </c>
      <c r="G32" s="30"/>
      <c r="H32" s="48">
        <v>39000</v>
      </c>
      <c r="I32" s="146">
        <v>370000</v>
      </c>
      <c r="J32" s="146">
        <v>10000</v>
      </c>
      <c r="K32" s="146">
        <v>925000</v>
      </c>
      <c r="L32" s="146">
        <v>9000</v>
      </c>
      <c r="M32" s="146">
        <v>640000</v>
      </c>
      <c r="N32" s="146">
        <v>500</v>
      </c>
      <c r="O32" s="146">
        <v>245000</v>
      </c>
      <c r="P32" s="146">
        <v>0</v>
      </c>
      <c r="Q32" s="146">
        <v>500</v>
      </c>
      <c r="R32" s="146">
        <v>0</v>
      </c>
      <c r="S32" s="146">
        <v>0</v>
      </c>
      <c r="T32" s="146">
        <v>935000</v>
      </c>
      <c r="U32" s="146">
        <v>315000</v>
      </c>
      <c r="V32" s="146">
        <v>168000</v>
      </c>
      <c r="W32" s="146">
        <v>0</v>
      </c>
      <c r="X32" s="146">
        <v>0</v>
      </c>
      <c r="Y32" s="146">
        <v>-481000</v>
      </c>
      <c r="Z32" s="146">
        <v>168000</v>
      </c>
      <c r="AA32" s="48">
        <v>-444300</v>
      </c>
      <c r="AB32" s="147">
        <f t="shared" si="0"/>
        <v>2899700</v>
      </c>
      <c r="AC32" s="65">
        <f t="shared" si="5"/>
        <v>2.8997000000000002</v>
      </c>
    </row>
    <row r="33" spans="1:32" x14ac:dyDescent="0.25">
      <c r="A33" s="35" t="s">
        <v>27</v>
      </c>
      <c r="B33" s="34" t="s">
        <v>155</v>
      </c>
      <c r="C33" s="34" t="s">
        <v>174</v>
      </c>
      <c r="D33" s="35" t="s">
        <v>53</v>
      </c>
      <c r="E33" s="141" t="s">
        <v>256</v>
      </c>
      <c r="F33" s="116">
        <v>0.22</v>
      </c>
      <c r="G33" s="29"/>
      <c r="H33" s="48">
        <v>0</v>
      </c>
      <c r="I33" s="146">
        <v>0</v>
      </c>
      <c r="J33" s="146">
        <v>0</v>
      </c>
      <c r="K33" s="146">
        <v>0</v>
      </c>
      <c r="L33" s="146">
        <v>0</v>
      </c>
      <c r="M33" s="146">
        <v>0</v>
      </c>
      <c r="N33" s="146">
        <v>0</v>
      </c>
      <c r="O33" s="146">
        <v>0</v>
      </c>
      <c r="P33" s="146">
        <v>0</v>
      </c>
      <c r="Q33" s="146">
        <v>0</v>
      </c>
      <c r="R33" s="146">
        <v>0</v>
      </c>
      <c r="S33" s="146">
        <v>0</v>
      </c>
      <c r="T33" s="146">
        <v>0</v>
      </c>
      <c r="U33" s="146">
        <v>0</v>
      </c>
      <c r="V33" s="146">
        <v>0</v>
      </c>
      <c r="W33" s="146">
        <v>0</v>
      </c>
      <c r="X33" s="146">
        <v>0</v>
      </c>
      <c r="Y33" s="146">
        <v>0</v>
      </c>
      <c r="Z33" s="146">
        <v>0</v>
      </c>
      <c r="AA33" s="48">
        <v>0</v>
      </c>
      <c r="AB33" s="147">
        <f t="shared" si="0"/>
        <v>0</v>
      </c>
      <c r="AC33" s="65">
        <f t="shared" si="5"/>
        <v>0</v>
      </c>
      <c r="AE33" s="5"/>
      <c r="AF33" s="4"/>
    </row>
    <row r="34" spans="1:32" x14ac:dyDescent="0.25">
      <c r="A34" s="141" t="s">
        <v>191</v>
      </c>
      <c r="B34" s="140" t="s">
        <v>184</v>
      </c>
      <c r="C34" s="140" t="s">
        <v>185</v>
      </c>
      <c r="D34" s="141" t="s">
        <v>91</v>
      </c>
      <c r="E34" s="141" t="s">
        <v>256</v>
      </c>
      <c r="F34" s="155">
        <v>10</v>
      </c>
      <c r="G34" s="136"/>
      <c r="H34" s="146">
        <v>0</v>
      </c>
      <c r="I34" s="146">
        <v>0</v>
      </c>
      <c r="J34" s="146">
        <v>0</v>
      </c>
      <c r="K34" s="146">
        <v>900000</v>
      </c>
      <c r="L34" s="146">
        <v>9000</v>
      </c>
      <c r="M34" s="146">
        <v>650000</v>
      </c>
      <c r="N34" s="146">
        <v>0</v>
      </c>
      <c r="O34" s="146">
        <v>245000</v>
      </c>
      <c r="P34" s="146">
        <v>0</v>
      </c>
      <c r="Q34" s="146">
        <v>2000</v>
      </c>
      <c r="R34" s="146">
        <v>0</v>
      </c>
      <c r="S34" s="146">
        <v>0</v>
      </c>
      <c r="T34" s="146">
        <v>932000</v>
      </c>
      <c r="U34" s="146">
        <v>305000</v>
      </c>
      <c r="V34" s="146">
        <v>168000</v>
      </c>
      <c r="W34" s="146">
        <v>0</v>
      </c>
      <c r="X34" s="146">
        <v>0</v>
      </c>
      <c r="Y34" s="146">
        <v>-491070</v>
      </c>
      <c r="Z34" s="146">
        <v>182000</v>
      </c>
      <c r="AA34" s="146">
        <v>-444300</v>
      </c>
      <c r="AB34" s="147">
        <f t="shared" si="0"/>
        <v>2457630</v>
      </c>
      <c r="AC34" s="148">
        <f t="shared" si="5"/>
        <v>2.45763</v>
      </c>
      <c r="AE34" s="5"/>
      <c r="AF34" s="133">
        <v>-5333</v>
      </c>
    </row>
    <row r="35" spans="1:32" x14ac:dyDescent="0.25">
      <c r="A35" s="141" t="s">
        <v>194</v>
      </c>
      <c r="B35" s="140" t="s">
        <v>178</v>
      </c>
      <c r="C35" s="140" t="s">
        <v>180</v>
      </c>
      <c r="D35" s="141" t="s">
        <v>91</v>
      </c>
      <c r="E35" s="141" t="s">
        <v>256</v>
      </c>
      <c r="F35" s="155">
        <v>3</v>
      </c>
      <c r="G35" s="136"/>
      <c r="H35" s="146">
        <v>0</v>
      </c>
      <c r="I35" s="146">
        <v>0</v>
      </c>
      <c r="J35" s="146">
        <v>0</v>
      </c>
      <c r="K35" s="146">
        <v>215000</v>
      </c>
      <c r="L35" s="146">
        <v>2500</v>
      </c>
      <c r="M35" s="146">
        <v>185000</v>
      </c>
      <c r="N35" s="146">
        <v>0</v>
      </c>
      <c r="O35" s="146">
        <v>98000</v>
      </c>
      <c r="P35" s="146">
        <v>0</v>
      </c>
      <c r="Q35" s="146">
        <v>1500</v>
      </c>
      <c r="R35" s="146">
        <v>0</v>
      </c>
      <c r="S35" s="146">
        <v>0</v>
      </c>
      <c r="T35" s="146">
        <v>260000</v>
      </c>
      <c r="U35" s="146">
        <v>89000</v>
      </c>
      <c r="V35" s="146">
        <v>48000</v>
      </c>
      <c r="W35" s="146">
        <v>0</v>
      </c>
      <c r="X35" s="146">
        <v>0</v>
      </c>
      <c r="Y35" s="146">
        <v>-142000</v>
      </c>
      <c r="Z35" s="146">
        <v>49500</v>
      </c>
      <c r="AA35" s="146">
        <v>-127200</v>
      </c>
      <c r="AB35" s="147">
        <f t="shared" si="0"/>
        <v>679300</v>
      </c>
      <c r="AC35" s="148">
        <f t="shared" si="5"/>
        <v>2.2643333333333335</v>
      </c>
      <c r="AE35" s="133">
        <v>4355107</v>
      </c>
      <c r="AF35" s="133"/>
    </row>
    <row r="36" spans="1:32" x14ac:dyDescent="0.25">
      <c r="A36" s="35" t="s">
        <v>147</v>
      </c>
      <c r="B36" s="34" t="s">
        <v>146</v>
      </c>
      <c r="C36" s="34" t="s">
        <v>140</v>
      </c>
      <c r="D36" s="35" t="s">
        <v>91</v>
      </c>
      <c r="E36" s="141" t="s">
        <v>256</v>
      </c>
      <c r="F36" s="116">
        <v>1.5</v>
      </c>
      <c r="G36" s="29"/>
      <c r="H36" s="48">
        <v>0</v>
      </c>
      <c r="I36" s="146">
        <v>0</v>
      </c>
      <c r="J36" s="146">
        <v>1000</v>
      </c>
      <c r="K36" s="146">
        <v>128000</v>
      </c>
      <c r="L36" s="146">
        <v>1000</v>
      </c>
      <c r="M36" s="146">
        <v>92000</v>
      </c>
      <c r="N36" s="146">
        <v>0</v>
      </c>
      <c r="O36" s="146">
        <v>33000</v>
      </c>
      <c r="P36" s="146">
        <v>0</v>
      </c>
      <c r="Q36" s="146">
        <v>500</v>
      </c>
      <c r="R36" s="146">
        <v>0</v>
      </c>
      <c r="S36" s="146">
        <v>0</v>
      </c>
      <c r="T36" s="146">
        <v>130000</v>
      </c>
      <c r="U36" s="146">
        <v>43500</v>
      </c>
      <c r="V36" s="146">
        <v>23000</v>
      </c>
      <c r="W36" s="146">
        <v>0</v>
      </c>
      <c r="X36" s="146">
        <v>0</v>
      </c>
      <c r="Y36" s="146">
        <v>-72000</v>
      </c>
      <c r="Z36" s="146">
        <v>23000</v>
      </c>
      <c r="AA36" s="48">
        <v>-64000</v>
      </c>
      <c r="AB36" s="147">
        <f t="shared" si="0"/>
        <v>339000</v>
      </c>
      <c r="AC36" s="65">
        <f t="shared" ref="AC36:AC61" si="6">IFERROR(AB36/F36*100,0)/10000000</f>
        <v>2.2599999999999998</v>
      </c>
      <c r="AE36" s="6">
        <v>4349774</v>
      </c>
      <c r="AF36" s="6">
        <f>(AE36+AE35)/10000000*13780</f>
        <v>11995.326018</v>
      </c>
    </row>
    <row r="37" spans="1:32" x14ac:dyDescent="0.25">
      <c r="A37" s="162" t="s">
        <v>205</v>
      </c>
      <c r="B37" s="140" t="s">
        <v>203</v>
      </c>
      <c r="C37" s="140" t="s">
        <v>204</v>
      </c>
      <c r="D37" s="141" t="s">
        <v>91</v>
      </c>
      <c r="E37" s="162" t="s">
        <v>256</v>
      </c>
      <c r="F37" s="163">
        <v>1.25</v>
      </c>
      <c r="G37" s="164"/>
      <c r="H37" s="150">
        <v>0</v>
      </c>
      <c r="I37" s="150">
        <v>0</v>
      </c>
      <c r="J37" s="150">
        <v>0</v>
      </c>
      <c r="K37" s="150">
        <v>0</v>
      </c>
      <c r="L37" s="150">
        <v>0</v>
      </c>
      <c r="M37" s="150">
        <v>0</v>
      </c>
      <c r="N37" s="150">
        <v>0</v>
      </c>
      <c r="O37" s="150">
        <v>31000</v>
      </c>
      <c r="P37" s="150">
        <v>0</v>
      </c>
      <c r="Q37" s="150">
        <v>100</v>
      </c>
      <c r="R37" s="150">
        <v>0</v>
      </c>
      <c r="S37" s="150">
        <v>0</v>
      </c>
      <c r="T37" s="150">
        <v>130000</v>
      </c>
      <c r="U37" s="150">
        <v>43000</v>
      </c>
      <c r="V37" s="150">
        <v>23000</v>
      </c>
      <c r="W37" s="150">
        <v>0</v>
      </c>
      <c r="X37" s="150">
        <v>0</v>
      </c>
      <c r="Y37" s="150">
        <v>-72000</v>
      </c>
      <c r="Z37" s="150">
        <v>23000</v>
      </c>
      <c r="AA37" s="150">
        <v>-64000</v>
      </c>
      <c r="AB37" s="147">
        <f t="shared" si="0"/>
        <v>114100</v>
      </c>
      <c r="AC37" s="148">
        <f t="shared" si="6"/>
        <v>0.91279999999999994</v>
      </c>
      <c r="AE37" s="6"/>
      <c r="AF37" s="6"/>
    </row>
    <row r="38" spans="1:32" x14ac:dyDescent="0.25">
      <c r="A38" s="62" t="s">
        <v>1</v>
      </c>
      <c r="B38" s="62" t="s">
        <v>113</v>
      </c>
      <c r="C38" s="62" t="s">
        <v>248</v>
      </c>
      <c r="D38" s="34" t="s">
        <v>92</v>
      </c>
      <c r="E38" s="62" t="s">
        <v>256</v>
      </c>
      <c r="F38" s="114">
        <v>1.5</v>
      </c>
      <c r="G38" s="63"/>
      <c r="H38" s="82">
        <v>0</v>
      </c>
      <c r="I38" s="150">
        <v>0</v>
      </c>
      <c r="J38" s="150">
        <v>1000</v>
      </c>
      <c r="K38" s="150">
        <v>128000</v>
      </c>
      <c r="L38" s="150">
        <v>1000</v>
      </c>
      <c r="M38" s="150">
        <v>92000</v>
      </c>
      <c r="N38" s="150">
        <v>0</v>
      </c>
      <c r="O38" s="150">
        <v>33000</v>
      </c>
      <c r="P38" s="150">
        <v>0</v>
      </c>
      <c r="Q38" s="150">
        <v>500</v>
      </c>
      <c r="R38" s="150">
        <v>0</v>
      </c>
      <c r="S38" s="150">
        <v>0</v>
      </c>
      <c r="T38" s="150">
        <v>130000</v>
      </c>
      <c r="U38" s="150">
        <v>43000</v>
      </c>
      <c r="V38" s="150">
        <v>23000</v>
      </c>
      <c r="W38" s="150">
        <v>0</v>
      </c>
      <c r="X38" s="150">
        <v>0</v>
      </c>
      <c r="Y38" s="150">
        <v>-56000</v>
      </c>
      <c r="Z38" s="150">
        <v>23000</v>
      </c>
      <c r="AA38" s="82">
        <v>-64000</v>
      </c>
      <c r="AB38" s="147">
        <f t="shared" si="0"/>
        <v>354500</v>
      </c>
      <c r="AC38" s="65">
        <f t="shared" si="6"/>
        <v>2.3633333333333337</v>
      </c>
      <c r="AE38" s="6"/>
      <c r="AF38" s="6"/>
    </row>
    <row r="39" spans="1:32" x14ac:dyDescent="0.25">
      <c r="A39" s="35" t="s">
        <v>65</v>
      </c>
      <c r="B39" s="34" t="s">
        <v>64</v>
      </c>
      <c r="C39" s="34" t="s">
        <v>7</v>
      </c>
      <c r="D39" s="35" t="s">
        <v>152</v>
      </c>
      <c r="E39" s="141" t="s">
        <v>256</v>
      </c>
      <c r="F39" s="116">
        <v>5</v>
      </c>
      <c r="G39" s="29"/>
      <c r="H39" s="48">
        <v>0</v>
      </c>
      <c r="I39" s="146">
        <v>-52118</v>
      </c>
      <c r="J39" s="146">
        <v>0</v>
      </c>
      <c r="K39" s="146">
        <v>8915</v>
      </c>
      <c r="L39" s="146">
        <v>0</v>
      </c>
      <c r="M39" s="146">
        <v>241055</v>
      </c>
      <c r="N39" s="146">
        <v>0</v>
      </c>
      <c r="O39" s="146">
        <v>115298</v>
      </c>
      <c r="P39" s="146">
        <v>0</v>
      </c>
      <c r="Q39" s="146">
        <v>59006</v>
      </c>
      <c r="R39" s="146">
        <v>0</v>
      </c>
      <c r="S39" s="146">
        <v>0</v>
      </c>
      <c r="T39" s="146">
        <v>322275</v>
      </c>
      <c r="U39" s="146">
        <v>0</v>
      </c>
      <c r="V39" s="146">
        <v>-170149</v>
      </c>
      <c r="W39" s="146">
        <v>0</v>
      </c>
      <c r="X39" s="146">
        <v>-32732</v>
      </c>
      <c r="Y39" s="146">
        <v>-43020</v>
      </c>
      <c r="Z39" s="146">
        <v>0</v>
      </c>
      <c r="AA39" s="48">
        <v>-234563</v>
      </c>
      <c r="AB39" s="147">
        <f t="shared" si="0"/>
        <v>213967</v>
      </c>
      <c r="AC39" s="65">
        <f t="shared" si="6"/>
        <v>0.42793399999999998</v>
      </c>
      <c r="AE39" s="6"/>
      <c r="AF39" s="6"/>
    </row>
    <row r="40" spans="1:32" ht="16.5" customHeight="1" x14ac:dyDescent="0.25">
      <c r="A40" s="34" t="s">
        <v>34</v>
      </c>
      <c r="B40" s="36" t="s">
        <v>18</v>
      </c>
      <c r="C40" s="34" t="s">
        <v>10</v>
      </c>
      <c r="D40" s="35" t="s">
        <v>152</v>
      </c>
      <c r="E40" s="141" t="s">
        <v>256</v>
      </c>
      <c r="F40" s="118">
        <v>5</v>
      </c>
      <c r="G40" s="33"/>
      <c r="H40" s="48">
        <v>58053</v>
      </c>
      <c r="I40" s="146">
        <v>121299</v>
      </c>
      <c r="J40" s="146">
        <v>-49079</v>
      </c>
      <c r="K40" s="146">
        <v>3902</v>
      </c>
      <c r="L40" s="146">
        <v>37194</v>
      </c>
      <c r="M40" s="146">
        <v>219670</v>
      </c>
      <c r="N40" s="146">
        <v>-86420</v>
      </c>
      <c r="O40" s="146">
        <v>138625</v>
      </c>
      <c r="P40" s="146">
        <v>59408</v>
      </c>
      <c r="Q40" s="146">
        <v>68225</v>
      </c>
      <c r="R40" s="146">
        <v>76163</v>
      </c>
      <c r="S40" s="146">
        <v>-33821</v>
      </c>
      <c r="T40" s="146">
        <v>36068</v>
      </c>
      <c r="U40" s="146">
        <v>163342</v>
      </c>
      <c r="V40" s="146">
        <v>-13204</v>
      </c>
      <c r="W40" s="146">
        <v>-155212</v>
      </c>
      <c r="X40" s="146">
        <v>-137789</v>
      </c>
      <c r="Y40" s="146">
        <v>43143</v>
      </c>
      <c r="Z40" s="146">
        <v>-36983</v>
      </c>
      <c r="AA40" s="48">
        <v>156370</v>
      </c>
      <c r="AB40" s="147">
        <f t="shared" si="0"/>
        <v>668954</v>
      </c>
      <c r="AC40" s="65">
        <f t="shared" si="6"/>
        <v>1.3379079999999999</v>
      </c>
      <c r="AE40" s="6"/>
      <c r="AF40" s="124">
        <f>AF34-AF36</f>
        <v>-17328.326018</v>
      </c>
    </row>
    <row r="41" spans="1:32" x14ac:dyDescent="0.25">
      <c r="A41" s="34" t="s">
        <v>131</v>
      </c>
      <c r="B41" s="36" t="s">
        <v>130</v>
      </c>
      <c r="C41" s="34" t="s">
        <v>16</v>
      </c>
      <c r="D41" s="141" t="s">
        <v>262</v>
      </c>
      <c r="E41" s="141" t="s">
        <v>256</v>
      </c>
      <c r="F41" s="118">
        <v>0.5</v>
      </c>
      <c r="G41" s="33"/>
      <c r="H41" s="48">
        <v>4724</v>
      </c>
      <c r="I41" s="146">
        <v>15658</v>
      </c>
      <c r="J41" s="146">
        <v>-51370</v>
      </c>
      <c r="K41" s="146">
        <v>43416</v>
      </c>
      <c r="L41" s="146">
        <v>-7833</v>
      </c>
      <c r="M41" s="146">
        <v>11986</v>
      </c>
      <c r="N41" s="146">
        <v>-35000</v>
      </c>
      <c r="O41" s="146">
        <v>40963</v>
      </c>
      <c r="P41" s="146">
        <v>-3262</v>
      </c>
      <c r="Q41" s="146">
        <v>59774</v>
      </c>
      <c r="R41" s="146">
        <v>5424</v>
      </c>
      <c r="S41" s="146">
        <v>8940</v>
      </c>
      <c r="T41" s="146">
        <v>-54687</v>
      </c>
      <c r="U41" s="146">
        <v>-2203</v>
      </c>
      <c r="V41" s="146">
        <v>-32003</v>
      </c>
      <c r="W41" s="146">
        <v>17264</v>
      </c>
      <c r="X41" s="146">
        <v>-15821</v>
      </c>
      <c r="Y41" s="146">
        <v>30903</v>
      </c>
      <c r="Z41" s="146">
        <v>3066</v>
      </c>
      <c r="AA41" s="48">
        <v>7070</v>
      </c>
      <c r="AB41" s="147">
        <f t="shared" si="0"/>
        <v>47009</v>
      </c>
      <c r="AC41" s="65">
        <f t="shared" si="6"/>
        <v>0.94018000000000002</v>
      </c>
    </row>
    <row r="42" spans="1:32" x14ac:dyDescent="0.25">
      <c r="A42" s="36" t="s">
        <v>26</v>
      </c>
      <c r="B42" s="34" t="s">
        <v>154</v>
      </c>
      <c r="C42" s="34" t="s">
        <v>15</v>
      </c>
      <c r="D42" s="36" t="s">
        <v>40</v>
      </c>
      <c r="E42" s="142" t="s">
        <v>256</v>
      </c>
      <c r="F42" s="117">
        <v>0.6</v>
      </c>
      <c r="G42" s="31"/>
      <c r="H42" s="48">
        <v>0</v>
      </c>
      <c r="I42" s="146">
        <v>0</v>
      </c>
      <c r="J42" s="146">
        <v>-5100</v>
      </c>
      <c r="K42" s="146">
        <v>-2456</v>
      </c>
      <c r="L42" s="146">
        <v>0</v>
      </c>
      <c r="M42" s="146">
        <v>0</v>
      </c>
      <c r="N42" s="146">
        <v>0</v>
      </c>
      <c r="O42" s="146">
        <v>-6885</v>
      </c>
      <c r="P42" s="146">
        <v>0</v>
      </c>
      <c r="Q42" s="146">
        <v>0</v>
      </c>
      <c r="R42" s="146">
        <v>0</v>
      </c>
      <c r="S42" s="146">
        <v>-6650</v>
      </c>
      <c r="T42" s="146">
        <v>4025</v>
      </c>
      <c r="U42" s="146">
        <v>0</v>
      </c>
      <c r="V42" s="146">
        <v>0</v>
      </c>
      <c r="W42" s="146">
        <v>0</v>
      </c>
      <c r="X42" s="146">
        <v>21834</v>
      </c>
      <c r="Y42" s="146">
        <v>-936</v>
      </c>
      <c r="Z42" s="146">
        <v>0</v>
      </c>
      <c r="AA42" s="48">
        <v>0</v>
      </c>
      <c r="AB42" s="147">
        <f t="shared" si="0"/>
        <v>3832</v>
      </c>
      <c r="AC42" s="65">
        <f t="shared" si="6"/>
        <v>6.3866666666666669E-2</v>
      </c>
    </row>
    <row r="43" spans="1:32" x14ac:dyDescent="0.25">
      <c r="A43" s="43" t="s">
        <v>67</v>
      </c>
      <c r="B43" s="34" t="s">
        <v>154</v>
      </c>
      <c r="C43" s="34" t="s">
        <v>60</v>
      </c>
      <c r="D43" s="35" t="s">
        <v>4</v>
      </c>
      <c r="E43" s="141" t="s">
        <v>256</v>
      </c>
      <c r="F43" s="116">
        <v>0.4</v>
      </c>
      <c r="G43" s="30"/>
      <c r="H43" s="48">
        <v>-2527</v>
      </c>
      <c r="I43" s="146">
        <v>0</v>
      </c>
      <c r="J43" s="146">
        <v>-2615</v>
      </c>
      <c r="K43" s="146">
        <v>50530</v>
      </c>
      <c r="L43" s="146">
        <v>11961</v>
      </c>
      <c r="M43" s="146">
        <v>10829</v>
      </c>
      <c r="N43" s="146">
        <v>2197</v>
      </c>
      <c r="O43" s="146">
        <v>22795</v>
      </c>
      <c r="P43" s="146">
        <v>6000</v>
      </c>
      <c r="Q43" s="146">
        <v>-2577</v>
      </c>
      <c r="R43" s="146">
        <v>5860</v>
      </c>
      <c r="S43" s="146">
        <v>-40318</v>
      </c>
      <c r="T43" s="146">
        <v>724</v>
      </c>
      <c r="U43" s="146">
        <v>13795</v>
      </c>
      <c r="V43" s="146">
        <v>640</v>
      </c>
      <c r="W43" s="146">
        <v>25300</v>
      </c>
      <c r="X43" s="146">
        <v>-13536</v>
      </c>
      <c r="Y43" s="146">
        <v>12932</v>
      </c>
      <c r="Z43" s="146">
        <v>21984</v>
      </c>
      <c r="AA43" s="48">
        <v>-19942</v>
      </c>
      <c r="AB43" s="147">
        <f t="shared" si="0"/>
        <v>104032</v>
      </c>
      <c r="AC43" s="65">
        <f t="shared" si="6"/>
        <v>2.6008</v>
      </c>
    </row>
    <row r="44" spans="1:32" x14ac:dyDescent="0.25">
      <c r="A44" s="43" t="s">
        <v>143</v>
      </c>
      <c r="B44" s="34" t="s">
        <v>19</v>
      </c>
      <c r="C44" s="35" t="s">
        <v>141</v>
      </c>
      <c r="D44" s="35" t="s">
        <v>107</v>
      </c>
      <c r="E44" s="141" t="s">
        <v>107</v>
      </c>
      <c r="F44" s="116">
        <v>0.5</v>
      </c>
      <c r="G44" s="30"/>
      <c r="H44" s="48">
        <v>-140537</v>
      </c>
      <c r="I44" s="146">
        <v>-18000</v>
      </c>
      <c r="J44" s="146">
        <v>-12000</v>
      </c>
      <c r="K44" s="146">
        <v>69700</v>
      </c>
      <c r="L44" s="146">
        <v>13000</v>
      </c>
      <c r="M44" s="146">
        <v>18000</v>
      </c>
      <c r="N44" s="146">
        <v>16000</v>
      </c>
      <c r="O44" s="146">
        <v>1000</v>
      </c>
      <c r="P44" s="146">
        <v>0</v>
      </c>
      <c r="Q44" s="146">
        <v>900</v>
      </c>
      <c r="R44" s="146">
        <v>-10000</v>
      </c>
      <c r="S44" s="146">
        <v>-27000</v>
      </c>
      <c r="T44" s="146">
        <v>34600</v>
      </c>
      <c r="U44" s="146">
        <v>-3000</v>
      </c>
      <c r="V44" s="146">
        <v>20000</v>
      </c>
      <c r="W44" s="146">
        <v>85000</v>
      </c>
      <c r="X44" s="146">
        <v>-15088</v>
      </c>
      <c r="Y44" s="146">
        <v>-17275</v>
      </c>
      <c r="Z44" s="146">
        <v>62327</v>
      </c>
      <c r="AA44" s="48">
        <v>0</v>
      </c>
      <c r="AB44" s="147">
        <f t="shared" si="0"/>
        <v>77627</v>
      </c>
      <c r="AC44" s="65">
        <f t="shared" si="6"/>
        <v>1.55254</v>
      </c>
    </row>
    <row r="45" spans="1:32" x14ac:dyDescent="0.25">
      <c r="A45" s="43" t="s">
        <v>144</v>
      </c>
      <c r="B45" s="34" t="s">
        <v>19</v>
      </c>
      <c r="C45" s="35" t="s">
        <v>141</v>
      </c>
      <c r="D45" s="35" t="s">
        <v>208</v>
      </c>
      <c r="E45" s="141" t="s">
        <v>256</v>
      </c>
      <c r="F45" s="116">
        <v>0.5</v>
      </c>
      <c r="G45" s="30"/>
      <c r="H45" s="48">
        <v>0</v>
      </c>
      <c r="I45" s="146">
        <v>0</v>
      </c>
      <c r="J45" s="146">
        <v>76000</v>
      </c>
      <c r="K45" s="146">
        <v>3000</v>
      </c>
      <c r="L45" s="146">
        <v>200</v>
      </c>
      <c r="M45" s="146">
        <v>-25000</v>
      </c>
      <c r="N45" s="146">
        <v>-19000</v>
      </c>
      <c r="O45" s="146">
        <v>20000</v>
      </c>
      <c r="P45" s="146">
        <v>0</v>
      </c>
      <c r="Q45" s="146">
        <v>-11000</v>
      </c>
      <c r="R45" s="146">
        <v>-800</v>
      </c>
      <c r="S45" s="146">
        <v>-16000</v>
      </c>
      <c r="T45" s="146">
        <v>-6000</v>
      </c>
      <c r="U45" s="146">
        <v>0</v>
      </c>
      <c r="V45" s="146">
        <v>0</v>
      </c>
      <c r="W45" s="146">
        <v>17500</v>
      </c>
      <c r="X45" s="146">
        <v>4600</v>
      </c>
      <c r="Y45" s="146">
        <v>0</v>
      </c>
      <c r="Z45" s="146">
        <v>0</v>
      </c>
      <c r="AA45" s="48">
        <v>0</v>
      </c>
      <c r="AB45" s="147">
        <f t="shared" si="0"/>
        <v>43500</v>
      </c>
      <c r="AC45" s="65">
        <f t="shared" si="6"/>
        <v>0.87</v>
      </c>
    </row>
    <row r="46" spans="1:32" x14ac:dyDescent="0.25">
      <c r="A46" s="35" t="s">
        <v>31</v>
      </c>
      <c r="B46" s="36" t="s">
        <v>153</v>
      </c>
      <c r="C46" s="35" t="s">
        <v>47</v>
      </c>
      <c r="D46" s="141" t="s">
        <v>263</v>
      </c>
      <c r="E46" s="141" t="s">
        <v>256</v>
      </c>
      <c r="F46" s="116">
        <v>4</v>
      </c>
      <c r="G46" s="30"/>
      <c r="H46" s="48">
        <v>-22000</v>
      </c>
      <c r="I46" s="146">
        <v>100000</v>
      </c>
      <c r="J46" s="146">
        <v>73000</v>
      </c>
      <c r="K46" s="146">
        <v>-41000</v>
      </c>
      <c r="L46" s="146">
        <v>35500</v>
      </c>
      <c r="M46" s="146">
        <v>-1000</v>
      </c>
      <c r="N46" s="146">
        <v>-73000</v>
      </c>
      <c r="O46" s="146">
        <v>-6000</v>
      </c>
      <c r="P46" s="146">
        <v>-46000</v>
      </c>
      <c r="Q46" s="146">
        <v>45000</v>
      </c>
      <c r="R46" s="146">
        <v>47000</v>
      </c>
      <c r="S46" s="146">
        <v>-76000</v>
      </c>
      <c r="T46" s="146">
        <v>64000</v>
      </c>
      <c r="U46" s="146">
        <v>4000</v>
      </c>
      <c r="V46" s="146">
        <v>-45000</v>
      </c>
      <c r="W46" s="146">
        <v>134000</v>
      </c>
      <c r="X46" s="146">
        <v>-125508</v>
      </c>
      <c r="Y46" s="146">
        <v>80000</v>
      </c>
      <c r="Z46" s="146">
        <v>84000</v>
      </c>
      <c r="AA46" s="48">
        <v>-96401</v>
      </c>
      <c r="AB46" s="147">
        <f t="shared" si="0"/>
        <v>134591</v>
      </c>
      <c r="AC46" s="65">
        <f t="shared" si="6"/>
        <v>0.33647749999999998</v>
      </c>
    </row>
    <row r="47" spans="1:32" x14ac:dyDescent="0.25">
      <c r="A47" s="35" t="s">
        <v>104</v>
      </c>
      <c r="B47" s="36" t="s">
        <v>105</v>
      </c>
      <c r="C47" s="35" t="s">
        <v>156</v>
      </c>
      <c r="D47" s="141" t="s">
        <v>106</v>
      </c>
      <c r="E47" s="141" t="s">
        <v>106</v>
      </c>
      <c r="F47" s="116">
        <v>1</v>
      </c>
      <c r="G47" s="30"/>
      <c r="H47" s="48">
        <v>136329</v>
      </c>
      <c r="I47" s="146">
        <v>-15375</v>
      </c>
      <c r="J47" s="146">
        <v>66260</v>
      </c>
      <c r="K47" s="146">
        <v>10826</v>
      </c>
      <c r="L47" s="146">
        <v>195250</v>
      </c>
      <c r="M47" s="146">
        <v>-11158</v>
      </c>
      <c r="N47" s="146">
        <v>66096</v>
      </c>
      <c r="O47" s="146">
        <v>-29346</v>
      </c>
      <c r="P47" s="146">
        <v>113788</v>
      </c>
      <c r="Q47" s="146">
        <v>37350</v>
      </c>
      <c r="R47" s="146">
        <v>63492</v>
      </c>
      <c r="S47" s="146">
        <v>-17707</v>
      </c>
      <c r="T47" s="146">
        <v>44627</v>
      </c>
      <c r="U47" s="146">
        <v>6900</v>
      </c>
      <c r="V47" s="146">
        <v>-36310</v>
      </c>
      <c r="W47" s="146">
        <v>-66351</v>
      </c>
      <c r="X47" s="146">
        <v>61000</v>
      </c>
      <c r="Y47" s="146">
        <v>-21796</v>
      </c>
      <c r="Z47" s="146">
        <v>31527</v>
      </c>
      <c r="AA47" s="48">
        <v>-33423</v>
      </c>
      <c r="AB47" s="147">
        <f t="shared" si="0"/>
        <v>601979</v>
      </c>
      <c r="AC47" s="65">
        <f t="shared" si="6"/>
        <v>6.0197900000000004</v>
      </c>
    </row>
    <row r="48" spans="1:32" x14ac:dyDescent="0.25">
      <c r="A48" s="35" t="s">
        <v>52</v>
      </c>
      <c r="B48" s="36" t="s">
        <v>115</v>
      </c>
      <c r="C48" s="35" t="s">
        <v>57</v>
      </c>
      <c r="D48" s="141" t="s">
        <v>269</v>
      </c>
      <c r="E48" s="141" t="s">
        <v>256</v>
      </c>
      <c r="F48" s="116">
        <v>3</v>
      </c>
      <c r="G48" s="30"/>
      <c r="H48" s="48">
        <v>6000</v>
      </c>
      <c r="I48" s="146">
        <v>0</v>
      </c>
      <c r="J48" s="146">
        <v>-50000</v>
      </c>
      <c r="K48" s="146">
        <v>-30000</v>
      </c>
      <c r="L48" s="146">
        <v>-25500</v>
      </c>
      <c r="M48" s="146">
        <v>73000</v>
      </c>
      <c r="N48" s="146">
        <v>135000</v>
      </c>
      <c r="O48" s="146">
        <v>-73000</v>
      </c>
      <c r="P48" s="146">
        <v>0</v>
      </c>
      <c r="Q48" s="146">
        <v>29000</v>
      </c>
      <c r="R48" s="146">
        <v>-15000</v>
      </c>
      <c r="S48" s="146">
        <v>-156000</v>
      </c>
      <c r="T48" s="146">
        <v>95000</v>
      </c>
      <c r="U48" s="146">
        <v>4000</v>
      </c>
      <c r="V48" s="146">
        <v>100000</v>
      </c>
      <c r="W48" s="146">
        <v>-45500</v>
      </c>
      <c r="X48" s="146">
        <v>100000</v>
      </c>
      <c r="Y48" s="146">
        <v>58500</v>
      </c>
      <c r="Z48" s="146">
        <v>-185000</v>
      </c>
      <c r="AA48" s="48">
        <v>-130000</v>
      </c>
      <c r="AB48" s="147">
        <f t="shared" si="0"/>
        <v>-109500</v>
      </c>
      <c r="AC48" s="65">
        <f t="shared" si="6"/>
        <v>-0.36499999999999999</v>
      </c>
    </row>
    <row r="49" spans="1:32" x14ac:dyDescent="0.25">
      <c r="A49" s="35" t="s">
        <v>45</v>
      </c>
      <c r="B49" s="36" t="s">
        <v>98</v>
      </c>
      <c r="C49" s="35" t="s">
        <v>188</v>
      </c>
      <c r="D49" s="141" t="s">
        <v>265</v>
      </c>
      <c r="E49" s="141" t="s">
        <v>256</v>
      </c>
      <c r="F49" s="116">
        <v>3</v>
      </c>
      <c r="G49" s="30"/>
      <c r="H49" s="48">
        <v>-46000</v>
      </c>
      <c r="I49" s="146">
        <v>3000</v>
      </c>
      <c r="J49" s="161">
        <v>28000</v>
      </c>
      <c r="K49" s="161">
        <v>42000</v>
      </c>
      <c r="L49" s="161">
        <v>164000</v>
      </c>
      <c r="M49" s="161">
        <v>-46000</v>
      </c>
      <c r="N49" s="161">
        <v>1000</v>
      </c>
      <c r="O49" s="161">
        <v>-161000</v>
      </c>
      <c r="P49" s="161">
        <v>100</v>
      </c>
      <c r="Q49" s="161">
        <v>-56000</v>
      </c>
      <c r="R49" s="161">
        <v>90000</v>
      </c>
      <c r="S49" s="161">
        <v>-4650000</v>
      </c>
      <c r="T49" s="161">
        <v>22000</v>
      </c>
      <c r="U49" s="161">
        <v>15000</v>
      </c>
      <c r="V49" s="161">
        <v>-5000</v>
      </c>
      <c r="W49" s="161">
        <v>-120000</v>
      </c>
      <c r="X49" s="161">
        <v>91200</v>
      </c>
      <c r="Y49" s="161">
        <v>95700</v>
      </c>
      <c r="Z49" s="161">
        <v>-21000</v>
      </c>
      <c r="AA49" s="48">
        <v>-330324</v>
      </c>
      <c r="AB49" s="147">
        <f t="shared" si="0"/>
        <v>-4883324</v>
      </c>
      <c r="AC49" s="65">
        <f t="shared" si="6"/>
        <v>-16.277746666666669</v>
      </c>
    </row>
    <row r="50" spans="1:32" x14ac:dyDescent="0.25">
      <c r="A50" s="141" t="s">
        <v>193</v>
      </c>
      <c r="B50" s="142" t="s">
        <v>186</v>
      </c>
      <c r="C50" s="141" t="s">
        <v>187</v>
      </c>
      <c r="D50" s="141" t="s">
        <v>265</v>
      </c>
      <c r="E50" s="141" t="s">
        <v>256</v>
      </c>
      <c r="F50" s="155">
        <v>3</v>
      </c>
      <c r="G50" s="137"/>
      <c r="H50" s="146">
        <v>0</v>
      </c>
      <c r="I50" s="146">
        <v>0</v>
      </c>
      <c r="J50" s="146">
        <v>0</v>
      </c>
      <c r="K50" s="146">
        <v>109000</v>
      </c>
      <c r="L50" s="146">
        <v>88000</v>
      </c>
      <c r="M50" s="146">
        <v>-50000</v>
      </c>
      <c r="N50" s="146">
        <v>-15000</v>
      </c>
      <c r="O50" s="146">
        <v>-150000</v>
      </c>
      <c r="P50" s="146">
        <v>500</v>
      </c>
      <c r="Q50" s="146">
        <v>-62000</v>
      </c>
      <c r="R50" s="146">
        <v>90000</v>
      </c>
      <c r="S50" s="146">
        <v>-280000</v>
      </c>
      <c r="T50" s="146">
        <v>60000</v>
      </c>
      <c r="U50" s="146">
        <v>18000</v>
      </c>
      <c r="V50" s="146">
        <v>-125000</v>
      </c>
      <c r="W50" s="146">
        <v>-85000</v>
      </c>
      <c r="X50" s="146">
        <v>91200</v>
      </c>
      <c r="Y50" s="146">
        <v>58500</v>
      </c>
      <c r="Z50" s="146">
        <v>-17000</v>
      </c>
      <c r="AA50" s="146">
        <v>-317567</v>
      </c>
      <c r="AB50" s="147">
        <f t="shared" si="0"/>
        <v>-586367</v>
      </c>
      <c r="AC50" s="148">
        <f t="shared" si="6"/>
        <v>-1.9545566666666665</v>
      </c>
    </row>
    <row r="51" spans="1:32" s="131" customFormat="1" x14ac:dyDescent="0.25">
      <c r="A51" s="35" t="s">
        <v>132</v>
      </c>
      <c r="B51" s="36" t="s">
        <v>129</v>
      </c>
      <c r="C51" s="35" t="s">
        <v>17</v>
      </c>
      <c r="D51" s="141" t="s">
        <v>267</v>
      </c>
      <c r="E51" s="141" t="s">
        <v>256</v>
      </c>
      <c r="F51" s="116">
        <v>1</v>
      </c>
      <c r="G51" s="30"/>
      <c r="H51" s="48">
        <v>15300</v>
      </c>
      <c r="I51" s="146">
        <v>0</v>
      </c>
      <c r="J51" s="146">
        <v>17300</v>
      </c>
      <c r="K51" s="146">
        <v>-18260</v>
      </c>
      <c r="L51" s="146">
        <v>-8767</v>
      </c>
      <c r="M51" s="146">
        <v>-19468</v>
      </c>
      <c r="N51" s="146">
        <v>27807</v>
      </c>
      <c r="O51" s="146">
        <v>0</v>
      </c>
      <c r="P51" s="146">
        <v>13200</v>
      </c>
      <c r="Q51" s="146">
        <v>5556</v>
      </c>
      <c r="R51" s="146">
        <v>6300</v>
      </c>
      <c r="S51" s="146">
        <v>-56000</v>
      </c>
      <c r="T51" s="146">
        <v>30862</v>
      </c>
      <c r="U51" s="146">
        <v>5250</v>
      </c>
      <c r="V51" s="146">
        <v>14503</v>
      </c>
      <c r="W51" s="146">
        <v>-1470</v>
      </c>
      <c r="X51" s="146">
        <v>-17527</v>
      </c>
      <c r="Y51" s="146">
        <v>2925</v>
      </c>
      <c r="Z51" s="146">
        <v>19956</v>
      </c>
      <c r="AA51" s="48">
        <v>1068</v>
      </c>
      <c r="AB51" s="147">
        <f t="shared" si="0"/>
        <v>38535</v>
      </c>
      <c r="AC51" s="65">
        <f t="shared" si="6"/>
        <v>0.38535000000000003</v>
      </c>
    </row>
    <row r="52" spans="1:32" x14ac:dyDescent="0.25">
      <c r="A52" s="35" t="s">
        <v>48</v>
      </c>
      <c r="B52" s="34" t="s">
        <v>95</v>
      </c>
      <c r="C52" s="35" t="s">
        <v>199</v>
      </c>
      <c r="D52" s="35" t="s">
        <v>107</v>
      </c>
      <c r="E52" s="141" t="s">
        <v>107</v>
      </c>
      <c r="F52" s="116">
        <v>1</v>
      </c>
      <c r="G52" s="30"/>
      <c r="H52" s="48">
        <v>451681</v>
      </c>
      <c r="I52" s="146">
        <v>-51001</v>
      </c>
      <c r="J52" s="146">
        <v>379016</v>
      </c>
      <c r="K52" s="146">
        <v>96043</v>
      </c>
      <c r="L52" s="146">
        <v>1097492</v>
      </c>
      <c r="M52" s="146">
        <v>-65814</v>
      </c>
      <c r="N52" s="146">
        <v>377500</v>
      </c>
      <c r="O52" s="146">
        <v>-188290</v>
      </c>
      <c r="P52" s="146">
        <v>505929</v>
      </c>
      <c r="Q52" s="146">
        <v>65813</v>
      </c>
      <c r="R52" s="146">
        <v>283799</v>
      </c>
      <c r="S52" s="146">
        <v>-889</v>
      </c>
      <c r="T52" s="146">
        <v>16070</v>
      </c>
      <c r="U52" s="146">
        <v>77113</v>
      </c>
      <c r="V52" s="146">
        <v>-5922</v>
      </c>
      <c r="W52" s="146">
        <v>-54287</v>
      </c>
      <c r="X52" s="146">
        <v>120000</v>
      </c>
      <c r="Y52" s="146">
        <v>21643</v>
      </c>
      <c r="Z52" s="146">
        <v>25248</v>
      </c>
      <c r="AA52" s="48">
        <v>-27299</v>
      </c>
      <c r="AB52" s="147">
        <f t="shared" si="0"/>
        <v>3123845</v>
      </c>
      <c r="AC52" s="65">
        <f t="shared" si="6"/>
        <v>31.23845</v>
      </c>
    </row>
    <row r="53" spans="1:32" x14ac:dyDescent="0.25">
      <c r="A53" s="142" t="s">
        <v>168</v>
      </c>
      <c r="B53" s="140" t="s">
        <v>169</v>
      </c>
      <c r="C53" s="132" t="s">
        <v>255</v>
      </c>
      <c r="D53" s="162" t="s">
        <v>253</v>
      </c>
      <c r="E53" s="162" t="s">
        <v>253</v>
      </c>
      <c r="F53" s="114">
        <v>4</v>
      </c>
      <c r="G53" s="137"/>
      <c r="H53" s="146">
        <v>0</v>
      </c>
      <c r="I53" s="146">
        <v>0</v>
      </c>
      <c r="J53" s="146">
        <v>32000</v>
      </c>
      <c r="K53" s="146">
        <v>87000</v>
      </c>
      <c r="L53" s="146">
        <v>45000</v>
      </c>
      <c r="M53" s="146">
        <v>-58500</v>
      </c>
      <c r="N53" s="146">
        <v>0</v>
      </c>
      <c r="O53" s="146">
        <v>0</v>
      </c>
      <c r="P53" s="146">
        <v>50000</v>
      </c>
      <c r="Q53" s="146">
        <v>220000</v>
      </c>
      <c r="R53" s="146">
        <v>0</v>
      </c>
      <c r="S53" s="146">
        <v>0</v>
      </c>
      <c r="T53" s="146">
        <v>0</v>
      </c>
      <c r="U53" s="146">
        <v>3000</v>
      </c>
      <c r="V53" s="146">
        <v>-45000</v>
      </c>
      <c r="W53" s="146">
        <v>0</v>
      </c>
      <c r="X53" s="146">
        <v>0</v>
      </c>
      <c r="Y53" s="146">
        <v>0</v>
      </c>
      <c r="Z53" s="146">
        <v>-10000</v>
      </c>
      <c r="AA53" s="146">
        <v>20000</v>
      </c>
      <c r="AB53" s="147">
        <f t="shared" si="0"/>
        <v>343500</v>
      </c>
      <c r="AC53" s="148">
        <f t="shared" si="6"/>
        <v>0.85875000000000001</v>
      </c>
    </row>
    <row r="54" spans="1:32" x14ac:dyDescent="0.25">
      <c r="A54" s="142" t="s">
        <v>201</v>
      </c>
      <c r="B54" s="140" t="s">
        <v>169</v>
      </c>
      <c r="C54" s="59" t="s">
        <v>227</v>
      </c>
      <c r="D54" s="162" t="s">
        <v>254</v>
      </c>
      <c r="E54" s="162" t="s">
        <v>256</v>
      </c>
      <c r="F54" s="114">
        <v>0.5</v>
      </c>
      <c r="G54" s="137"/>
      <c r="H54" s="146">
        <v>0</v>
      </c>
      <c r="I54" s="146">
        <v>0</v>
      </c>
      <c r="J54" s="146">
        <v>0</v>
      </c>
      <c r="K54" s="146">
        <v>0</v>
      </c>
      <c r="L54" s="146">
        <v>0</v>
      </c>
      <c r="M54" s="146">
        <v>0</v>
      </c>
      <c r="N54" s="146">
        <v>-4500</v>
      </c>
      <c r="O54" s="146">
        <v>-21000</v>
      </c>
      <c r="P54" s="146">
        <v>0</v>
      </c>
      <c r="Q54" s="146">
        <v>-62000</v>
      </c>
      <c r="R54" s="146">
        <v>0</v>
      </c>
      <c r="S54" s="146">
        <v>-1000</v>
      </c>
      <c r="T54" s="146">
        <v>14000</v>
      </c>
      <c r="U54" s="146">
        <v>0</v>
      </c>
      <c r="V54" s="146">
        <v>0</v>
      </c>
      <c r="W54" s="146">
        <v>-36000</v>
      </c>
      <c r="X54" s="146">
        <v>0</v>
      </c>
      <c r="Y54" s="146">
        <v>-500</v>
      </c>
      <c r="Z54" s="146">
        <v>0</v>
      </c>
      <c r="AA54" s="146">
        <v>-48000</v>
      </c>
      <c r="AB54" s="147">
        <f t="shared" si="0"/>
        <v>-159000</v>
      </c>
      <c r="AC54" s="148">
        <f t="shared" ref="AC54:AC55" si="7">IFERROR(AB54/F54*100,0)/10000000</f>
        <v>-3.18</v>
      </c>
    </row>
    <row r="55" spans="1:32" s="131" customFormat="1" x14ac:dyDescent="0.25">
      <c r="A55" s="142" t="s">
        <v>202</v>
      </c>
      <c r="B55" s="140" t="s">
        <v>169</v>
      </c>
      <c r="C55" s="59" t="s">
        <v>255</v>
      </c>
      <c r="D55" s="162" t="s">
        <v>116</v>
      </c>
      <c r="E55" s="162" t="s">
        <v>256</v>
      </c>
      <c r="F55" s="114">
        <v>4</v>
      </c>
      <c r="G55" s="137"/>
      <c r="H55" s="146">
        <v>0</v>
      </c>
      <c r="I55" s="146">
        <v>0</v>
      </c>
      <c r="J55" s="146">
        <v>0</v>
      </c>
      <c r="K55" s="146">
        <v>0</v>
      </c>
      <c r="L55" s="146">
        <v>0</v>
      </c>
      <c r="M55" s="146">
        <v>0</v>
      </c>
      <c r="N55" s="146">
        <v>-3200</v>
      </c>
      <c r="O55" s="146">
        <v>120000</v>
      </c>
      <c r="P55" s="146">
        <v>0</v>
      </c>
      <c r="Q55" s="146">
        <v>0</v>
      </c>
      <c r="R55" s="146">
        <v>2912</v>
      </c>
      <c r="S55" s="146">
        <v>-38000</v>
      </c>
      <c r="T55" s="146">
        <v>145000</v>
      </c>
      <c r="U55" s="146">
        <v>15000</v>
      </c>
      <c r="V55" s="146">
        <v>0</v>
      </c>
      <c r="W55" s="146">
        <v>-6000</v>
      </c>
      <c r="X55" s="146">
        <v>40000</v>
      </c>
      <c r="Y55" s="146">
        <v>-124000</v>
      </c>
      <c r="Z55" s="146">
        <v>0</v>
      </c>
      <c r="AA55" s="146">
        <v>0</v>
      </c>
      <c r="AB55" s="147">
        <f t="shared" si="0"/>
        <v>151712</v>
      </c>
      <c r="AC55" s="148">
        <f t="shared" si="7"/>
        <v>0.37928000000000001</v>
      </c>
    </row>
    <row r="56" spans="1:32" x14ac:dyDescent="0.25">
      <c r="A56" s="36" t="s">
        <v>33</v>
      </c>
      <c r="B56" s="34" t="s">
        <v>14</v>
      </c>
      <c r="C56" s="36" t="s">
        <v>13</v>
      </c>
      <c r="D56" s="140" t="s">
        <v>14</v>
      </c>
      <c r="E56" s="141" t="s">
        <v>256</v>
      </c>
      <c r="F56" s="118">
        <v>3</v>
      </c>
      <c r="G56" s="33"/>
      <c r="H56" s="48">
        <v>0</v>
      </c>
      <c r="I56" s="146">
        <v>156900</v>
      </c>
      <c r="J56" s="146">
        <v>15170</v>
      </c>
      <c r="K56" s="146">
        <v>89160</v>
      </c>
      <c r="L56" s="146">
        <v>-81559</v>
      </c>
      <c r="M56" s="146">
        <v>116792</v>
      </c>
      <c r="N56" s="146">
        <v>0</v>
      </c>
      <c r="O56" s="146">
        <v>209223</v>
      </c>
      <c r="P56" s="146">
        <v>3766</v>
      </c>
      <c r="Q56" s="146">
        <v>-102915</v>
      </c>
      <c r="R56" s="146">
        <v>0</v>
      </c>
      <c r="S56" s="146">
        <v>-63000</v>
      </c>
      <c r="T56" s="146">
        <v>248600</v>
      </c>
      <c r="U56" s="146">
        <v>34270</v>
      </c>
      <c r="V56" s="146">
        <v>-112698</v>
      </c>
      <c r="W56" s="146">
        <v>0</v>
      </c>
      <c r="X56" s="146">
        <v>-54996</v>
      </c>
      <c r="Y56" s="146">
        <v>99450</v>
      </c>
      <c r="Z56" s="146">
        <v>52830</v>
      </c>
      <c r="AA56" s="48">
        <v>22012</v>
      </c>
      <c r="AB56" s="147">
        <f t="shared" si="0"/>
        <v>633005</v>
      </c>
      <c r="AC56" s="65">
        <f t="shared" si="6"/>
        <v>2.1100166666666662</v>
      </c>
      <c r="AE56" s="3"/>
      <c r="AF56" s="3"/>
    </row>
    <row r="57" spans="1:32" x14ac:dyDescent="0.25">
      <c r="A57" s="142" t="s">
        <v>103</v>
      </c>
      <c r="B57" s="142" t="s">
        <v>0</v>
      </c>
      <c r="C57" s="59" t="s">
        <v>96</v>
      </c>
      <c r="D57" s="60" t="s">
        <v>57</v>
      </c>
      <c r="E57" s="60" t="s">
        <v>256</v>
      </c>
      <c r="F57" s="114">
        <v>1.6</v>
      </c>
      <c r="G57" s="61"/>
      <c r="H57" s="150">
        <v>0</v>
      </c>
      <c r="I57" s="150">
        <v>0</v>
      </c>
      <c r="J57" s="150">
        <v>0</v>
      </c>
      <c r="K57" s="150">
        <v>0</v>
      </c>
      <c r="L57" s="150">
        <v>-3000</v>
      </c>
      <c r="M57" s="150">
        <v>3143</v>
      </c>
      <c r="N57" s="150">
        <v>-16377</v>
      </c>
      <c r="O57" s="150">
        <v>26740</v>
      </c>
      <c r="P57" s="150">
        <v>-14000</v>
      </c>
      <c r="Q57" s="150">
        <v>13234</v>
      </c>
      <c r="R57" s="150">
        <v>11300</v>
      </c>
      <c r="S57" s="150">
        <v>18000</v>
      </c>
      <c r="T57" s="150">
        <v>8093</v>
      </c>
      <c r="U57" s="150">
        <v>1459</v>
      </c>
      <c r="V57" s="150">
        <v>-8025</v>
      </c>
      <c r="W57" s="150">
        <v>2122</v>
      </c>
      <c r="X57" s="150">
        <v>-15942</v>
      </c>
      <c r="Y57" s="150">
        <v>39026</v>
      </c>
      <c r="Z57" s="150">
        <v>36645</v>
      </c>
      <c r="AA57" s="150">
        <v>-10140</v>
      </c>
      <c r="AB57" s="147">
        <f t="shared" si="0"/>
        <v>92278</v>
      </c>
      <c r="AC57" s="148">
        <f t="shared" si="6"/>
        <v>0.57673750000000001</v>
      </c>
    </row>
    <row r="58" spans="1:32" x14ac:dyDescent="0.25">
      <c r="A58" s="59" t="s">
        <v>197</v>
      </c>
      <c r="B58" s="62" t="s">
        <v>195</v>
      </c>
      <c r="C58" s="59" t="s">
        <v>196</v>
      </c>
      <c r="D58" s="62" t="s">
        <v>195</v>
      </c>
      <c r="E58" s="162" t="s">
        <v>256</v>
      </c>
      <c r="F58" s="114">
        <v>0.5</v>
      </c>
      <c r="G58" s="61"/>
      <c r="H58" s="150">
        <v>0</v>
      </c>
      <c r="I58" s="150">
        <v>0</v>
      </c>
      <c r="J58" s="150">
        <v>0</v>
      </c>
      <c r="K58" s="150">
        <v>566</v>
      </c>
      <c r="L58" s="150">
        <v>-1722</v>
      </c>
      <c r="M58" s="150">
        <v>-1230</v>
      </c>
      <c r="N58" s="150">
        <v>-1800</v>
      </c>
      <c r="O58" s="150">
        <v>2350</v>
      </c>
      <c r="P58" s="150">
        <v>-1650</v>
      </c>
      <c r="Q58" s="150">
        <v>2979</v>
      </c>
      <c r="R58" s="150">
        <v>2610</v>
      </c>
      <c r="S58" s="150">
        <v>-6600</v>
      </c>
      <c r="T58" s="150">
        <v>-3637</v>
      </c>
      <c r="U58" s="150">
        <v>6045</v>
      </c>
      <c r="V58" s="150">
        <v>-7774</v>
      </c>
      <c r="W58" s="150">
        <v>17892</v>
      </c>
      <c r="X58" s="150">
        <v>18881</v>
      </c>
      <c r="Y58" s="150">
        <v>-17062</v>
      </c>
      <c r="Z58" s="150">
        <v>-670</v>
      </c>
      <c r="AA58" s="150">
        <v>25416</v>
      </c>
      <c r="AB58" s="147">
        <f t="shared" si="0"/>
        <v>34594</v>
      </c>
      <c r="AC58" s="148">
        <f t="shared" si="6"/>
        <v>0.69188000000000005</v>
      </c>
      <c r="AE58" s="5"/>
      <c r="AF58" s="4">
        <v>-224989</v>
      </c>
    </row>
    <row r="59" spans="1:32" x14ac:dyDescent="0.25">
      <c r="A59" s="59" t="s">
        <v>120</v>
      </c>
      <c r="B59" s="59" t="s">
        <v>99</v>
      </c>
      <c r="C59" s="59" t="s">
        <v>38</v>
      </c>
      <c r="D59" s="59" t="s">
        <v>99</v>
      </c>
      <c r="E59" s="162" t="s">
        <v>256</v>
      </c>
      <c r="F59" s="114">
        <v>1.5</v>
      </c>
      <c r="G59" s="61"/>
      <c r="H59" s="82">
        <v>0</v>
      </c>
      <c r="I59" s="150">
        <v>0</v>
      </c>
      <c r="J59" s="150">
        <v>0</v>
      </c>
      <c r="K59" s="150">
        <v>0</v>
      </c>
      <c r="L59" s="150">
        <v>0</v>
      </c>
      <c r="M59" s="150">
        <v>0</v>
      </c>
      <c r="N59" s="150">
        <v>0</v>
      </c>
      <c r="O59" s="150">
        <v>0</v>
      </c>
      <c r="P59" s="150">
        <v>0</v>
      </c>
      <c r="Q59" s="150">
        <v>0</v>
      </c>
      <c r="R59" s="150">
        <v>0</v>
      </c>
      <c r="S59" s="150">
        <v>0</v>
      </c>
      <c r="T59" s="150">
        <v>0</v>
      </c>
      <c r="U59" s="150">
        <v>0</v>
      </c>
      <c r="V59" s="150">
        <v>0</v>
      </c>
      <c r="W59" s="150">
        <v>0</v>
      </c>
      <c r="X59" s="150">
        <v>0</v>
      </c>
      <c r="Y59" s="150">
        <v>0</v>
      </c>
      <c r="Z59" s="150">
        <v>0</v>
      </c>
      <c r="AA59" s="82">
        <v>0</v>
      </c>
      <c r="AB59" s="147">
        <f t="shared" si="0"/>
        <v>0</v>
      </c>
      <c r="AC59" s="65">
        <f t="shared" si="6"/>
        <v>0</v>
      </c>
      <c r="AE59" s="4">
        <v>3586493</v>
      </c>
      <c r="AF59" s="4"/>
    </row>
    <row r="60" spans="1:32" x14ac:dyDescent="0.25">
      <c r="A60" s="59" t="s">
        <v>49</v>
      </c>
      <c r="B60" s="59" t="s">
        <v>99</v>
      </c>
      <c r="C60" s="59" t="s">
        <v>100</v>
      </c>
      <c r="D60" s="59" t="s">
        <v>99</v>
      </c>
      <c r="E60" s="162" t="s">
        <v>256</v>
      </c>
      <c r="F60" s="114">
        <v>3</v>
      </c>
      <c r="G60" s="61"/>
      <c r="H60" s="82">
        <v>0</v>
      </c>
      <c r="I60" s="150">
        <v>193613</v>
      </c>
      <c r="J60" s="150">
        <v>0</v>
      </c>
      <c r="K60" s="150">
        <v>23000</v>
      </c>
      <c r="L60" s="150">
        <v>0</v>
      </c>
      <c r="M60" s="150">
        <v>-50980</v>
      </c>
      <c r="N60" s="150">
        <v>0</v>
      </c>
      <c r="O60" s="150">
        <v>370245</v>
      </c>
      <c r="P60" s="150">
        <v>0</v>
      </c>
      <c r="Q60" s="150">
        <v>142494</v>
      </c>
      <c r="R60" s="150">
        <v>0</v>
      </c>
      <c r="S60" s="150">
        <v>0</v>
      </c>
      <c r="T60" s="150">
        <v>282130</v>
      </c>
      <c r="U60" s="150">
        <v>0</v>
      </c>
      <c r="V60" s="150">
        <v>-627723</v>
      </c>
      <c r="W60" s="150">
        <v>0</v>
      </c>
      <c r="X60" s="150">
        <v>0</v>
      </c>
      <c r="Y60" s="150">
        <v>27140</v>
      </c>
      <c r="Z60" s="150">
        <v>0</v>
      </c>
      <c r="AA60" s="82">
        <v>-108479</v>
      </c>
      <c r="AB60" s="147">
        <f t="shared" si="0"/>
        <v>251440</v>
      </c>
      <c r="AC60" s="65">
        <f t="shared" si="6"/>
        <v>0.83813333333333329</v>
      </c>
      <c r="AE60" s="6">
        <v>3361504</v>
      </c>
      <c r="AF60" s="6">
        <f>(AE60+AE59)/10000000*13780</f>
        <v>9574.3398660000003</v>
      </c>
    </row>
    <row r="61" spans="1:32" x14ac:dyDescent="0.25">
      <c r="A61" s="59" t="s">
        <v>41</v>
      </c>
      <c r="B61" s="59" t="s">
        <v>86</v>
      </c>
      <c r="C61" s="59" t="s">
        <v>173</v>
      </c>
      <c r="D61" s="59" t="s">
        <v>86</v>
      </c>
      <c r="E61" s="162" t="s">
        <v>256</v>
      </c>
      <c r="F61" s="114">
        <v>2.5</v>
      </c>
      <c r="G61" s="61"/>
      <c r="H61" s="82">
        <v>0</v>
      </c>
      <c r="I61" s="150">
        <v>0</v>
      </c>
      <c r="J61" s="150">
        <v>0</v>
      </c>
      <c r="K61" s="150">
        <v>0</v>
      </c>
      <c r="L61" s="150">
        <v>-1100</v>
      </c>
      <c r="M61" s="150">
        <v>0</v>
      </c>
      <c r="N61" s="150">
        <v>0</v>
      </c>
      <c r="O61" s="150">
        <v>-33874</v>
      </c>
      <c r="P61" s="150">
        <v>0</v>
      </c>
      <c r="Q61" s="150">
        <v>0</v>
      </c>
      <c r="R61" s="150">
        <v>0</v>
      </c>
      <c r="S61" s="150">
        <v>-29278</v>
      </c>
      <c r="T61" s="150">
        <v>20050</v>
      </c>
      <c r="U61" s="150">
        <v>0</v>
      </c>
      <c r="V61" s="150">
        <v>4989</v>
      </c>
      <c r="W61" s="150">
        <v>0</v>
      </c>
      <c r="X61" s="150">
        <v>-23246</v>
      </c>
      <c r="Y61" s="150">
        <v>15968</v>
      </c>
      <c r="Z61" s="150">
        <v>13180</v>
      </c>
      <c r="AA61" s="82">
        <v>-3956</v>
      </c>
      <c r="AB61" s="147">
        <f t="shared" si="0"/>
        <v>-37267</v>
      </c>
      <c r="AC61" s="65">
        <f t="shared" si="6"/>
        <v>-0.14906800000000001</v>
      </c>
      <c r="AE61" s="6"/>
      <c r="AF61" s="6"/>
    </row>
    <row r="62" spans="1:32" ht="15.75" thickBot="1" x14ac:dyDescent="0.3">
      <c r="A62" s="20"/>
      <c r="B62" s="21"/>
      <c r="C62" s="20"/>
      <c r="D62" s="22"/>
      <c r="E62" s="22"/>
      <c r="F62" s="114"/>
      <c r="G62" s="23"/>
      <c r="H62" s="82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82"/>
      <c r="AB62" s="64"/>
      <c r="AC62" s="65"/>
      <c r="AE62" s="6"/>
      <c r="AF62" s="6"/>
    </row>
    <row r="63" spans="1:32" ht="15.75" thickBot="1" x14ac:dyDescent="0.3">
      <c r="A63" s="24"/>
      <c r="B63" s="25"/>
      <c r="C63" s="26"/>
      <c r="D63" s="24"/>
      <c r="E63" s="24"/>
      <c r="F63" s="115"/>
      <c r="G63" s="15"/>
      <c r="H63" s="27">
        <f t="shared" ref="H63:AA63" si="8">SUM(H4:H61)</f>
        <v>1573317</v>
      </c>
      <c r="I63" s="135">
        <f t="shared" si="8"/>
        <v>510624</v>
      </c>
      <c r="J63" s="135">
        <f t="shared" si="8"/>
        <v>847509</v>
      </c>
      <c r="K63" s="135">
        <f t="shared" si="8"/>
        <v>2736823</v>
      </c>
      <c r="L63" s="135">
        <f t="shared" si="8"/>
        <v>3401516</v>
      </c>
      <c r="M63" s="135">
        <f t="shared" si="8"/>
        <v>2682471</v>
      </c>
      <c r="N63" s="135">
        <f t="shared" si="8"/>
        <v>1200511</v>
      </c>
      <c r="O63" s="135">
        <f t="shared" si="8"/>
        <v>2274959</v>
      </c>
      <c r="P63" s="135">
        <f t="shared" si="8"/>
        <v>1891763</v>
      </c>
      <c r="Q63" s="135">
        <f t="shared" si="8"/>
        <v>2864219</v>
      </c>
      <c r="R63" s="135">
        <f t="shared" si="8"/>
        <v>1247037</v>
      </c>
      <c r="S63" s="135">
        <f t="shared" si="8"/>
        <v>-6636872</v>
      </c>
      <c r="T63" s="135">
        <f t="shared" si="8"/>
        <v>6433957</v>
      </c>
      <c r="U63" s="135">
        <f t="shared" si="8"/>
        <v>1847866</v>
      </c>
      <c r="V63" s="135">
        <f t="shared" si="8"/>
        <v>-2000855</v>
      </c>
      <c r="W63" s="135">
        <f t="shared" si="8"/>
        <v>-32701</v>
      </c>
      <c r="X63" s="135">
        <f t="shared" si="8"/>
        <v>-203753</v>
      </c>
      <c r="Y63" s="135">
        <f t="shared" si="8"/>
        <v>-182558</v>
      </c>
      <c r="Z63" s="135">
        <f t="shared" si="8"/>
        <v>946767</v>
      </c>
      <c r="AA63" s="27">
        <f t="shared" si="8"/>
        <v>-3237961</v>
      </c>
      <c r="AB63" s="64">
        <f>SUM(H63:AA63)</f>
        <v>18164639</v>
      </c>
      <c r="AC63" s="65"/>
      <c r="AE63" s="6"/>
      <c r="AF63" s="124">
        <f>AF58-AF60</f>
        <v>-234563.33986599999</v>
      </c>
    </row>
    <row r="64" spans="1:32" ht="15.75" thickBot="1" x14ac:dyDescent="0.3">
      <c r="A64" s="3"/>
      <c r="B64" s="3"/>
      <c r="C64" s="3"/>
      <c r="D64" s="3"/>
      <c r="E64" s="3"/>
      <c r="F64" s="119"/>
      <c r="G64" s="3"/>
      <c r="H64" s="4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4"/>
      <c r="AB64" s="4"/>
      <c r="AC64" s="65"/>
    </row>
    <row r="65" spans="1:29" x14ac:dyDescent="0.25">
      <c r="A65" s="75" t="s">
        <v>36</v>
      </c>
      <c r="B65" s="76" t="s">
        <v>71</v>
      </c>
      <c r="C65" s="77" t="s">
        <v>57</v>
      </c>
      <c r="D65" s="77" t="s">
        <v>87</v>
      </c>
      <c r="E65" s="77"/>
      <c r="F65" s="120">
        <v>30</v>
      </c>
      <c r="G65" s="78"/>
      <c r="H65" s="83">
        <v>0</v>
      </c>
      <c r="I65" s="151">
        <v>12000</v>
      </c>
      <c r="J65" s="151">
        <v>0</v>
      </c>
      <c r="K65" s="151">
        <v>921000</v>
      </c>
      <c r="L65" s="151">
        <v>0</v>
      </c>
      <c r="M65" s="151">
        <v>1500000</v>
      </c>
      <c r="N65" s="151">
        <v>0</v>
      </c>
      <c r="O65" s="151">
        <v>2260000</v>
      </c>
      <c r="P65" s="151">
        <v>0</v>
      </c>
      <c r="Q65" s="151">
        <v>100000</v>
      </c>
      <c r="R65" s="151">
        <v>0</v>
      </c>
      <c r="S65" s="151">
        <v>0</v>
      </c>
      <c r="T65" s="151">
        <v>1700000</v>
      </c>
      <c r="U65" s="151">
        <v>0</v>
      </c>
      <c r="V65" s="151">
        <v>-505000</v>
      </c>
      <c r="W65" s="151">
        <v>0</v>
      </c>
      <c r="X65" s="151">
        <v>0</v>
      </c>
      <c r="Y65" s="151">
        <v>-1320000</v>
      </c>
      <c r="Z65" s="151">
        <v>0</v>
      </c>
      <c r="AA65" s="83">
        <v>-950000</v>
      </c>
      <c r="AB65" s="64">
        <f>SUM(H65:AA65)</f>
        <v>3718000</v>
      </c>
      <c r="AC65" s="65">
        <f>IFERROR(AB65/F65*100,0)/10000000</f>
        <v>1.2393333333333332</v>
      </c>
    </row>
    <row r="66" spans="1:29" x14ac:dyDescent="0.25">
      <c r="A66" s="79" t="s">
        <v>37</v>
      </c>
      <c r="B66" s="34" t="s">
        <v>77</v>
      </c>
      <c r="C66" s="41" t="s">
        <v>57</v>
      </c>
      <c r="D66" s="140" t="s">
        <v>142</v>
      </c>
      <c r="E66" s="140"/>
      <c r="F66" s="118">
        <v>2</v>
      </c>
      <c r="G66" s="8"/>
      <c r="H66" s="48">
        <v>691543</v>
      </c>
      <c r="I66" s="146">
        <v>-70854</v>
      </c>
      <c r="J66" s="146">
        <v>309940</v>
      </c>
      <c r="K66" s="146">
        <v>44225</v>
      </c>
      <c r="L66" s="146">
        <v>1024303</v>
      </c>
      <c r="M66" s="146">
        <v>138235</v>
      </c>
      <c r="N66" s="146">
        <v>425122</v>
      </c>
      <c r="O66" s="146">
        <v>-227282</v>
      </c>
      <c r="P66" s="146">
        <v>491159</v>
      </c>
      <c r="Q66" s="146">
        <v>284900</v>
      </c>
      <c r="R66" s="146">
        <v>151411</v>
      </c>
      <c r="S66" s="146">
        <v>270</v>
      </c>
      <c r="T66" s="146">
        <v>0</v>
      </c>
      <c r="U66" s="146">
        <v>0</v>
      </c>
      <c r="V66" s="146">
        <v>0</v>
      </c>
      <c r="W66" s="146">
        <v>0</v>
      </c>
      <c r="X66" s="146">
        <v>0</v>
      </c>
      <c r="Y66" s="146">
        <v>0</v>
      </c>
      <c r="Z66" s="146">
        <v>0</v>
      </c>
      <c r="AA66" s="48">
        <v>0</v>
      </c>
      <c r="AB66" s="64">
        <f>SUM(H66:AA66)</f>
        <v>3262972</v>
      </c>
      <c r="AC66" s="65">
        <f>IFERROR(AB66/F66*100,0)/10000000</f>
        <v>16.314859999999999</v>
      </c>
    </row>
    <row r="67" spans="1:29" ht="15.75" thickBot="1" x14ac:dyDescent="0.3">
      <c r="A67" s="80"/>
      <c r="B67" s="13"/>
      <c r="C67" s="13"/>
      <c r="D67" s="13"/>
      <c r="E67" s="13"/>
      <c r="F67" s="114"/>
      <c r="G67" s="14"/>
      <c r="H67" s="82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82"/>
      <c r="AB67" s="66"/>
      <c r="AC67" s="66"/>
    </row>
    <row r="68" spans="1:29" ht="15.75" thickBot="1" x14ac:dyDescent="0.3">
      <c r="A68" s="81"/>
      <c r="B68" s="16"/>
      <c r="C68" s="16"/>
      <c r="D68" s="16"/>
      <c r="E68" s="16"/>
      <c r="F68" s="74"/>
      <c r="G68" s="17"/>
      <c r="H68" s="18">
        <f t="shared" ref="H68:AA68" si="9">SUM(H65:H66)</f>
        <v>691543</v>
      </c>
      <c r="I68" s="134">
        <f t="shared" si="9"/>
        <v>-58854</v>
      </c>
      <c r="J68" s="134">
        <f t="shared" si="9"/>
        <v>309940</v>
      </c>
      <c r="K68" s="134">
        <f t="shared" si="9"/>
        <v>965225</v>
      </c>
      <c r="L68" s="134">
        <f t="shared" si="9"/>
        <v>1024303</v>
      </c>
      <c r="M68" s="134">
        <f t="shared" si="9"/>
        <v>1638235</v>
      </c>
      <c r="N68" s="134">
        <f t="shared" si="9"/>
        <v>425122</v>
      </c>
      <c r="O68" s="134">
        <f t="shared" si="9"/>
        <v>2032718</v>
      </c>
      <c r="P68" s="134">
        <f t="shared" si="9"/>
        <v>491159</v>
      </c>
      <c r="Q68" s="134">
        <f t="shared" si="9"/>
        <v>384900</v>
      </c>
      <c r="R68" s="134">
        <f t="shared" si="9"/>
        <v>151411</v>
      </c>
      <c r="S68" s="134">
        <f t="shared" si="9"/>
        <v>270</v>
      </c>
      <c r="T68" s="134">
        <f t="shared" si="9"/>
        <v>1700000</v>
      </c>
      <c r="U68" s="134">
        <f t="shared" si="9"/>
        <v>0</v>
      </c>
      <c r="V68" s="134">
        <f t="shared" si="9"/>
        <v>-505000</v>
      </c>
      <c r="W68" s="134">
        <f t="shared" si="9"/>
        <v>0</v>
      </c>
      <c r="X68" s="134">
        <f t="shared" si="9"/>
        <v>0</v>
      </c>
      <c r="Y68" s="134">
        <f t="shared" si="9"/>
        <v>-1320000</v>
      </c>
      <c r="Z68" s="134">
        <f t="shared" si="9"/>
        <v>0</v>
      </c>
      <c r="AA68" s="18">
        <f t="shared" si="9"/>
        <v>-950000</v>
      </c>
      <c r="AB68" s="19">
        <f>SUM(C68:AA68)</f>
        <v>6980972</v>
      </c>
      <c r="AC68" s="19"/>
    </row>
  </sheetData>
  <conditionalFormatting sqref="G29 G13:G14 G2 A30:G36 A39:G40 G53 A58:C61 G57 H39:AA53 H56:AA59 A54:A55 F54:AA55 A37:AA38 H2:AC4 A15:G26 H5:AA36 AC49:AC58 AC60:AC64 AC5:AC46 AB5:AB61 A62:AB63 A65:AC68 A3:G7 A9:G12 A8:C8 E8:G8 A28:G28 A27:C27 E27:G27 A42:G45 A41:C41 E41:G41 A52:G52 A46:C51 E46:G51 A56:G56 E58:G59 E60:AA61">
    <cfRule type="expression" dxfId="257" priority="24">
      <formula>MOD(ROW(),2)=0</formula>
    </cfRule>
  </conditionalFormatting>
  <conditionalFormatting sqref="AC47">
    <cfRule type="expression" dxfId="256" priority="23">
      <formula>MOD(ROW(),2)=0</formula>
    </cfRule>
  </conditionalFormatting>
  <conditionalFormatting sqref="AC48">
    <cfRule type="expression" dxfId="255" priority="22">
      <formula>MOD(ROW(),2)=0</formula>
    </cfRule>
  </conditionalFormatting>
  <conditionalFormatting sqref="A29:C29 F29">
    <cfRule type="expression" dxfId="254" priority="21">
      <formula>MOD(ROW(),2)=0</formula>
    </cfRule>
  </conditionalFormatting>
  <conditionalFormatting sqref="AC59">
    <cfRule type="expression" dxfId="253" priority="20">
      <formula>MOD(ROW(),2)=0</formula>
    </cfRule>
  </conditionalFormatting>
  <conditionalFormatting sqref="A13:F13 A14:C14 E14:F14">
    <cfRule type="expression" dxfId="252" priority="19">
      <formula>MOD(ROW(),2)=0</formula>
    </cfRule>
  </conditionalFormatting>
  <conditionalFormatting sqref="D29:E29">
    <cfRule type="expression" dxfId="251" priority="18">
      <formula>MOD(ROW(),2)=0</formula>
    </cfRule>
  </conditionalFormatting>
  <conditionalFormatting sqref="A53:B53 F53">
    <cfRule type="expression" dxfId="250" priority="15">
      <formula>MOD(ROW(),2)=0</formula>
    </cfRule>
  </conditionalFormatting>
  <conditionalFormatting sqref="A57:F57">
    <cfRule type="expression" dxfId="249" priority="14">
      <formula>MOD(ROW(),2)=0</formula>
    </cfRule>
  </conditionalFormatting>
  <conditionalFormatting sqref="B54:B55">
    <cfRule type="expression" dxfId="248" priority="13">
      <formula>MOD(ROW(),2)=0</formula>
    </cfRule>
  </conditionalFormatting>
  <conditionalFormatting sqref="D53:E53 C54:E55">
    <cfRule type="expression" dxfId="247" priority="12">
      <formula>MOD(ROW(),2)=0</formula>
    </cfRule>
  </conditionalFormatting>
  <conditionalFormatting sqref="D58:D61">
    <cfRule type="expression" dxfId="246" priority="1">
      <formula>MOD(ROW(),2)=0</formula>
    </cfRule>
  </conditionalFormatting>
  <conditionalFormatting sqref="D8">
    <cfRule type="expression" dxfId="245" priority="10">
      <formula>MOD(ROW(),2)=0</formula>
    </cfRule>
  </conditionalFormatting>
  <conditionalFormatting sqref="D14">
    <cfRule type="expression" dxfId="244" priority="9">
      <formula>MOD(ROW(),2)=0</formula>
    </cfRule>
  </conditionalFormatting>
  <conditionalFormatting sqref="D27">
    <cfRule type="expression" dxfId="243" priority="8">
      <formula>MOD(ROW(),2)=0</formula>
    </cfRule>
  </conditionalFormatting>
  <conditionalFormatting sqref="D41">
    <cfRule type="expression" dxfId="242" priority="7">
      <formula>MOD(ROW(),2)=0</formula>
    </cfRule>
  </conditionalFormatting>
  <conditionalFormatting sqref="D47:D48">
    <cfRule type="expression" dxfId="241" priority="6">
      <formula>MOD(ROW(),2)=0</formula>
    </cfRule>
  </conditionalFormatting>
  <conditionalFormatting sqref="D46">
    <cfRule type="expression" dxfId="240" priority="5">
      <formula>MOD(ROW(),2)=0</formula>
    </cfRule>
  </conditionalFormatting>
  <conditionalFormatting sqref="D49">
    <cfRule type="expression" dxfId="239" priority="4">
      <formula>MOD(ROW(),2)=0</formula>
    </cfRule>
  </conditionalFormatting>
  <conditionalFormatting sqref="D50">
    <cfRule type="expression" dxfId="238" priority="3">
      <formula>MOD(ROW(),2)=0</formula>
    </cfRule>
  </conditionalFormatting>
  <conditionalFormatting sqref="D51">
    <cfRule type="expression" dxfId="237" priority="2">
      <formula>MOD(ROW(),2)=0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H90"/>
  <sheetViews>
    <sheetView topLeftCell="B13" zoomScaleNormal="100" workbookViewId="0">
      <selection activeCell="O11" sqref="O11"/>
    </sheetView>
  </sheetViews>
  <sheetFormatPr defaultRowHeight="15" outlineLevelCol="1" x14ac:dyDescent="0.25"/>
  <cols>
    <col min="2" max="2" width="22" customWidth="1"/>
    <col min="3" max="3" width="14.42578125" customWidth="1"/>
    <col min="4" max="4" width="17.28515625" customWidth="1"/>
    <col min="5" max="5" width="14.5703125" style="131" customWidth="1"/>
    <col min="6" max="6" width="10" customWidth="1"/>
    <col min="7" max="7" width="11" hidden="1" customWidth="1" outlineLevel="1"/>
    <col min="8" max="8" width="9.42578125" hidden="1" customWidth="1" outlineLevel="1"/>
    <col min="9" max="9" width="11.28515625" hidden="1" customWidth="1" outlineLevel="1"/>
    <col min="10" max="10" width="10" hidden="1" customWidth="1" outlineLevel="1"/>
    <col min="11" max="11" width="11.140625" hidden="1" customWidth="1" outlineLevel="1"/>
    <col min="12" max="12" width="10.5703125" hidden="1" customWidth="1" outlineLevel="1"/>
    <col min="13" max="13" width="10.5703125" style="1" customWidth="1" collapsed="1"/>
    <col min="14" max="14" width="10.5703125" style="1" customWidth="1"/>
    <col min="15" max="15" width="10.5703125" style="131" customWidth="1"/>
    <col min="16" max="16" width="12.140625" style="1" customWidth="1" outlineLevel="1"/>
    <col min="17" max="17" width="10.5703125" style="1" customWidth="1" outlineLevel="1"/>
    <col min="18" max="18" width="10.5703125" style="131" customWidth="1"/>
    <col min="19" max="20" width="10.5703125" style="1" customWidth="1" outlineLevel="1"/>
    <col min="21" max="21" width="10.5703125" style="131" customWidth="1"/>
    <col min="22" max="22" width="10.5703125" customWidth="1" outlineLevel="1"/>
    <col min="23" max="23" width="9.140625" customWidth="1" outlineLevel="1"/>
    <col min="24" max="24" width="8.5703125" customWidth="1"/>
    <col min="25" max="25" width="13.85546875" style="2" customWidth="1" outlineLevel="1"/>
    <col min="26" max="26" width="9.140625" style="2" customWidth="1" outlineLevel="1"/>
    <col min="28" max="28" width="19.7109375" customWidth="1"/>
  </cols>
  <sheetData>
    <row r="1" spans="1:26" ht="15.75" thickBot="1" x14ac:dyDescent="0.3"/>
    <row r="2" spans="1:26" ht="16.5" thickBot="1" x14ac:dyDescent="0.3">
      <c r="G2" s="84" t="s">
        <v>149</v>
      </c>
      <c r="H2" s="85" t="s">
        <v>150</v>
      </c>
      <c r="I2" s="95" t="s">
        <v>159</v>
      </c>
      <c r="J2" s="96" t="s">
        <v>160</v>
      </c>
      <c r="K2" s="105" t="s">
        <v>243</v>
      </c>
      <c r="L2" s="106" t="s">
        <v>244</v>
      </c>
      <c r="M2" s="126" t="s">
        <v>90</v>
      </c>
      <c r="N2" s="127" t="s">
        <v>125</v>
      </c>
      <c r="O2" s="215"/>
      <c r="P2" s="67" t="s">
        <v>89</v>
      </c>
      <c r="Q2" s="68" t="s">
        <v>126</v>
      </c>
      <c r="R2" s="212"/>
      <c r="S2" s="67" t="s">
        <v>101</v>
      </c>
      <c r="T2" s="68" t="s">
        <v>127</v>
      </c>
      <c r="U2" s="212"/>
      <c r="V2" s="67" t="s">
        <v>119</v>
      </c>
      <c r="W2" s="68" t="s">
        <v>78</v>
      </c>
      <c r="Y2" s="126" t="s">
        <v>163</v>
      </c>
      <c r="Z2" s="127" t="s">
        <v>78</v>
      </c>
    </row>
    <row r="3" spans="1:26" ht="16.5" thickBot="1" x14ac:dyDescent="0.3">
      <c r="A3" s="49" t="s">
        <v>54</v>
      </c>
      <c r="B3" s="49" t="s">
        <v>69</v>
      </c>
      <c r="C3" s="49" t="s">
        <v>70</v>
      </c>
      <c r="D3" s="49" t="s">
        <v>2</v>
      </c>
      <c r="E3" s="49" t="s">
        <v>257</v>
      </c>
      <c r="F3" s="55" t="s">
        <v>102</v>
      </c>
      <c r="G3" s="86"/>
      <c r="H3" s="87"/>
      <c r="I3" s="97"/>
      <c r="J3" s="98"/>
      <c r="K3" s="107"/>
      <c r="L3" s="108"/>
      <c r="M3" s="69"/>
      <c r="N3" s="70"/>
      <c r="O3" s="213"/>
      <c r="P3" s="69"/>
      <c r="Q3" s="70"/>
      <c r="R3" s="213"/>
      <c r="S3" s="69"/>
      <c r="T3" s="70"/>
      <c r="U3" s="213"/>
      <c r="V3" s="69"/>
      <c r="W3" s="70"/>
      <c r="Y3" s="128"/>
      <c r="Z3" s="129"/>
    </row>
    <row r="4" spans="1:26" ht="15" customHeight="1" x14ac:dyDescent="0.25">
      <c r="A4" s="35" t="s">
        <v>25</v>
      </c>
      <c r="B4" s="44" t="s">
        <v>139</v>
      </c>
      <c r="C4" s="35" t="s">
        <v>57</v>
      </c>
      <c r="D4" s="37" t="s">
        <v>88</v>
      </c>
      <c r="E4" s="37" t="s">
        <v>256</v>
      </c>
      <c r="F4" s="116">
        <v>3</v>
      </c>
      <c r="G4" s="88">
        <f>IFERROR(VLOOKUP($A$3:$A$144,'APR-2026'!$A$4:$ABX$112,MATCH('FY-(26-27)Q1'!$G$2:$H$2,'APR-2026'!$A$2:$BY$2,0),0),0)</f>
        <v>330000</v>
      </c>
      <c r="H4" s="154">
        <f>IFERROR(VLOOKUP($A$3:$A$144,'APR-2026'!$A$4:$ABX$112,MATCH('FY-(26-27)Q1'!$G$2:$H$2,'APR-2026'!$A$2:$BY$2,0),0),0)</f>
        <v>1.1000000000000001</v>
      </c>
      <c r="I4" s="152">
        <f>IFERROR(VLOOKUP($A$3:$A$144,'MAY-2026'!$A$4:$ACP$113,MATCH('FY-(26-27)Q1'!$I$2:$J$2,'MAY-2026'!$A$2:$CQ$2,0),0),0)</f>
        <v>-198725</v>
      </c>
      <c r="J4" s="154">
        <f>IFERROR(VLOOKUP($A$3:$A$144,'MAY-2026'!$A$4:$ACP$113,MATCH('FY-(26-27)Q1'!$I$2:$J$2,'MAY-2026'!$A$2:$CQ$2,0),0),0)</f>
        <v>-0.66241666666666665</v>
      </c>
      <c r="K4" s="152">
        <f>IFERROR(VLOOKUP($A$3:$A$144,'JUNE-2026'!$A$4:$ADJ$113,MATCH('FY-(26-27)Q1'!$K$2:$L$2,'JUNE-2026'!$A$2:$DK$2,0),0),0)</f>
        <v>50000</v>
      </c>
      <c r="L4" s="154">
        <f>IFERROR(VLOOKUP($A$3:$A$144,'JUNE-2026'!$A$4:$ADJ$113,MATCH('FY-(26-27)Q1'!$K$2:$L$2,'JUNE-2026'!$A$2:$DK$2,0),0),0)</f>
        <v>0.16666666666666669</v>
      </c>
      <c r="M4" s="71">
        <f>G4+I4+K4</f>
        <v>181275</v>
      </c>
      <c r="N4" s="165">
        <f>H4+J4+L4</f>
        <v>0.60425000000000018</v>
      </c>
      <c r="O4" s="214"/>
      <c r="P4" s="152">
        <f>IFERROR(VLOOKUP($A$3:$A$144,'FY-(26-27)Q2'!$A$4:$ABW$124,MATCH('FY-(26-27)Q1'!$P$2:$Q$2,'FY-(26-27)Q2'!$A$2:$BX$2,0),0),0)</f>
        <v>0</v>
      </c>
      <c r="Q4" s="154">
        <f>IFERROR(VLOOKUP($A$3:$A$144,'FY-(26-27)Q2'!$A$4:$ABW$124,MATCH('FY-(26-27)Q1'!$P$2:$Q$2,'FY-(26-27)Q2'!$A$2:$BX$2,0),0),0)</f>
        <v>0</v>
      </c>
      <c r="R4" s="158"/>
      <c r="S4" s="152">
        <f>IFERROR(VLOOKUP($A$3:$A$144,'FY-(26-27)Q3'!$A$4:$ABW$117,MATCH('FY-(26-27)Q1'!$S$2:$T$2,'FY-(26-27)Q3'!$A$2:$BX$2,0),0),0)</f>
        <v>0</v>
      </c>
      <c r="T4" s="154">
        <f>IFERROR(VLOOKUP($A$3:$A$144,'FY-(26-27)Q3'!$A$4:$ABW$117,MATCH('FY-(26-27)Q1'!$S$2:$T$3,'FY-(26-27)Q3'!$A$2:$BX$2,0),0),0)</f>
        <v>0</v>
      </c>
      <c r="U4" s="216"/>
      <c r="V4" s="71"/>
      <c r="W4" s="72"/>
      <c r="Y4" s="89">
        <f t="shared" ref="Y4" si="0">M4+P4+S4+V4</f>
        <v>181275</v>
      </c>
      <c r="Z4" s="167">
        <f t="shared" ref="Z4" si="1">(N4+Q4+T4+W4)</f>
        <v>0.60425000000000018</v>
      </c>
    </row>
    <row r="5" spans="1:26" s="1" customFormat="1" ht="15" customHeight="1" x14ac:dyDescent="0.25">
      <c r="A5" s="35" t="s">
        <v>46</v>
      </c>
      <c r="B5" s="44" t="s">
        <v>139</v>
      </c>
      <c r="C5" s="35" t="s">
        <v>57</v>
      </c>
      <c r="D5" s="37" t="s">
        <v>88</v>
      </c>
      <c r="E5" s="37" t="s">
        <v>256</v>
      </c>
      <c r="F5" s="116">
        <v>3</v>
      </c>
      <c r="G5" s="152">
        <f>IFERROR(VLOOKUP($A$3:$A$144,'APR-2026'!$A$4:$ABX$112,MATCH('FY-(26-27)Q1'!$G$2:$H$2,'APR-2026'!$A$2:$BY$2,0),0),0)</f>
        <v>-21500</v>
      </c>
      <c r="H5" s="154">
        <f>IFERROR(VLOOKUP($A$3:$A$144,'APR-2026'!$A$4:$ABX$112,MATCH('FY-(26-27)Q1'!$G$2:$H$2,'APR-2026'!$A$2:$BY$2,0),0),0)</f>
        <v>-7.166666666666667E-2</v>
      </c>
      <c r="I5" s="152">
        <f>IFERROR(VLOOKUP($A$3:$A$144,'MAY-2026'!$A$4:$ACP$113,MATCH('FY-(26-27)Q1'!$I$2:$J$2,'MAY-2026'!$A$2:$CQ$2,0),0),0)</f>
        <v>2411</v>
      </c>
      <c r="J5" s="154">
        <f>IFERROR(VLOOKUP($A$3:$A$144,'MAY-2026'!$A$4:$ACP$113,MATCH('FY-(26-27)Q1'!$I$2:$J$2,'MAY-2026'!$A$2:$CQ$2,0),0),0)</f>
        <v>8.0366666666666659E-3</v>
      </c>
      <c r="K5" s="152">
        <f>IFERROR(VLOOKUP($A$3:$A$144,'JUNE-2026'!$A$4:$ADJ$113,MATCH('FY-(26-27)Q1'!$K$2:$L$2,'JUNE-2026'!$A$2:$DK$2,0),0),0)</f>
        <v>0</v>
      </c>
      <c r="L5" s="154">
        <f>IFERROR(VLOOKUP($A$3:$A$144,'JUNE-2026'!$A$4:$ADJ$113,MATCH('FY-(26-27)Q1'!$K$2:$L$2,'JUNE-2026'!$A$2:$DK$2,0),0),0)</f>
        <v>0</v>
      </c>
      <c r="M5" s="71">
        <f t="shared" ref="M5:M9" si="2">G5+I5+K5</f>
        <v>-19089</v>
      </c>
      <c r="N5" s="165">
        <f t="shared" ref="N5:N9" si="3">H5+J5+L5</f>
        <v>-6.3630000000000006E-2</v>
      </c>
      <c r="O5" s="214"/>
      <c r="P5" s="152">
        <f>IFERROR(VLOOKUP($A$3:$A$144,'FY-(26-27)Q2'!$A$4:$ABW$124,MATCH('FY-(26-27)Q1'!$P$2:$Q$2,'FY-(26-27)Q2'!$A$2:$BX$2,0),0),0)</f>
        <v>0</v>
      </c>
      <c r="Q5" s="154">
        <f>IFERROR(VLOOKUP($A$3:$A$144,'FY-(26-27)Q2'!$A$4:$ABW$124,MATCH('FY-(26-27)Q1'!$P$2:$Q$2,'FY-(26-27)Q2'!$A$2:$BX$2,0),0),0)</f>
        <v>0</v>
      </c>
      <c r="R5" s="158"/>
      <c r="S5" s="152">
        <f>IFERROR(VLOOKUP($A$3:$A$144,'FY-(26-27)Q3'!$A$4:$ABW$117,MATCH('FY-(26-27)Q1'!$S$2:$T$2,'FY-(26-27)Q3'!$A$2:$BX$2,0),0),0)</f>
        <v>0</v>
      </c>
      <c r="T5" s="154">
        <f>IFERROR(VLOOKUP($A$3:$A$144,'FY-(26-27)Q3'!$A$4:$ABW$117,MATCH('FY-(26-27)Q1'!$S$2:$T$3,'FY-(26-27)Q3'!$A$2:$BX$2,0),0),0)</f>
        <v>0</v>
      </c>
      <c r="U5" s="216"/>
      <c r="V5" s="71"/>
      <c r="W5" s="72"/>
      <c r="Y5" s="153">
        <f t="shared" ref="Y5:Y70" si="4">M5+P5+S5+V5</f>
        <v>-19089</v>
      </c>
      <c r="Z5" s="167">
        <f t="shared" ref="Z5:Z70" si="5">(N5+Q5+T5+W5)</f>
        <v>-6.3630000000000006E-2</v>
      </c>
    </row>
    <row r="6" spans="1:26" ht="15" customHeight="1" x14ac:dyDescent="0.25">
      <c r="A6" s="141" t="s">
        <v>216</v>
      </c>
      <c r="B6" s="44" t="s">
        <v>215</v>
      </c>
      <c r="C6" s="141" t="s">
        <v>11</v>
      </c>
      <c r="D6" s="141" t="s">
        <v>260</v>
      </c>
      <c r="E6" s="141" t="s">
        <v>256</v>
      </c>
      <c r="F6" s="155">
        <v>0.5</v>
      </c>
      <c r="G6" s="152">
        <f>IFERROR(VLOOKUP($A$3:$A$144,'APR-2026'!$A$4:$ABX$112,MATCH('FY-(26-27)Q1'!$G$2:$H$2,'APR-2026'!$A$2:$BY$2,0),0),0)</f>
        <v>0</v>
      </c>
      <c r="H6" s="154">
        <f>IFERROR(VLOOKUP($A$3:$A$144,'APR-2026'!$A$4:$ABX$112,MATCH('FY-(26-27)Q1'!$G$2:$H$2,'APR-2026'!$A$2:$BY$2,0),0),0)</f>
        <v>0</v>
      </c>
      <c r="I6" s="152">
        <f>IFERROR(VLOOKUP($A$3:$A$144,'MAY-2026'!$A$4:$ACP$113,MATCH('FY-(26-27)Q1'!$I$2:$J$2,'MAY-2026'!$A$2:$CQ$2,0),0),0)</f>
        <v>-44821</v>
      </c>
      <c r="J6" s="154">
        <f>IFERROR(VLOOKUP($A$3:$A$144,'MAY-2026'!$A$4:$ACP$113,MATCH('FY-(26-27)Q1'!$I$2:$J$2,'MAY-2026'!$A$2:$CQ$2,0),0),0)</f>
        <v>-0.89641999999999999</v>
      </c>
      <c r="K6" s="152">
        <f>IFERROR(VLOOKUP($A$3:$A$144,'JUNE-2026'!$A$4:$ADJ$113,MATCH('FY-(26-27)Q1'!$K$2:$L$2,'JUNE-2026'!$A$2:$DK$2,0),0),0)</f>
        <v>-3515</v>
      </c>
      <c r="L6" s="154">
        <f>IFERROR(VLOOKUP($A$3:$A$144,'JUNE-2026'!$A$4:$ADJ$113,MATCH('FY-(26-27)Q1'!$K$2:$L$2,'JUNE-2026'!$A$2:$DK$2,0),0),0)</f>
        <v>-7.0300000000000001E-2</v>
      </c>
      <c r="M6" s="71">
        <f t="shared" si="2"/>
        <v>-48336</v>
      </c>
      <c r="N6" s="165">
        <f t="shared" si="3"/>
        <v>-0.96672000000000002</v>
      </c>
      <c r="O6" s="214"/>
      <c r="P6" s="152">
        <f>IFERROR(VLOOKUP($A$3:$A$144,'FY-(26-27)Q2'!$A$4:$ABW$124,MATCH('FY-(26-27)Q1'!$P$2:$Q$2,'FY-(26-27)Q2'!$A$2:$BX$2,0),0),0)</f>
        <v>-504138</v>
      </c>
      <c r="Q6" s="154">
        <f>IFERROR(VLOOKUP($A$3:$A$144,'FY-(26-27)Q2'!$A$4:$ABW$124,MATCH('FY-(26-27)Q1'!$P$2:$Q$2,'FY-(26-27)Q2'!$A$2:$BX$2,0),0),0)</f>
        <v>-10.08276</v>
      </c>
      <c r="R6" s="158"/>
      <c r="S6" s="152">
        <f>IFERROR(VLOOKUP($A$3:$A$144,'FY-(26-27)Q3'!$A$4:$ABW$117,MATCH('FY-(26-27)Q1'!$S$2:$T$2,'FY-(26-27)Q3'!$A$2:$BX$2,0),0),0)</f>
        <v>111320</v>
      </c>
      <c r="T6" s="154">
        <f>IFERROR(VLOOKUP($A$3:$A$144,'FY-(26-27)Q3'!$A$4:$ABW$117,MATCH('FY-(26-27)Q1'!$S$2:$T$3,'FY-(26-27)Q3'!$A$2:$BX$2,0),0),0)</f>
        <v>0</v>
      </c>
      <c r="U6" s="216"/>
      <c r="V6" s="71"/>
      <c r="W6" s="149"/>
      <c r="X6" s="131"/>
      <c r="Y6" s="153">
        <f t="shared" si="4"/>
        <v>-441154</v>
      </c>
      <c r="Z6" s="167">
        <f t="shared" si="5"/>
        <v>-11.049480000000001</v>
      </c>
    </row>
    <row r="7" spans="1:26" s="1" customFormat="1" ht="15" customHeight="1" x14ac:dyDescent="0.25">
      <c r="A7" s="35" t="s">
        <v>30</v>
      </c>
      <c r="B7" s="140" t="s">
        <v>309</v>
      </c>
      <c r="C7" s="34" t="s">
        <v>6</v>
      </c>
      <c r="D7" s="38" t="s">
        <v>138</v>
      </c>
      <c r="E7" s="38" t="s">
        <v>256</v>
      </c>
      <c r="F7" s="116">
        <v>3.5</v>
      </c>
      <c r="G7" s="152">
        <f>IFERROR(VLOOKUP($A$3:$A$144,'APR-2026'!$A$4:$ABX$112,MATCH('FY-(26-27)Q1'!$G$2:$H$2,'APR-2026'!$A$2:$BY$2,0),0),0)</f>
        <v>602695</v>
      </c>
      <c r="H7" s="154">
        <f>IFERROR(VLOOKUP($A$3:$A$144,'APR-2026'!$A$4:$ABX$112,MATCH('FY-(26-27)Q1'!$G$2:$H$2,'APR-2026'!$A$2:$BY$2,0),0),0)</f>
        <v>2.0089833333333336</v>
      </c>
      <c r="I7" s="152">
        <f>IFERROR(VLOOKUP($A$3:$A$144,'MAY-2026'!$A$4:$ACP$113,MATCH('FY-(26-27)Q1'!$I$2:$J$2,'MAY-2026'!$A$2:$CQ$2,0),0),0)</f>
        <v>-40749</v>
      </c>
      <c r="J7" s="154">
        <f>IFERROR(VLOOKUP($A$3:$A$144,'MAY-2026'!$A$4:$ACP$113,MATCH('FY-(26-27)Q1'!$I$2:$J$2,'MAY-2026'!$A$2:$CQ$2,0),0),0)</f>
        <v>-0.13583000000000001</v>
      </c>
      <c r="K7" s="152">
        <f>IFERROR(VLOOKUP($A$3:$A$144,'JUNE-2026'!$A$4:$ADJ$113,MATCH('FY-(26-27)Q1'!$K$2:$L$2,'JUNE-2026'!$A$2:$DK$2,0),0),0)</f>
        <v>772328</v>
      </c>
      <c r="L7" s="154">
        <f>IFERROR(VLOOKUP($A$3:$A$144,'JUNE-2026'!$A$4:$ADJ$113,MATCH('FY-(26-27)Q1'!$K$2:$L$2,'JUNE-2026'!$A$2:$DK$2,0),0),0)</f>
        <v>2.5744266666666662</v>
      </c>
      <c r="M7" s="71">
        <f t="shared" si="2"/>
        <v>1334274</v>
      </c>
      <c r="N7" s="165">
        <f t="shared" si="3"/>
        <v>4.4475800000000003</v>
      </c>
      <c r="O7" s="214"/>
      <c r="P7" s="152">
        <f>IFERROR(VLOOKUP($A$3:$A$144,'FY-(26-27)Q2'!$A$4:$ABW$124,MATCH('FY-(26-27)Q1'!$P$2:$Q$2,'FY-(26-27)Q2'!$A$2:$BX$2,0),0),0)</f>
        <v>-92060</v>
      </c>
      <c r="Q7" s="154">
        <f>IFERROR(VLOOKUP($A$3:$A$144,'FY-(26-27)Q2'!$A$4:$ABW$124,MATCH('FY-(26-27)Q1'!$P$2:$Q$2,'FY-(26-27)Q2'!$A$2:$BX$2,0),0),0)</f>
        <v>-0.30686666666666662</v>
      </c>
      <c r="R7" s="158"/>
      <c r="S7" s="152">
        <f>IFERROR(VLOOKUP($A$3:$A$144,'FY-(26-27)Q3'!$A$4:$ABW$117,MATCH('FY-(26-27)Q1'!$S$2:$T$2,'FY-(26-27)Q3'!$A$2:$BX$2,0),0),0)</f>
        <v>0</v>
      </c>
      <c r="T7" s="154">
        <f>IFERROR(VLOOKUP($A$3:$A$144,'FY-(26-27)Q3'!$A$4:$ABW$117,MATCH('FY-(26-27)Q1'!$S$2:$T$3,'FY-(26-27)Q3'!$A$2:$BX$2,0),0),0)</f>
        <v>0</v>
      </c>
      <c r="U7" s="158"/>
      <c r="V7" s="45"/>
      <c r="W7" s="72"/>
      <c r="X7"/>
      <c r="Y7" s="153">
        <f t="shared" si="4"/>
        <v>1242214</v>
      </c>
      <c r="Z7" s="167">
        <f t="shared" si="5"/>
        <v>4.1407133333333341</v>
      </c>
    </row>
    <row r="8" spans="1:26" ht="15" customHeight="1" x14ac:dyDescent="0.25">
      <c r="A8" s="141" t="s">
        <v>177</v>
      </c>
      <c r="B8" s="140" t="s">
        <v>309</v>
      </c>
      <c r="C8" s="140" t="s">
        <v>226</v>
      </c>
      <c r="D8" s="38" t="s">
        <v>249</v>
      </c>
      <c r="E8" s="38" t="s">
        <v>256</v>
      </c>
      <c r="F8" s="155">
        <v>1</v>
      </c>
      <c r="G8" s="152">
        <f>IFERROR(VLOOKUP($A$3:$A$144,'APR-2026'!$A$4:$ABX$112,MATCH('FY-(26-27)Q1'!$G$2:$H$2,'APR-2026'!$A$2:$BY$2,0),0),0)</f>
        <v>-115177</v>
      </c>
      <c r="H8" s="154">
        <f>IFERROR(VLOOKUP($A$3:$A$144,'APR-2026'!$A$4:$ABX$112,MATCH('FY-(26-27)Q1'!$G$2:$H$2,'APR-2026'!$A$2:$BY$2,0),0),0)</f>
        <v>-1.15177</v>
      </c>
      <c r="I8" s="152">
        <f>IFERROR(VLOOKUP($A$3:$A$144,'MAY-2026'!$A$4:$ACP$113,MATCH('FY-(26-27)Q1'!$I$2:$J$2,'MAY-2026'!$A$2:$CQ$2,0),0),0)</f>
        <v>-270250</v>
      </c>
      <c r="J8" s="154">
        <f>IFERROR(VLOOKUP($A$3:$A$144,'MAY-2026'!$A$4:$ACP$113,MATCH('FY-(26-27)Q1'!$I$2:$J$2,'MAY-2026'!$A$2:$CQ$2,0),0),0)</f>
        <v>-2.7025000000000001</v>
      </c>
      <c r="K8" s="152">
        <f>IFERROR(VLOOKUP($A$3:$A$144,'JUNE-2026'!$A$4:$ADJ$113,MATCH('FY-(26-27)Q1'!$K$2:$L$2,'JUNE-2026'!$A$2:$DK$2,0),0),0)</f>
        <v>0</v>
      </c>
      <c r="L8" s="154">
        <f>IFERROR(VLOOKUP($A$3:$A$144,'JUNE-2026'!$A$4:$ADJ$113,MATCH('FY-(26-27)Q1'!$K$2:$L$2,'JUNE-2026'!$A$2:$DK$2,0),0),0)</f>
        <v>0</v>
      </c>
      <c r="M8" s="71">
        <f t="shared" si="2"/>
        <v>-385427</v>
      </c>
      <c r="N8" s="165">
        <f t="shared" si="3"/>
        <v>-3.8542700000000001</v>
      </c>
      <c r="O8" s="214"/>
      <c r="P8" s="152">
        <f>IFERROR(VLOOKUP($A$3:$A$144,'FY-(26-27)Q2'!$A$4:$ABW$124,MATCH('FY-(26-27)Q1'!$P$2:$Q$2,'FY-(26-27)Q2'!$A$2:$BX$2,0),0),0)</f>
        <v>109355</v>
      </c>
      <c r="Q8" s="154">
        <f>IFERROR(VLOOKUP($A$3:$A$144,'FY-(26-27)Q2'!$A$4:$ABW$124,MATCH('FY-(26-27)Q1'!$P$2:$Q$2,'FY-(26-27)Q2'!$A$2:$BX$2,0),0),0)</f>
        <v>1.09355</v>
      </c>
      <c r="R8" s="158"/>
      <c r="S8" s="152">
        <f>IFERROR(VLOOKUP($A$3:$A$144,'FY-(26-27)Q3'!$A$4:$ABW$117,MATCH('FY-(26-27)Q1'!$S$2:$T$2,'FY-(26-27)Q3'!$A$2:$BX$2,0),0),0)</f>
        <v>0</v>
      </c>
      <c r="T8" s="154">
        <f>IFERROR(VLOOKUP($A$3:$A$144,'FY-(26-27)Q3'!$A$4:$ABW$117,MATCH('FY-(26-27)Q1'!$S$2:$T$3,'FY-(26-27)Q3'!$A$2:$BX$2,0),0),0)</f>
        <v>0</v>
      </c>
      <c r="U8" s="158"/>
      <c r="V8" s="143"/>
      <c r="W8" s="149"/>
      <c r="X8" s="1"/>
      <c r="Y8" s="153">
        <f t="shared" si="4"/>
        <v>-276072</v>
      </c>
      <c r="Z8" s="167">
        <f t="shared" si="5"/>
        <v>-2.7607200000000001</v>
      </c>
    </row>
    <row r="9" spans="1:26" s="131" customFormat="1" ht="15" customHeight="1" x14ac:dyDescent="0.25">
      <c r="A9" s="141" t="s">
        <v>323</v>
      </c>
      <c r="B9" s="140" t="s">
        <v>309</v>
      </c>
      <c r="C9" s="140" t="s">
        <v>312</v>
      </c>
      <c r="D9" s="159" t="s">
        <v>311</v>
      </c>
      <c r="E9" s="159"/>
      <c r="F9" s="155"/>
      <c r="G9" s="152">
        <f>IFERROR(VLOOKUP($A$3:$A$144,'APR-2026'!$A$4:$ABX$112,MATCH('FY-(26-27)Q1'!$G$2:$H$2,'APR-2026'!$A$2:$BY$2,0),0),0)</f>
        <v>0</v>
      </c>
      <c r="H9" s="154">
        <f>IFERROR(VLOOKUP($A$3:$A$144,'APR-2026'!$A$4:$ABX$112,MATCH('FY-(26-27)Q1'!$G$2:$H$2,'APR-2026'!$A$2:$BY$2,0),0),0)</f>
        <v>0</v>
      </c>
      <c r="I9" s="152">
        <f>IFERROR(VLOOKUP($A$3:$A$144,'MAY-2026'!$A$4:$ACP$113,MATCH('FY-(26-27)Q1'!$I$2:$J$2,'MAY-2026'!$A$2:$CQ$2,0),0),0)</f>
        <v>0</v>
      </c>
      <c r="J9" s="154">
        <f>IFERROR(VLOOKUP($A$3:$A$144,'MAY-2026'!$A$4:$ACP$113,MATCH('FY-(26-27)Q1'!$I$2:$J$2,'MAY-2026'!$A$2:$CQ$2,0),0),0)</f>
        <v>0</v>
      </c>
      <c r="K9" s="152">
        <f>IFERROR(VLOOKUP($A$3:$A$144,'JUNE-2026'!$A$4:$ADJ$113,MATCH('FY-(26-27)Q1'!$K$2:$L$2,'JUNE-2026'!$A$2:$DK$2,0),0),0)</f>
        <v>0</v>
      </c>
      <c r="L9" s="154">
        <f>IFERROR(VLOOKUP($A$3:$A$144,'JUNE-2026'!$A$4:$ADJ$113,MATCH('FY-(26-27)Q1'!$K$2:$L$2,'JUNE-2026'!$A$2:$DK$2,0),0),0)</f>
        <v>0</v>
      </c>
      <c r="M9" s="71">
        <f t="shared" si="2"/>
        <v>0</v>
      </c>
      <c r="N9" s="165">
        <f t="shared" si="3"/>
        <v>0</v>
      </c>
      <c r="O9" s="214"/>
      <c r="P9" s="152">
        <f>IFERROR(VLOOKUP($A$3:$A$144,'FY-(26-27)Q2'!$A$4:$ABW$124,MATCH('FY-(26-27)Q1'!$P$2:$Q$2,'FY-(26-27)Q2'!$A$2:$BX$2,0),0),0)</f>
        <v>-136386</v>
      </c>
      <c r="Q9" s="154">
        <f>IFERROR(VLOOKUP($A$3:$A$144,'FY-(26-27)Q2'!$A$4:$ABW$124,MATCH('FY-(26-27)Q1'!$P$2:$Q$2,'FY-(26-27)Q2'!$A$2:$BX$2,0),0),0)</f>
        <v>-1.07396</v>
      </c>
      <c r="R9" s="158"/>
      <c r="S9" s="152">
        <f>IFERROR(VLOOKUP($A$3:$A$144,'FY-(26-27)Q3'!$A$4:$ABW$117,MATCH('FY-(26-27)Q1'!$S$2:$T$2,'FY-(26-27)Q3'!$A$2:$BX$2,0),0),0)</f>
        <v>0</v>
      </c>
      <c r="T9" s="154">
        <f>IFERROR(VLOOKUP($A$3:$A$144,'FY-(26-27)Q3'!$A$4:$ABW$117,MATCH('FY-(26-27)Q1'!$S$2:$T$3,'FY-(26-27)Q3'!$A$2:$BX$2,0),0),0)</f>
        <v>0</v>
      </c>
      <c r="U9" s="158"/>
      <c r="V9" s="143"/>
      <c r="W9" s="149"/>
      <c r="Y9" s="153">
        <f t="shared" si="4"/>
        <v>-136386</v>
      </c>
      <c r="Z9" s="167">
        <f t="shared" si="5"/>
        <v>-1.07396</v>
      </c>
    </row>
    <row r="10" spans="1:26" s="131" customFormat="1" ht="15" customHeight="1" x14ac:dyDescent="0.25">
      <c r="A10" s="141" t="s">
        <v>343</v>
      </c>
      <c r="B10" s="140" t="s">
        <v>341</v>
      </c>
      <c r="C10" s="140" t="s">
        <v>345</v>
      </c>
      <c r="D10" s="38" t="s">
        <v>138</v>
      </c>
      <c r="E10" s="38" t="s">
        <v>256</v>
      </c>
      <c r="F10" s="155">
        <v>3.5</v>
      </c>
      <c r="G10" s="152"/>
      <c r="H10" s="154"/>
      <c r="I10" s="152"/>
      <c r="J10" s="154"/>
      <c r="K10" s="152"/>
      <c r="L10" s="154"/>
      <c r="M10" s="71">
        <f t="shared" ref="M10:M11" si="6">G10+I10+K10</f>
        <v>0</v>
      </c>
      <c r="N10" s="165">
        <f t="shared" ref="N10:N11" si="7">H10+J10+L10</f>
        <v>0</v>
      </c>
      <c r="O10" s="214"/>
      <c r="P10" s="152">
        <f>IFERROR(VLOOKUP($A$3:$A$144,'FY-(26-27)Q2'!$A$4:$ABW$124,MATCH('FY-(26-27)Q1'!$P$2:$Q$2,'FY-(26-27)Q2'!$A$2:$BX$2,0),0),0)</f>
        <v>0</v>
      </c>
      <c r="Q10" s="154">
        <f>IFERROR(VLOOKUP($A$3:$A$144,'FY-(26-27)Q2'!$A$4:$ABW$124,MATCH('FY-(26-27)Q1'!$P$2:$Q$2,'FY-(26-27)Q2'!$A$2:$BX$2,0),0),0)</f>
        <v>0</v>
      </c>
      <c r="R10" s="158"/>
      <c r="S10" s="152">
        <f>IFERROR(VLOOKUP($A$3:$A$144,'FY-(26-27)Q3'!$A$4:$ABW$117,MATCH('FY-(26-27)Q1'!$S$2:$T$2,'FY-(26-27)Q3'!$A$2:$BX$2,0),0),0)</f>
        <v>285473</v>
      </c>
      <c r="T10" s="154">
        <f>IFERROR(VLOOKUP($A$3:$A$144,'FY-(26-27)Q3'!$A$4:$ABW$117,MATCH('FY-(26-27)Q1'!$S$2:$T$3,'FY-(26-27)Q3'!$A$2:$BX$2,0),0),0)</f>
        <v>0</v>
      </c>
      <c r="U10" s="158"/>
      <c r="V10" s="143"/>
      <c r="W10" s="149"/>
      <c r="Y10" s="153">
        <f t="shared" ref="Y10:Y11" si="8">M10+P10+S10+V10</f>
        <v>285473</v>
      </c>
      <c r="Z10" s="167">
        <f t="shared" ref="Z10:Z11" si="9">(N10+Q10+T10+W10)</f>
        <v>0</v>
      </c>
    </row>
    <row r="11" spans="1:26" s="131" customFormat="1" ht="15" customHeight="1" x14ac:dyDescent="0.25">
      <c r="A11" s="141" t="s">
        <v>344</v>
      </c>
      <c r="B11" s="140" t="s">
        <v>341</v>
      </c>
      <c r="C11" s="140" t="s">
        <v>312</v>
      </c>
      <c r="D11" s="159" t="s">
        <v>311</v>
      </c>
      <c r="E11" s="159" t="s">
        <v>256</v>
      </c>
      <c r="F11" s="155">
        <v>1</v>
      </c>
      <c r="G11" s="152"/>
      <c r="H11" s="154"/>
      <c r="I11" s="152"/>
      <c r="J11" s="154"/>
      <c r="K11" s="152"/>
      <c r="L11" s="154"/>
      <c r="M11" s="71">
        <f t="shared" si="6"/>
        <v>0</v>
      </c>
      <c r="N11" s="165">
        <f t="shared" si="7"/>
        <v>0</v>
      </c>
      <c r="O11" s="214"/>
      <c r="P11" s="152">
        <f>IFERROR(VLOOKUP($A$3:$A$144,'FY-(26-27)Q2'!$A$4:$ABW$124,MATCH('FY-(26-27)Q1'!$P$2:$Q$2,'FY-(26-27)Q2'!$A$2:$BX$2,0),0),0)</f>
        <v>0</v>
      </c>
      <c r="Q11" s="154">
        <f>IFERROR(VLOOKUP($A$3:$A$144,'FY-(26-27)Q2'!$A$4:$ABW$124,MATCH('FY-(26-27)Q1'!$P$2:$Q$2,'FY-(26-27)Q2'!$A$2:$BX$2,0),0),0)</f>
        <v>0</v>
      </c>
      <c r="R11" s="158"/>
      <c r="S11" s="152">
        <f>IFERROR(VLOOKUP($A$3:$A$144,'FY-(26-27)Q3'!$A$4:$ABW$117,MATCH('FY-(26-27)Q1'!$S$2:$T$2,'FY-(26-27)Q3'!$A$2:$BX$2,0),0),0)</f>
        <v>328587</v>
      </c>
      <c r="T11" s="154">
        <f>IFERROR(VLOOKUP($A$3:$A$144,'FY-(26-27)Q3'!$A$4:$ABW$117,MATCH('FY-(26-27)Q1'!$S$2:$T$3,'FY-(26-27)Q3'!$A$2:$BX$2,0),0),0)</f>
        <v>0</v>
      </c>
      <c r="U11" s="158"/>
      <c r="V11" s="143"/>
      <c r="W11" s="149"/>
      <c r="Y11" s="153">
        <f t="shared" si="8"/>
        <v>328587</v>
      </c>
      <c r="Z11" s="167">
        <f t="shared" si="9"/>
        <v>0</v>
      </c>
    </row>
    <row r="12" spans="1:26" ht="15" customHeight="1" x14ac:dyDescent="0.25">
      <c r="A12" s="35" t="s">
        <v>134</v>
      </c>
      <c r="B12" s="34" t="s">
        <v>133</v>
      </c>
      <c r="C12" s="34" t="s">
        <v>135</v>
      </c>
      <c r="D12" s="159" t="s">
        <v>258</v>
      </c>
      <c r="E12" s="38" t="s">
        <v>256</v>
      </c>
      <c r="F12" s="116">
        <v>3</v>
      </c>
      <c r="G12" s="152">
        <f>IFERROR(VLOOKUP($A$3:$A$144,'APR-2026'!$A$4:$ABX$112,MATCH('FY-(26-27)Q1'!$G$2:$H$2,'APR-2026'!$A$2:$BY$2,0),0),0)</f>
        <v>-86659</v>
      </c>
      <c r="H12" s="154">
        <f>IFERROR(VLOOKUP($A$3:$A$144,'APR-2026'!$A$4:$ABX$112,MATCH('FY-(26-27)Q1'!$G$2:$H$2,'APR-2026'!$A$2:$BY$2,0),0),0)</f>
        <v>-1.7331799999999999</v>
      </c>
      <c r="I12" s="152">
        <f>IFERROR(VLOOKUP($A$3:$A$144,'MAY-2026'!$A$4:$ACP$113,MATCH('FY-(26-27)Q1'!$I$2:$J$2,'MAY-2026'!$A$2:$CQ$2,0),0),0)</f>
        <v>165574</v>
      </c>
      <c r="J12" s="154">
        <f>IFERROR(VLOOKUP($A$3:$A$144,'MAY-2026'!$A$4:$ACP$113,MATCH('FY-(26-27)Q1'!$I$2:$J$2,'MAY-2026'!$A$2:$CQ$2,0),0),0)</f>
        <v>0.55191333333333337</v>
      </c>
      <c r="K12" s="152">
        <f>IFERROR(VLOOKUP($A$3:$A$144,'JUNE-2026'!$A$4:$ADJ$113,MATCH('FY-(26-27)Q1'!$K$2:$L$2,'JUNE-2026'!$A$2:$DK$2,0),0),0)</f>
        <v>-437824</v>
      </c>
      <c r="L12" s="154">
        <f>IFERROR(VLOOKUP($A$3:$A$144,'JUNE-2026'!$A$4:$ADJ$113,MATCH('FY-(26-27)Q1'!$K$2:$L$2,'JUNE-2026'!$A$2:$DK$2,0),0),0)</f>
        <v>-1.4594133333333335</v>
      </c>
      <c r="M12" s="71">
        <f t="shared" ref="M12:M75" si="10">G12+I12+K12</f>
        <v>-358909</v>
      </c>
      <c r="N12" s="165">
        <f t="shared" ref="N12:N75" si="11">H12+J12+L12</f>
        <v>-2.6406800000000001</v>
      </c>
      <c r="O12" s="214"/>
      <c r="P12" s="152">
        <f>IFERROR(VLOOKUP($A$3:$A$144,'FY-(26-27)Q2'!$A$4:$ABW$124,MATCH('FY-(26-27)Q1'!$P$2:$Q$2,'FY-(26-27)Q2'!$A$2:$BX$2,0),0),0)</f>
        <v>-817158</v>
      </c>
      <c r="Q12" s="154">
        <f>IFERROR(VLOOKUP($A$3:$A$144,'FY-(26-27)Q2'!$A$4:$ABW$124,MATCH('FY-(26-27)Q1'!$P$2:$Q$2,'FY-(26-27)Q2'!$A$2:$BX$2,0),0),0)</f>
        <v>-2.7238600000000002</v>
      </c>
      <c r="R12" s="158"/>
      <c r="S12" s="152">
        <f>IFERROR(VLOOKUP($A$3:$A$144,'FY-(26-27)Q3'!$A$4:$ABW$117,MATCH('FY-(26-27)Q1'!$S$2:$T$2,'FY-(26-27)Q3'!$A$2:$BX$2,0),0),0)</f>
        <v>112840</v>
      </c>
      <c r="T12" s="154">
        <f>IFERROR(VLOOKUP($A$3:$A$144,'FY-(26-27)Q3'!$A$4:$ABW$117,MATCH('FY-(26-27)Q1'!$S$2:$T$3,'FY-(26-27)Q3'!$A$2:$BX$2,0),0),0)</f>
        <v>0</v>
      </c>
      <c r="U12" s="158"/>
      <c r="V12" s="45"/>
      <c r="W12" s="72"/>
      <c r="Y12" s="153">
        <f t="shared" si="4"/>
        <v>-1063227</v>
      </c>
      <c r="Z12" s="167">
        <f t="shared" si="5"/>
        <v>-5.3645399999999999</v>
      </c>
    </row>
    <row r="13" spans="1:26" s="131" customFormat="1" ht="15" customHeight="1" x14ac:dyDescent="0.25">
      <c r="A13" s="141" t="s">
        <v>217</v>
      </c>
      <c r="B13" s="140" t="s">
        <v>133</v>
      </c>
      <c r="C13" s="140" t="s">
        <v>96</v>
      </c>
      <c r="D13" s="38" t="s">
        <v>116</v>
      </c>
      <c r="E13" s="38" t="s">
        <v>256</v>
      </c>
      <c r="F13" s="155">
        <v>1.5</v>
      </c>
      <c r="G13" s="152">
        <f>IFERROR(VLOOKUP($A$3:$A$144,'APR-2026'!$A$4:$ABX$112,MATCH('FY-(26-27)Q1'!$G$2:$H$2,'APR-2026'!$A$2:$BY$2,0),0),0)</f>
        <v>0</v>
      </c>
      <c r="H13" s="154">
        <f>IFERROR(VLOOKUP($A$3:$A$144,'APR-2026'!$A$4:$ABX$112,MATCH('FY-(26-27)Q1'!$G$2:$H$2,'APR-2026'!$A$2:$BY$2,0),0),0)</f>
        <v>0</v>
      </c>
      <c r="I13" s="152">
        <f>IFERROR(VLOOKUP($A$3:$A$144,'MAY-2026'!$A$4:$ACP$113,MATCH('FY-(26-27)Q1'!$I$2:$J$2,'MAY-2026'!$A$2:$CQ$2,0),0),0)</f>
        <v>-175097</v>
      </c>
      <c r="J13" s="154">
        <f>IFERROR(VLOOKUP($A$3:$A$144,'MAY-2026'!$A$4:$ACP$113,MATCH('FY-(26-27)Q1'!$I$2:$J$2,'MAY-2026'!$A$2:$CQ$2,0),0),0)</f>
        <v>-1.1673133333333332</v>
      </c>
      <c r="K13" s="152">
        <f>IFERROR(VLOOKUP($A$3:$A$144,'JUNE-2026'!$A$4:$ADJ$113,MATCH('FY-(26-27)Q1'!$K$2:$L$2,'JUNE-2026'!$A$2:$DK$2,0),0),0)</f>
        <v>135</v>
      </c>
      <c r="L13" s="154">
        <f>IFERROR(VLOOKUP($A$3:$A$144,'JUNE-2026'!$A$4:$ADJ$113,MATCH('FY-(26-27)Q1'!$K$2:$L$2,'JUNE-2026'!$A$2:$DK$2,0),0),0)</f>
        <v>8.9999999999999998E-4</v>
      </c>
      <c r="M13" s="71">
        <f t="shared" si="10"/>
        <v>-174962</v>
      </c>
      <c r="N13" s="165">
        <f t="shared" si="11"/>
        <v>-1.1664133333333333</v>
      </c>
      <c r="O13" s="214"/>
      <c r="P13" s="152">
        <f>IFERROR(VLOOKUP($A$3:$A$144,'FY-(26-27)Q2'!$A$4:$ABW$124,MATCH('FY-(26-27)Q1'!$P$2:$Q$2,'FY-(26-27)Q2'!$A$2:$BX$2,0),0),0)</f>
        <v>-226913</v>
      </c>
      <c r="Q13" s="154">
        <f>IFERROR(VLOOKUP($A$3:$A$144,'FY-(26-27)Q2'!$A$4:$ABW$124,MATCH('FY-(26-27)Q1'!$P$2:$Q$2,'FY-(26-27)Q2'!$A$2:$BX$2,0),0),0)</f>
        <v>-1.5127533333333336</v>
      </c>
      <c r="R13" s="158"/>
      <c r="S13" s="152">
        <f>IFERROR(VLOOKUP($A$3:$A$144,'FY-(26-27)Q3'!$A$4:$ABW$117,MATCH('FY-(26-27)Q1'!$S$2:$T$2,'FY-(26-27)Q3'!$A$2:$BX$2,0),0),0)</f>
        <v>266686</v>
      </c>
      <c r="T13" s="154">
        <f>IFERROR(VLOOKUP($A$3:$A$144,'FY-(26-27)Q3'!$A$4:$ABW$117,MATCH('FY-(26-27)Q1'!$S$2:$T$3,'FY-(26-27)Q3'!$A$2:$BX$2,0),0),0)</f>
        <v>0</v>
      </c>
      <c r="U13" s="158"/>
      <c r="V13" s="143"/>
      <c r="W13" s="149"/>
      <c r="Y13" s="153">
        <f t="shared" si="4"/>
        <v>-135189</v>
      </c>
      <c r="Z13" s="167">
        <f t="shared" si="5"/>
        <v>-2.6791666666666671</v>
      </c>
    </row>
    <row r="14" spans="1:26" s="131" customFormat="1" ht="15" customHeight="1" x14ac:dyDescent="0.25">
      <c r="A14" s="141" t="s">
        <v>313</v>
      </c>
      <c r="B14" s="140" t="s">
        <v>133</v>
      </c>
      <c r="C14" s="140" t="s">
        <v>294</v>
      </c>
      <c r="D14" s="38" t="s">
        <v>116</v>
      </c>
      <c r="E14" s="38" t="s">
        <v>256</v>
      </c>
      <c r="F14" s="155">
        <v>0.6</v>
      </c>
      <c r="G14" s="152">
        <f>IFERROR(VLOOKUP($A$3:$A$144,'APR-2026'!$A$4:$ABX$112,MATCH('FY-(26-27)Q1'!$G$2:$H$2,'APR-2026'!$A$2:$BY$2,0),0),0)</f>
        <v>0</v>
      </c>
      <c r="H14" s="154">
        <f>IFERROR(VLOOKUP($A$3:$A$144,'APR-2026'!$A$4:$ABX$112,MATCH('FY-(26-27)Q1'!$G$2:$H$2,'APR-2026'!$A$2:$BY$2,0),0),0)</f>
        <v>0</v>
      </c>
      <c r="I14" s="152">
        <f>IFERROR(VLOOKUP($A$3:$A$144,'MAY-2026'!$A$4:$ACP$113,MATCH('FY-(26-27)Q1'!$I$2:$J$2,'MAY-2026'!$A$2:$CQ$2,0),0),0)</f>
        <v>0</v>
      </c>
      <c r="J14" s="154">
        <f>IFERROR(VLOOKUP($A$3:$A$144,'MAY-2026'!$A$4:$ACP$113,MATCH('FY-(26-27)Q1'!$I$2:$J$2,'MAY-2026'!$A$2:$CQ$2,0),0),0)</f>
        <v>0</v>
      </c>
      <c r="K14" s="152">
        <f>IFERROR(VLOOKUP($A$3:$A$144,'JUNE-2026'!$A$4:$ADJ$113,MATCH('FY-(26-27)Q1'!$K$2:$L$2,'JUNE-2026'!$A$2:$DK$2,0),0),0)</f>
        <v>0</v>
      </c>
      <c r="L14" s="154">
        <f>IFERROR(VLOOKUP($A$3:$A$144,'JUNE-2026'!$A$4:$ADJ$113,MATCH('FY-(26-27)Q1'!$K$2:$L$2,'JUNE-2026'!$A$2:$DK$2,0),0),0)</f>
        <v>0</v>
      </c>
      <c r="M14" s="71">
        <f t="shared" si="10"/>
        <v>0</v>
      </c>
      <c r="N14" s="165">
        <f t="shared" si="11"/>
        <v>0</v>
      </c>
      <c r="O14" s="214"/>
      <c r="P14" s="152">
        <f>IFERROR(VLOOKUP($A$3:$A$144,'FY-(26-27)Q2'!$A$4:$ABW$124,MATCH('FY-(26-27)Q1'!$P$2:$Q$2,'FY-(26-27)Q2'!$A$2:$BX$2,0),0),0)</f>
        <v>-89929</v>
      </c>
      <c r="Q14" s="154">
        <f>IFERROR(VLOOKUP($A$3:$A$144,'FY-(26-27)Q2'!$A$4:$ABW$124,MATCH('FY-(26-27)Q1'!$P$2:$Q$2,'FY-(26-27)Q2'!$A$2:$BX$2,0),0),0)</f>
        <v>-1.4988166666666667</v>
      </c>
      <c r="R14" s="158"/>
      <c r="S14" s="152">
        <f>IFERROR(VLOOKUP($A$3:$A$144,'FY-(26-27)Q3'!$A$4:$ABW$117,MATCH('FY-(26-27)Q1'!$S$2:$T$2,'FY-(26-27)Q3'!$A$2:$BX$2,0),0),0)</f>
        <v>276227</v>
      </c>
      <c r="T14" s="154">
        <f>IFERROR(VLOOKUP($A$3:$A$144,'FY-(26-27)Q3'!$A$4:$ABW$117,MATCH('FY-(26-27)Q1'!$S$2:$T$3,'FY-(26-27)Q3'!$A$2:$BX$2,0),0),0)</f>
        <v>0</v>
      </c>
      <c r="U14" s="158"/>
      <c r="V14" s="143"/>
      <c r="W14" s="149"/>
      <c r="Y14" s="153">
        <f t="shared" si="4"/>
        <v>186298</v>
      </c>
      <c r="Z14" s="167">
        <f t="shared" si="5"/>
        <v>-1.4988166666666667</v>
      </c>
    </row>
    <row r="15" spans="1:26" s="1" customFormat="1" ht="15" customHeight="1" x14ac:dyDescent="0.25">
      <c r="A15" s="36" t="s">
        <v>35</v>
      </c>
      <c r="B15" s="34" t="s">
        <v>55</v>
      </c>
      <c r="C15" s="34" t="s">
        <v>79</v>
      </c>
      <c r="D15" s="142" t="s">
        <v>112</v>
      </c>
      <c r="E15" s="142" t="s">
        <v>256</v>
      </c>
      <c r="F15" s="117">
        <v>15</v>
      </c>
      <c r="G15" s="152">
        <f>IFERROR(VLOOKUP($A$3:$A$144,'APR-2026'!$A$4:$ABX$112,MATCH('FY-(26-27)Q1'!$G$2:$H$2,'APR-2026'!$A$2:$BY$2,0),0),0)</f>
        <v>194000</v>
      </c>
      <c r="H15" s="154">
        <f>IFERROR(VLOOKUP($A$3:$A$144,'APR-2026'!$A$4:$ABX$112,MATCH('FY-(26-27)Q1'!$G$2:$H$2,'APR-2026'!$A$2:$BY$2,0),0),0)</f>
        <v>0.12933333333333336</v>
      </c>
      <c r="I15" s="152">
        <f>IFERROR(VLOOKUP($A$3:$A$144,'MAY-2026'!$A$4:$ACP$113,MATCH('FY-(26-27)Q1'!$I$2:$J$2,'MAY-2026'!$A$2:$CQ$2,0),0),0)</f>
        <v>-774466</v>
      </c>
      <c r="J15" s="154">
        <f>IFERROR(VLOOKUP($A$3:$A$144,'MAY-2026'!$A$4:$ACP$113,MATCH('FY-(26-27)Q1'!$I$2:$J$2,'MAY-2026'!$A$2:$CQ$2,0),0),0)</f>
        <v>-0.5163106666666667</v>
      </c>
      <c r="K15" s="152">
        <f>IFERROR(VLOOKUP($A$3:$A$144,'JUNE-2026'!$A$4:$ADJ$113,MATCH('FY-(26-27)Q1'!$K$2:$L$2,'JUNE-2026'!$A$2:$DK$2,0),0),0)</f>
        <v>-787733</v>
      </c>
      <c r="L15" s="154">
        <f>IFERROR(VLOOKUP($A$3:$A$144,'JUNE-2026'!$A$4:$ADJ$113,MATCH('FY-(26-27)Q1'!$K$2:$L$2,'JUNE-2026'!$A$2:$DK$2,0),0),0)</f>
        <v>-0.52515533333333331</v>
      </c>
      <c r="M15" s="71">
        <f t="shared" si="10"/>
        <v>-1368199</v>
      </c>
      <c r="N15" s="165">
        <f t="shared" si="11"/>
        <v>-0.9121326666666667</v>
      </c>
      <c r="O15" s="214"/>
      <c r="P15" s="152">
        <f>IFERROR(VLOOKUP($A$3:$A$144,'FY-(26-27)Q2'!$A$4:$ABW$124,MATCH('FY-(26-27)Q1'!$P$2:$Q$2,'FY-(26-27)Q2'!$A$2:$BX$2,0),0),0)</f>
        <v>383931</v>
      </c>
      <c r="Q15" s="154">
        <f>IFERROR(VLOOKUP($A$3:$A$144,'FY-(26-27)Q2'!$A$4:$ABW$124,MATCH('FY-(26-27)Q1'!$P$2:$Q$2,'FY-(26-27)Q2'!$A$2:$BX$2,0),0),0)</f>
        <v>0.25595400000000007</v>
      </c>
      <c r="R15" s="158"/>
      <c r="S15" s="152">
        <f>IFERROR(VLOOKUP($A$3:$A$144,'FY-(26-27)Q3'!$A$4:$ABW$117,MATCH('FY-(26-27)Q1'!$S$2:$T$2,'FY-(26-27)Q3'!$A$2:$BX$2,0),0),0)</f>
        <v>-87379</v>
      </c>
      <c r="T15" s="154">
        <f>IFERROR(VLOOKUP($A$3:$A$144,'FY-(26-27)Q3'!$A$4:$ABW$117,MATCH('FY-(26-27)Q1'!$S$2:$T$3,'FY-(26-27)Q3'!$A$2:$BX$2,0),0),0)</f>
        <v>0</v>
      </c>
      <c r="U15" s="158"/>
      <c r="V15" s="45"/>
      <c r="W15" s="72"/>
      <c r="X15"/>
      <c r="Y15" s="153">
        <f t="shared" si="4"/>
        <v>-1071647</v>
      </c>
      <c r="Z15" s="167">
        <f t="shared" si="5"/>
        <v>-0.65617866666666669</v>
      </c>
    </row>
    <row r="16" spans="1:26" s="131" customFormat="1" ht="15" customHeight="1" x14ac:dyDescent="0.25">
      <c r="A16" s="142" t="s">
        <v>81</v>
      </c>
      <c r="B16" s="140" t="s">
        <v>55</v>
      </c>
      <c r="C16" s="140" t="s">
        <v>80</v>
      </c>
      <c r="D16" s="142" t="s">
        <v>107</v>
      </c>
      <c r="E16" s="142" t="s">
        <v>107</v>
      </c>
      <c r="F16" s="156">
        <v>2</v>
      </c>
      <c r="G16" s="152">
        <f>IFERROR(VLOOKUP($A$3:$A$144,'APR-2026'!$A$4:$ABX$112,MATCH('FY-(26-27)Q1'!$G$2:$H$2,'APR-2026'!$A$2:$BY$2,0),0),0)</f>
        <v>803317</v>
      </c>
      <c r="H16" s="154">
        <f>IFERROR(VLOOKUP($A$3:$A$144,'APR-2026'!$A$4:$ABX$112,MATCH('FY-(26-27)Q1'!$G$2:$H$2,'APR-2026'!$A$2:$BY$2,0),0),0)</f>
        <v>4.0165850000000001</v>
      </c>
      <c r="I16" s="152">
        <f>IFERROR(VLOOKUP($A$3:$A$144,'MAY-2026'!$A$4:$ACP$113,MATCH('FY-(26-27)Q1'!$I$2:$J$2,'MAY-2026'!$A$2:$CQ$2,0),0),0)</f>
        <v>0</v>
      </c>
      <c r="J16" s="154">
        <f>IFERROR(VLOOKUP($A$3:$A$144,'MAY-2026'!$A$4:$ACP$113,MATCH('FY-(26-27)Q1'!$I$2:$J$2,'MAY-2026'!$A$2:$CQ$2,0),0),0)</f>
        <v>0</v>
      </c>
      <c r="K16" s="152">
        <f>IFERROR(VLOOKUP($A$3:$A$144,'JUNE-2026'!$A$4:$ADJ$113,MATCH('FY-(26-27)Q1'!$K$2:$L$2,'JUNE-2026'!$A$2:$DK$2,0),0),0)</f>
        <v>0</v>
      </c>
      <c r="L16" s="154">
        <f>IFERROR(VLOOKUP($A$3:$A$144,'JUNE-2026'!$A$4:$ADJ$113,MATCH('FY-(26-27)Q1'!$K$2:$L$2,'JUNE-2026'!$A$2:$DK$2,0),0),0)</f>
        <v>0</v>
      </c>
      <c r="M16" s="71">
        <f t="shared" si="10"/>
        <v>803317</v>
      </c>
      <c r="N16" s="165">
        <f t="shared" si="11"/>
        <v>4.0165850000000001</v>
      </c>
      <c r="O16" s="214"/>
      <c r="P16" s="152">
        <f>IFERROR(VLOOKUP($A$3:$A$144,'FY-(26-27)Q2'!$A$4:$ABW$124,MATCH('FY-(26-27)Q1'!$P$2:$Q$2,'FY-(26-27)Q2'!$A$2:$BX$2,0),0),0)</f>
        <v>0</v>
      </c>
      <c r="Q16" s="154">
        <f>IFERROR(VLOOKUP($A$3:$A$144,'FY-(26-27)Q2'!$A$4:$ABW$124,MATCH('FY-(26-27)Q1'!$P$2:$Q$2,'FY-(26-27)Q2'!$A$2:$BX$2,0),0),0)</f>
        <v>0</v>
      </c>
      <c r="R16" s="158"/>
      <c r="S16" s="152">
        <f>IFERROR(VLOOKUP($A$3:$A$144,'FY-(26-27)Q3'!$A$4:$ABW$117,MATCH('FY-(26-27)Q1'!$S$2:$T$2,'FY-(26-27)Q3'!$A$2:$BX$2,0),0),0)</f>
        <v>0</v>
      </c>
      <c r="T16" s="154">
        <f>IFERROR(VLOOKUP($A$3:$A$144,'FY-(26-27)Q3'!$A$4:$ABW$117,MATCH('FY-(26-27)Q1'!$S$2:$T$3,'FY-(26-27)Q3'!$A$2:$BX$2,0),0),0)</f>
        <v>0</v>
      </c>
      <c r="U16" s="158"/>
      <c r="V16" s="143"/>
      <c r="W16" s="149"/>
      <c r="X16" s="1"/>
      <c r="Y16" s="153">
        <f t="shared" si="4"/>
        <v>803317</v>
      </c>
      <c r="Z16" s="167">
        <f t="shared" si="5"/>
        <v>4.0165850000000001</v>
      </c>
    </row>
    <row r="17" spans="1:34" s="1" customFormat="1" ht="15" customHeight="1" x14ac:dyDescent="0.25">
      <c r="A17" s="142" t="s">
        <v>190</v>
      </c>
      <c r="B17" s="140" t="s">
        <v>182</v>
      </c>
      <c r="C17" s="140" t="s">
        <v>181</v>
      </c>
      <c r="D17" s="142" t="s">
        <v>112</v>
      </c>
      <c r="E17" s="142" t="s">
        <v>256</v>
      </c>
      <c r="F17" s="156">
        <v>3</v>
      </c>
      <c r="G17" s="152">
        <f>IFERROR(VLOOKUP($A$3:$A$144,'APR-2026'!$A$4:$ABX$112,MATCH('FY-(26-27)Q1'!$G$2:$H$2,'APR-2026'!$A$2:$BY$2,0),0),0)</f>
        <v>88900</v>
      </c>
      <c r="H17" s="154">
        <f>IFERROR(VLOOKUP($A$3:$A$144,'APR-2026'!$A$4:$ABX$112,MATCH('FY-(26-27)Q1'!$G$2:$H$2,'APR-2026'!$A$2:$BY$2,0),0),0)</f>
        <v>0.29633333333333328</v>
      </c>
      <c r="I17" s="152">
        <f>IFERROR(VLOOKUP($A$3:$A$144,'MAY-2026'!$A$4:$ACP$113,MATCH('FY-(26-27)Q1'!$I$2:$J$2,'MAY-2026'!$A$2:$CQ$2,0),0),0)</f>
        <v>-191000</v>
      </c>
      <c r="J17" s="154">
        <f>IFERROR(VLOOKUP($A$3:$A$144,'MAY-2026'!$A$4:$ACP$113,MATCH('FY-(26-27)Q1'!$I$2:$J$2,'MAY-2026'!$A$2:$CQ$2,0),0),0)</f>
        <v>-0.6366666666666666</v>
      </c>
      <c r="K17" s="152">
        <f>IFERROR(VLOOKUP($A$3:$A$144,'JUNE-2026'!$A$4:$ADJ$113,MATCH('FY-(26-27)Q1'!$K$2:$L$2,'JUNE-2026'!$A$2:$DK$2,0),0),0)</f>
        <v>0</v>
      </c>
      <c r="L17" s="154">
        <f>IFERROR(VLOOKUP($A$3:$A$144,'JUNE-2026'!$A$4:$ADJ$113,MATCH('FY-(26-27)Q1'!$K$2:$L$2,'JUNE-2026'!$A$2:$DK$2,0),0),0)</f>
        <v>0</v>
      </c>
      <c r="M17" s="71">
        <f t="shared" si="10"/>
        <v>-102100</v>
      </c>
      <c r="N17" s="165">
        <f t="shared" si="11"/>
        <v>-0.34033333333333332</v>
      </c>
      <c r="O17" s="214"/>
      <c r="P17" s="152">
        <f>IFERROR(VLOOKUP($A$3:$A$144,'FY-(26-27)Q2'!$A$4:$ABW$124,MATCH('FY-(26-27)Q1'!$P$2:$Q$2,'FY-(26-27)Q2'!$A$2:$BX$2,0),0),0)</f>
        <v>0</v>
      </c>
      <c r="Q17" s="154">
        <f>IFERROR(VLOOKUP($A$3:$A$144,'FY-(26-27)Q2'!$A$4:$ABW$124,MATCH('FY-(26-27)Q1'!$P$2:$Q$2,'FY-(26-27)Q2'!$A$2:$BX$2,0),0),0)</f>
        <v>0</v>
      </c>
      <c r="R17" s="158"/>
      <c r="S17" s="152">
        <f>IFERROR(VLOOKUP($A$3:$A$144,'FY-(26-27)Q3'!$A$4:$ABW$117,MATCH('FY-(26-27)Q1'!$S$2:$T$2,'FY-(26-27)Q3'!$A$2:$BX$2,0),0),0)</f>
        <v>0</v>
      </c>
      <c r="T17" s="154">
        <f>IFERROR(VLOOKUP($A$3:$A$144,'FY-(26-27)Q3'!$A$4:$ABW$117,MATCH('FY-(26-27)Q1'!$S$2:$T$3,'FY-(26-27)Q3'!$A$2:$BX$2,0),0),0)</f>
        <v>0</v>
      </c>
      <c r="U17" s="158"/>
      <c r="V17" s="143"/>
      <c r="W17" s="149"/>
      <c r="X17" s="131"/>
      <c r="Y17" s="153">
        <f t="shared" si="4"/>
        <v>-102100</v>
      </c>
      <c r="Z17" s="167">
        <f t="shared" si="5"/>
        <v>-0.34033333333333332</v>
      </c>
    </row>
    <row r="18" spans="1:34" ht="15" customHeight="1" x14ac:dyDescent="0.25">
      <c r="A18" s="142" t="s">
        <v>189</v>
      </c>
      <c r="B18" s="140" t="s">
        <v>183</v>
      </c>
      <c r="C18" s="140" t="s">
        <v>179</v>
      </c>
      <c r="D18" s="142" t="s">
        <v>112</v>
      </c>
      <c r="E18" s="142" t="s">
        <v>256</v>
      </c>
      <c r="F18" s="156">
        <v>3</v>
      </c>
      <c r="G18" s="152">
        <f>IFERROR(VLOOKUP($A$3:$A$144,'APR-2026'!$A$4:$ABX$112,MATCH('FY-(26-27)Q1'!$G$2:$H$2,'APR-2026'!$A$2:$BY$2,0),0),0)</f>
        <v>63500</v>
      </c>
      <c r="H18" s="154">
        <f>IFERROR(VLOOKUP($A$3:$A$144,'APR-2026'!$A$4:$ABX$112,MATCH('FY-(26-27)Q1'!$G$2:$H$2,'APR-2026'!$A$2:$BY$2,0),0),0)</f>
        <v>0.2116666666666667</v>
      </c>
      <c r="I18" s="152">
        <f>IFERROR(VLOOKUP($A$3:$A$144,'MAY-2026'!$A$4:$ACP$113,MATCH('FY-(26-27)Q1'!$I$2:$J$2,'MAY-2026'!$A$2:$CQ$2,0),0),0)</f>
        <v>-244500</v>
      </c>
      <c r="J18" s="154">
        <f>IFERROR(VLOOKUP($A$3:$A$144,'MAY-2026'!$A$4:$ACP$113,MATCH('FY-(26-27)Q1'!$I$2:$J$2,'MAY-2026'!$A$2:$CQ$2,0),0),0)</f>
        <v>-0.81499999999999995</v>
      </c>
      <c r="K18" s="152">
        <f>IFERROR(VLOOKUP($A$3:$A$144,'JUNE-2026'!$A$4:$ADJ$113,MATCH('FY-(26-27)Q1'!$K$2:$L$2,'JUNE-2026'!$A$2:$DK$2,0),0),0)</f>
        <v>0</v>
      </c>
      <c r="L18" s="154">
        <f>IFERROR(VLOOKUP($A$3:$A$144,'JUNE-2026'!$A$4:$ADJ$113,MATCH('FY-(26-27)Q1'!$K$2:$L$2,'JUNE-2026'!$A$2:$DK$2,0),0),0)</f>
        <v>0</v>
      </c>
      <c r="M18" s="71">
        <f t="shared" si="10"/>
        <v>-181000</v>
      </c>
      <c r="N18" s="165">
        <f t="shared" si="11"/>
        <v>-0.60333333333333328</v>
      </c>
      <c r="O18" s="214"/>
      <c r="P18" s="152">
        <f>IFERROR(VLOOKUP($A$3:$A$144,'FY-(26-27)Q2'!$A$4:$ABW$124,MATCH('FY-(26-27)Q1'!$P$2:$Q$2,'FY-(26-27)Q2'!$A$2:$BX$2,0),0),0)</f>
        <v>0</v>
      </c>
      <c r="Q18" s="154">
        <f>IFERROR(VLOOKUP($A$3:$A$144,'FY-(26-27)Q2'!$A$4:$ABW$124,MATCH('FY-(26-27)Q1'!$P$2:$Q$2,'FY-(26-27)Q2'!$A$2:$BX$2,0),0),0)</f>
        <v>0</v>
      </c>
      <c r="R18" s="158"/>
      <c r="S18" s="152">
        <f>IFERROR(VLOOKUP($A$3:$A$144,'FY-(26-27)Q3'!$A$4:$ABW$117,MATCH('FY-(26-27)Q1'!$S$2:$T$2,'FY-(26-27)Q3'!$A$2:$BX$2,0),0),0)</f>
        <v>0</v>
      </c>
      <c r="T18" s="154">
        <f>IFERROR(VLOOKUP($A$3:$A$144,'FY-(26-27)Q3'!$A$4:$ABW$117,MATCH('FY-(26-27)Q1'!$S$2:$T$3,'FY-(26-27)Q3'!$A$2:$BX$2,0),0),0)</f>
        <v>0</v>
      </c>
      <c r="U18" s="158"/>
      <c r="V18" s="143"/>
      <c r="W18" s="149"/>
      <c r="X18" s="1"/>
      <c r="Y18" s="153">
        <f t="shared" si="4"/>
        <v>-181000</v>
      </c>
      <c r="Z18" s="167">
        <f t="shared" si="5"/>
        <v>-0.60333333333333328</v>
      </c>
    </row>
    <row r="19" spans="1:34" ht="15" customHeight="1" x14ac:dyDescent="0.25">
      <c r="A19" s="36" t="s">
        <v>123</v>
      </c>
      <c r="B19" s="34" t="s">
        <v>122</v>
      </c>
      <c r="C19" s="34" t="s">
        <v>239</v>
      </c>
      <c r="D19" s="39" t="s">
        <v>116</v>
      </c>
      <c r="E19" s="39" t="s">
        <v>256</v>
      </c>
      <c r="F19" s="117">
        <v>1</v>
      </c>
      <c r="G19" s="152">
        <f>IFERROR(VLOOKUP($A$3:$A$144,'APR-2026'!$A$4:$ABX$112,MATCH('FY-(26-27)Q1'!$G$2:$H$2,'APR-2026'!$A$2:$BY$2,0),0),0)</f>
        <v>460500</v>
      </c>
      <c r="H19" s="154">
        <f>IFERROR(VLOOKUP($A$3:$A$144,'APR-2026'!$A$4:$ABX$112,MATCH('FY-(26-27)Q1'!$G$2:$H$2,'APR-2026'!$A$2:$BY$2,0),0),0)</f>
        <v>1.5349999999999999</v>
      </c>
      <c r="I19" s="152">
        <f>IFERROR(VLOOKUP($A$3:$A$144,'MAY-2026'!$A$4:$ACP$113,MATCH('FY-(26-27)Q1'!$I$2:$J$2,'MAY-2026'!$A$2:$CQ$2,0),0),0)</f>
        <v>-255000</v>
      </c>
      <c r="J19" s="154">
        <f>IFERROR(VLOOKUP($A$3:$A$144,'MAY-2026'!$A$4:$ACP$113,MATCH('FY-(26-27)Q1'!$I$2:$J$2,'MAY-2026'!$A$2:$CQ$2,0),0),0)</f>
        <v>-0.63749999999999996</v>
      </c>
      <c r="K19" s="152">
        <f>IFERROR(VLOOKUP($A$3:$A$144,'JUNE-2026'!$A$4:$ADJ$113,MATCH('FY-(26-27)Q1'!$K$2:$L$2,'JUNE-2026'!$A$2:$DK$2,0),0),0)</f>
        <v>0</v>
      </c>
      <c r="L19" s="154">
        <f>IFERROR(VLOOKUP($A$3:$A$144,'JUNE-2026'!$A$4:$ADJ$113,MATCH('FY-(26-27)Q1'!$K$2:$L$2,'JUNE-2026'!$A$2:$DK$2,0),0),0)</f>
        <v>0</v>
      </c>
      <c r="M19" s="71">
        <f t="shared" si="10"/>
        <v>205500</v>
      </c>
      <c r="N19" s="165">
        <f t="shared" si="11"/>
        <v>0.89749999999999996</v>
      </c>
      <c r="O19" s="214"/>
      <c r="P19" s="152">
        <f>IFERROR(VLOOKUP($A$3:$A$144,'FY-(26-27)Q2'!$A$4:$ABW$124,MATCH('FY-(26-27)Q1'!$P$2:$Q$2,'FY-(26-27)Q2'!$A$2:$BX$2,0),0),0)</f>
        <v>0</v>
      </c>
      <c r="Q19" s="154">
        <f>IFERROR(VLOOKUP($A$3:$A$144,'FY-(26-27)Q2'!$A$4:$ABW$124,MATCH('FY-(26-27)Q1'!$P$2:$Q$2,'FY-(26-27)Q2'!$A$2:$BX$2,0),0),0)</f>
        <v>0</v>
      </c>
      <c r="R19" s="158"/>
      <c r="S19" s="152">
        <f>IFERROR(VLOOKUP($A$3:$A$144,'FY-(26-27)Q3'!$A$4:$ABW$117,MATCH('FY-(26-27)Q1'!$S$2:$T$2,'FY-(26-27)Q3'!$A$2:$BX$2,0),0),0)</f>
        <v>0</v>
      </c>
      <c r="T19" s="154">
        <f>IFERROR(VLOOKUP($A$3:$A$144,'FY-(26-27)Q3'!$A$4:$ABW$117,MATCH('FY-(26-27)Q1'!$S$2:$T$3,'FY-(26-27)Q3'!$A$2:$BX$2,0),0),0)</f>
        <v>0</v>
      </c>
      <c r="U19" s="158"/>
      <c r="V19" s="45"/>
      <c r="W19" s="72"/>
      <c r="Y19" s="153">
        <f t="shared" si="4"/>
        <v>205500</v>
      </c>
      <c r="Z19" s="167">
        <f t="shared" si="5"/>
        <v>0.89749999999999996</v>
      </c>
    </row>
    <row r="20" spans="1:34" ht="15" customHeight="1" x14ac:dyDescent="0.25">
      <c r="A20" s="36" t="s">
        <v>137</v>
      </c>
      <c r="B20" s="34" t="s">
        <v>122</v>
      </c>
      <c r="C20" s="34" t="s">
        <v>136</v>
      </c>
      <c r="D20" s="142" t="s">
        <v>259</v>
      </c>
      <c r="E20" s="39" t="s">
        <v>256</v>
      </c>
      <c r="F20" s="117">
        <v>6</v>
      </c>
      <c r="G20" s="152">
        <f>IFERROR(VLOOKUP($A$3:$A$144,'APR-2026'!$A$4:$ABX$112,MATCH('FY-(26-27)Q1'!$G$2:$H$2,'APR-2026'!$A$2:$BY$2,0),0),0)</f>
        <v>-168658</v>
      </c>
      <c r="H20" s="154">
        <f>IFERROR(VLOOKUP($A$3:$A$144,'APR-2026'!$A$4:$ABX$112,MATCH('FY-(26-27)Q1'!$G$2:$H$2,'APR-2026'!$A$2:$BY$2,0),0),0)</f>
        <v>-3.3731599999999999</v>
      </c>
      <c r="I20" s="152">
        <f>IFERROR(VLOOKUP($A$3:$A$144,'MAY-2026'!$A$4:$ACP$113,MATCH('FY-(26-27)Q1'!$I$2:$J$2,'MAY-2026'!$A$2:$CQ$2,0),0),0)</f>
        <v>-103041</v>
      </c>
      <c r="J20" s="154">
        <f>IFERROR(VLOOKUP($A$3:$A$144,'MAY-2026'!$A$4:$ACP$113,MATCH('FY-(26-27)Q1'!$I$2:$J$2,'MAY-2026'!$A$2:$CQ$2,0),0),0)</f>
        <v>-0.171735</v>
      </c>
      <c r="K20" s="152">
        <f>IFERROR(VLOOKUP($A$3:$A$144,'JUNE-2026'!$A$4:$ADJ$113,MATCH('FY-(26-27)Q1'!$K$2:$L$2,'JUNE-2026'!$A$2:$DK$2,0),0),0)</f>
        <v>76365</v>
      </c>
      <c r="L20" s="154">
        <f>IFERROR(VLOOKUP($A$3:$A$144,'JUNE-2026'!$A$4:$ADJ$113,MATCH('FY-(26-27)Q1'!$K$2:$L$2,'JUNE-2026'!$A$2:$DK$2,0),0),0)</f>
        <v>0.127275</v>
      </c>
      <c r="M20" s="71">
        <f t="shared" si="10"/>
        <v>-195334</v>
      </c>
      <c r="N20" s="165">
        <f t="shared" si="11"/>
        <v>-3.4176199999999999</v>
      </c>
      <c r="O20" s="214"/>
      <c r="P20" s="152">
        <f>IFERROR(VLOOKUP($A$3:$A$144,'FY-(26-27)Q2'!$A$4:$ABW$124,MATCH('FY-(26-27)Q1'!$P$2:$Q$2,'FY-(26-27)Q2'!$A$2:$BX$2,0),0),0)</f>
        <v>395386</v>
      </c>
      <c r="Q20" s="154">
        <f>IFERROR(VLOOKUP($A$3:$A$144,'FY-(26-27)Q2'!$A$4:$ABW$124,MATCH('FY-(26-27)Q1'!$P$2:$Q$2,'FY-(26-27)Q2'!$A$2:$BX$2,0),0),0)</f>
        <v>0.65897666666666677</v>
      </c>
      <c r="R20" s="158"/>
      <c r="S20" s="152">
        <f>IFERROR(VLOOKUP($A$3:$A$144,'FY-(26-27)Q3'!$A$4:$ABW$117,MATCH('FY-(26-27)Q1'!$S$2:$T$2,'FY-(26-27)Q3'!$A$2:$BX$2,0),0),0)</f>
        <v>271199</v>
      </c>
      <c r="T20" s="154">
        <f>IFERROR(VLOOKUP($A$3:$A$144,'FY-(26-27)Q3'!$A$4:$ABW$117,MATCH('FY-(26-27)Q1'!$S$2:$T$3,'FY-(26-27)Q3'!$A$2:$BX$2,0),0),0)</f>
        <v>0</v>
      </c>
      <c r="U20" s="158"/>
      <c r="V20" s="45"/>
      <c r="W20" s="72"/>
      <c r="Y20" s="153">
        <f t="shared" si="4"/>
        <v>471251</v>
      </c>
      <c r="Z20" s="167">
        <f t="shared" si="5"/>
        <v>-2.7586433333333331</v>
      </c>
    </row>
    <row r="21" spans="1:34" s="131" customFormat="1" ht="15" customHeight="1" x14ac:dyDescent="0.25">
      <c r="A21" s="142" t="s">
        <v>42</v>
      </c>
      <c r="B21" s="140" t="s">
        <v>230</v>
      </c>
      <c r="C21" s="140" t="s">
        <v>85</v>
      </c>
      <c r="D21" s="142" t="s">
        <v>107</v>
      </c>
      <c r="E21" s="142" t="s">
        <v>107</v>
      </c>
      <c r="F21" s="156">
        <v>1</v>
      </c>
      <c r="G21" s="152">
        <f>IFERROR(VLOOKUP($A$3:$A$144,'APR-2026'!$A$4:$ABX$112,MATCH('FY-(26-27)Q1'!$G$2:$H$2,'APR-2026'!$A$2:$BY$2,0),0),0)</f>
        <v>4927</v>
      </c>
      <c r="H21" s="154">
        <f>IFERROR(VLOOKUP($A$3:$A$144,'APR-2026'!$A$4:$ABX$112,MATCH('FY-(26-27)Q1'!$G$2:$H$2,'APR-2026'!$A$2:$BY$2,0),0),0)</f>
        <v>4.9270000000000001E-2</v>
      </c>
      <c r="I21" s="152">
        <f>IFERROR(VLOOKUP($A$3:$A$144,'MAY-2026'!$A$4:$ACP$113,MATCH('FY-(26-27)Q1'!$I$2:$J$2,'MAY-2026'!$A$2:$CQ$2,0),0),0)</f>
        <v>1404</v>
      </c>
      <c r="J21" s="154">
        <f>IFERROR(VLOOKUP($A$3:$A$144,'MAY-2026'!$A$4:$ACP$113,MATCH('FY-(26-27)Q1'!$I$2:$J$2,'MAY-2026'!$A$2:$CQ$2,0),0),0)</f>
        <v>1.404E-2</v>
      </c>
      <c r="K21" s="152">
        <f>IFERROR(VLOOKUP($A$3:$A$144,'JUNE-2026'!$A$4:$ADJ$113,MATCH('FY-(26-27)Q1'!$K$2:$L$2,'JUNE-2026'!$A$2:$DK$2,0),0),0)</f>
        <v>-2652</v>
      </c>
      <c r="L21" s="154">
        <f>IFERROR(VLOOKUP($A$3:$A$144,'JUNE-2026'!$A$4:$ADJ$113,MATCH('FY-(26-27)Q1'!$K$2:$L$2,'JUNE-2026'!$A$2:$DK$2,0),0),0)</f>
        <v>-2.6519999999999998E-2</v>
      </c>
      <c r="M21" s="71">
        <f t="shared" si="10"/>
        <v>3679</v>
      </c>
      <c r="N21" s="165">
        <f t="shared" si="11"/>
        <v>3.6790000000000003E-2</v>
      </c>
      <c r="O21" s="214"/>
      <c r="P21" s="152">
        <f>IFERROR(VLOOKUP($A$3:$A$144,'FY-(26-27)Q2'!$A$4:$ABW$124,MATCH('FY-(26-27)Q1'!$P$2:$Q$2,'FY-(26-27)Q2'!$A$2:$BX$2,0),0),0)</f>
        <v>-1104</v>
      </c>
      <c r="Q21" s="154">
        <f>IFERROR(VLOOKUP($A$3:$A$144,'FY-(26-27)Q2'!$A$4:$ABW$124,MATCH('FY-(26-27)Q1'!$P$2:$Q$2,'FY-(26-27)Q2'!$A$2:$BX$2,0),0),0)</f>
        <v>-1.1039999999999994E-2</v>
      </c>
      <c r="R21" s="158"/>
      <c r="S21" s="152">
        <f>IFERROR(VLOOKUP($A$3:$A$144,'FY-(26-27)Q3'!$A$4:$ABW$117,MATCH('FY-(26-27)Q1'!$S$2:$T$2,'FY-(26-27)Q3'!$A$2:$BX$2,0),0),0)</f>
        <v>-12948</v>
      </c>
      <c r="T21" s="154">
        <f>IFERROR(VLOOKUP($A$3:$A$144,'FY-(26-27)Q3'!$A$4:$ABW$117,MATCH('FY-(26-27)Q1'!$S$2:$T$3,'FY-(26-27)Q3'!$A$2:$BX$2,0),0),0)</f>
        <v>0</v>
      </c>
      <c r="U21" s="158"/>
      <c r="V21" s="143"/>
      <c r="W21" s="149"/>
      <c r="Y21" s="153">
        <f t="shared" si="4"/>
        <v>-10373</v>
      </c>
      <c r="Z21" s="167">
        <f t="shared" si="5"/>
        <v>2.5750000000000009E-2</v>
      </c>
    </row>
    <row r="22" spans="1:34" ht="15" customHeight="1" x14ac:dyDescent="0.25">
      <c r="A22" s="35" t="s">
        <v>83</v>
      </c>
      <c r="B22" s="34" t="s">
        <v>230</v>
      </c>
      <c r="C22" s="34" t="s">
        <v>82</v>
      </c>
      <c r="D22" s="39" t="s">
        <v>107</v>
      </c>
      <c r="E22" s="39" t="s">
        <v>107</v>
      </c>
      <c r="F22" s="117">
        <v>1</v>
      </c>
      <c r="G22" s="152">
        <f>IFERROR(VLOOKUP($A$3:$A$144,'APR-2026'!$A$4:$ABX$112,MATCH('FY-(26-27)Q1'!$G$2:$H$2,'APR-2026'!$A$2:$BY$2,0),0),0)</f>
        <v>1240967</v>
      </c>
      <c r="H22" s="154">
        <f>IFERROR(VLOOKUP($A$3:$A$144,'APR-2026'!$A$4:$ABX$112,MATCH('FY-(26-27)Q1'!$G$2:$H$2,'APR-2026'!$A$2:$BY$2,0),0),0)</f>
        <v>12.40967</v>
      </c>
      <c r="I22" s="152">
        <f>IFERROR(VLOOKUP($A$3:$A$144,'MAY-2026'!$A$4:$ACP$113,MATCH('FY-(26-27)Q1'!$I$2:$J$2,'MAY-2026'!$A$2:$CQ$2,0),0),0)</f>
        <v>0</v>
      </c>
      <c r="J22" s="154">
        <f>IFERROR(VLOOKUP($A$3:$A$144,'MAY-2026'!$A$4:$ACP$113,MATCH('FY-(26-27)Q1'!$I$2:$J$2,'MAY-2026'!$A$2:$CQ$2,0),0),0)</f>
        <v>0</v>
      </c>
      <c r="K22" s="152">
        <f>IFERROR(VLOOKUP($A$3:$A$144,'JUNE-2026'!$A$4:$ADJ$113,MATCH('FY-(26-27)Q1'!$K$2:$L$2,'JUNE-2026'!$A$2:$DK$2,0),0),0)</f>
        <v>0</v>
      </c>
      <c r="L22" s="154">
        <f>IFERROR(VLOOKUP($A$3:$A$144,'JUNE-2026'!$A$4:$ADJ$113,MATCH('FY-(26-27)Q1'!$K$2:$L$2,'JUNE-2026'!$A$2:$DK$2,0),0),0)</f>
        <v>0</v>
      </c>
      <c r="M22" s="71">
        <f t="shared" si="10"/>
        <v>1240967</v>
      </c>
      <c r="N22" s="165">
        <f t="shared" si="11"/>
        <v>12.40967</v>
      </c>
      <c r="O22" s="214"/>
      <c r="P22" s="152">
        <f>IFERROR(VLOOKUP($A$3:$A$144,'FY-(26-27)Q2'!$A$4:$ABW$124,MATCH('FY-(26-27)Q1'!$P$2:$Q$2,'FY-(26-27)Q2'!$A$2:$BX$2,0),0),0)</f>
        <v>0</v>
      </c>
      <c r="Q22" s="154">
        <f>IFERROR(VLOOKUP($A$3:$A$144,'FY-(26-27)Q2'!$A$4:$ABW$124,MATCH('FY-(26-27)Q1'!$P$2:$Q$2,'FY-(26-27)Q2'!$A$2:$BX$2,0),0),0)</f>
        <v>0</v>
      </c>
      <c r="R22" s="158"/>
      <c r="S22" s="152">
        <f>IFERROR(VLOOKUP($A$3:$A$144,'FY-(26-27)Q3'!$A$4:$ABW$117,MATCH('FY-(26-27)Q1'!$S$2:$T$2,'FY-(26-27)Q3'!$A$2:$BX$2,0),0),0)</f>
        <v>0</v>
      </c>
      <c r="T22" s="154">
        <f>IFERROR(VLOOKUP($A$3:$A$144,'FY-(26-27)Q3'!$A$4:$ABW$117,MATCH('FY-(26-27)Q1'!$S$2:$T$3,'FY-(26-27)Q3'!$A$2:$BX$2,0),0),0)</f>
        <v>0</v>
      </c>
      <c r="U22" s="158"/>
      <c r="V22" s="45"/>
      <c r="W22" s="72"/>
      <c r="X22" s="131"/>
      <c r="Y22" s="153">
        <f t="shared" si="4"/>
        <v>1240967</v>
      </c>
      <c r="Z22" s="167">
        <f t="shared" si="5"/>
        <v>12.40967</v>
      </c>
      <c r="AA22" s="131"/>
      <c r="AB22" s="131"/>
      <c r="AC22" s="131"/>
      <c r="AD22" s="131"/>
      <c r="AE22" s="131"/>
      <c r="AF22" s="131"/>
      <c r="AG22" s="131"/>
      <c r="AH22" s="131"/>
    </row>
    <row r="23" spans="1:34" ht="15" customHeight="1" x14ac:dyDescent="0.25">
      <c r="A23" s="35" t="s">
        <v>212</v>
      </c>
      <c r="B23" s="34" t="s">
        <v>230</v>
      </c>
      <c r="C23" s="35" t="s">
        <v>12</v>
      </c>
      <c r="D23" s="37" t="s">
        <v>39</v>
      </c>
      <c r="E23" s="37" t="s">
        <v>256</v>
      </c>
      <c r="F23" s="116">
        <v>1</v>
      </c>
      <c r="G23" s="152">
        <f>IFERROR(VLOOKUP($A$3:$A$144,'APR-2026'!$A$4:$ABX$112,MATCH('FY-(26-27)Q1'!$G$2:$H$2,'APR-2026'!$A$2:$BY$2,0),0),0)</f>
        <v>0</v>
      </c>
      <c r="H23" s="154">
        <f>IFERROR(VLOOKUP($A$3:$A$144,'APR-2026'!$A$4:$ABX$112,MATCH('FY-(26-27)Q1'!$G$2:$H$2,'APR-2026'!$A$2:$BY$2,0),0),0)</f>
        <v>0</v>
      </c>
      <c r="I23" s="152">
        <f>IFERROR(VLOOKUP($A$3:$A$144,'MAY-2026'!$A$4:$ACP$113,MATCH('FY-(26-27)Q1'!$I$2:$J$2,'MAY-2026'!$A$2:$CQ$2,0),0),0)</f>
        <v>-35229</v>
      </c>
      <c r="J23" s="154">
        <f>IFERROR(VLOOKUP($A$3:$A$144,'MAY-2026'!$A$4:$ACP$113,MATCH('FY-(26-27)Q1'!$I$2:$J$2,'MAY-2026'!$A$2:$CQ$2,0),0),0)</f>
        <v>-0.35228999999999999</v>
      </c>
      <c r="K23" s="152">
        <f>IFERROR(VLOOKUP($A$3:$A$144,'JUNE-2026'!$A$4:$ADJ$113,MATCH('FY-(26-27)Q1'!$K$2:$L$2,'JUNE-2026'!$A$2:$DK$2,0),0),0)</f>
        <v>-232187</v>
      </c>
      <c r="L23" s="154">
        <f>IFERROR(VLOOKUP($A$3:$A$144,'JUNE-2026'!$A$4:$ADJ$113,MATCH('FY-(26-27)Q1'!$K$2:$L$2,'JUNE-2026'!$A$2:$DK$2,0),0),0)</f>
        <v>-2.3218700000000001</v>
      </c>
      <c r="M23" s="71">
        <f t="shared" si="10"/>
        <v>-267416</v>
      </c>
      <c r="N23" s="165">
        <f t="shared" si="11"/>
        <v>-2.6741600000000001</v>
      </c>
      <c r="O23" s="214"/>
      <c r="P23" s="152">
        <f>IFERROR(VLOOKUP($A$3:$A$144,'FY-(26-27)Q2'!$A$4:$ABW$124,MATCH('FY-(26-27)Q1'!$P$2:$Q$2,'FY-(26-27)Q2'!$A$2:$BX$2,0),0),0)</f>
        <v>16234</v>
      </c>
      <c r="Q23" s="154">
        <f>IFERROR(VLOOKUP($A$3:$A$144,'FY-(26-27)Q2'!$A$4:$ABW$124,MATCH('FY-(26-27)Q1'!$P$2:$Q$2,'FY-(26-27)Q2'!$A$2:$BX$2,0),0),0)</f>
        <v>6.4935999999999952E-2</v>
      </c>
      <c r="R23" s="158"/>
      <c r="S23" s="152">
        <f>IFERROR(VLOOKUP($A$3:$A$144,'FY-(26-27)Q3'!$A$4:$ABW$117,MATCH('FY-(26-27)Q1'!$S$2:$T$2,'FY-(26-27)Q3'!$A$2:$BX$2,0),0),0)</f>
        <v>90992</v>
      </c>
      <c r="T23" s="154">
        <f>IFERROR(VLOOKUP($A$3:$A$144,'FY-(26-27)Q3'!$A$4:$ABW$117,MATCH('FY-(26-27)Q1'!$S$2:$T$3,'FY-(26-27)Q3'!$A$2:$BX$2,0),0),0)</f>
        <v>0</v>
      </c>
      <c r="U23" s="158"/>
      <c r="V23" s="45"/>
      <c r="W23" s="72"/>
      <c r="Y23" s="153">
        <f t="shared" si="4"/>
        <v>-160190</v>
      </c>
      <c r="Z23" s="167">
        <f t="shared" si="5"/>
        <v>-2.6092240000000002</v>
      </c>
    </row>
    <row r="24" spans="1:34" ht="15" customHeight="1" x14ac:dyDescent="0.25">
      <c r="A24" s="35" t="s">
        <v>51</v>
      </c>
      <c r="B24" s="34" t="s">
        <v>230</v>
      </c>
      <c r="C24" s="34" t="s">
        <v>225</v>
      </c>
      <c r="D24" s="37" t="s">
        <v>39</v>
      </c>
      <c r="E24" s="37" t="s">
        <v>256</v>
      </c>
      <c r="F24" s="116">
        <v>1</v>
      </c>
      <c r="G24" s="152">
        <f>IFERROR(VLOOKUP($A$3:$A$144,'APR-2026'!$A$4:$ABX$112,MATCH('FY-(26-27)Q1'!$G$2:$H$2,'APR-2026'!$A$2:$BY$2,0),0),0)</f>
        <v>0</v>
      </c>
      <c r="H24" s="154">
        <f>IFERROR(VLOOKUP($A$3:$A$144,'APR-2026'!$A$4:$ABX$112,MATCH('FY-(26-27)Q1'!$G$2:$H$2,'APR-2026'!$A$2:$BY$2,0),0),0)</f>
        <v>0</v>
      </c>
      <c r="I24" s="152">
        <f>IFERROR(VLOOKUP($A$3:$A$144,'MAY-2026'!$A$4:$ACP$113,MATCH('FY-(26-27)Q1'!$I$2:$J$2,'MAY-2026'!$A$2:$CQ$2,0),0),0)</f>
        <v>-88900</v>
      </c>
      <c r="J24" s="154">
        <f>IFERROR(VLOOKUP($A$3:$A$144,'MAY-2026'!$A$4:$ACP$113,MATCH('FY-(26-27)Q1'!$I$2:$J$2,'MAY-2026'!$A$2:$CQ$2,0),0),0)</f>
        <v>-0.88900000000000001</v>
      </c>
      <c r="K24" s="152">
        <f>IFERROR(VLOOKUP($A$3:$A$144,'JUNE-2026'!$A$4:$ADJ$113,MATCH('FY-(26-27)Q1'!$K$2:$L$2,'JUNE-2026'!$A$2:$DK$2,0),0),0)</f>
        <v>0</v>
      </c>
      <c r="L24" s="154">
        <f>IFERROR(VLOOKUP($A$3:$A$144,'JUNE-2026'!$A$4:$ADJ$113,MATCH('FY-(26-27)Q1'!$K$2:$L$2,'JUNE-2026'!$A$2:$DK$2,0),0),0)</f>
        <v>0</v>
      </c>
      <c r="M24" s="71">
        <f t="shared" si="10"/>
        <v>-88900</v>
      </c>
      <c r="N24" s="165">
        <f t="shared" si="11"/>
        <v>-0.88900000000000001</v>
      </c>
      <c r="O24" s="214"/>
      <c r="P24" s="152">
        <f>IFERROR(VLOOKUP($A$3:$A$144,'FY-(26-27)Q2'!$A$4:$ABW$124,MATCH('FY-(26-27)Q1'!$P$2:$Q$2,'FY-(26-27)Q2'!$A$2:$BX$2,0),0),0)</f>
        <v>-114723</v>
      </c>
      <c r="Q24" s="154">
        <f>IFERROR(VLOOKUP($A$3:$A$144,'FY-(26-27)Q2'!$A$4:$ABW$124,MATCH('FY-(26-27)Q1'!$P$2:$Q$2,'FY-(26-27)Q2'!$A$2:$BX$2,0),0),0)</f>
        <v>-0.52146818181818178</v>
      </c>
      <c r="R24" s="158"/>
      <c r="S24" s="152">
        <f>IFERROR(VLOOKUP($A$3:$A$144,'FY-(26-27)Q3'!$A$4:$ABW$117,MATCH('FY-(26-27)Q1'!$S$2:$T$2,'FY-(26-27)Q3'!$A$2:$BX$2,0),0),0)</f>
        <v>121318</v>
      </c>
      <c r="T24" s="154">
        <f>IFERROR(VLOOKUP($A$3:$A$144,'FY-(26-27)Q3'!$A$4:$ABW$117,MATCH('FY-(26-27)Q1'!$S$2:$T$3,'FY-(26-27)Q3'!$A$2:$BX$2,0),0),0)</f>
        <v>0</v>
      </c>
      <c r="U24" s="158"/>
      <c r="V24" s="45"/>
      <c r="W24" s="72"/>
      <c r="Y24" s="153">
        <f t="shared" si="4"/>
        <v>-82305</v>
      </c>
      <c r="Z24" s="167">
        <f t="shared" si="5"/>
        <v>-1.4104681818181817</v>
      </c>
    </row>
    <row r="25" spans="1:34" ht="15" customHeight="1" x14ac:dyDescent="0.25">
      <c r="A25" s="35" t="s">
        <v>62</v>
      </c>
      <c r="B25" s="34" t="s">
        <v>230</v>
      </c>
      <c r="C25" s="34" t="s">
        <v>224</v>
      </c>
      <c r="D25" s="37" t="s">
        <v>39</v>
      </c>
      <c r="E25" s="37" t="s">
        <v>253</v>
      </c>
      <c r="F25" s="116">
        <v>1</v>
      </c>
      <c r="G25" s="152">
        <f>IFERROR(VLOOKUP($A$3:$A$144,'APR-2026'!$A$4:$ABX$112,MATCH('FY-(26-27)Q1'!$G$2:$H$2,'APR-2026'!$A$2:$BY$2,0),0),0)</f>
        <v>141000</v>
      </c>
      <c r="H25" s="154">
        <f>IFERROR(VLOOKUP($A$3:$A$144,'APR-2026'!$A$4:$ABX$112,MATCH('FY-(26-27)Q1'!$G$2:$H$2,'APR-2026'!$A$2:$BY$2,0),0),0)</f>
        <v>1.41</v>
      </c>
      <c r="I25" s="152">
        <f>IFERROR(VLOOKUP($A$3:$A$144,'MAY-2026'!$A$4:$ACP$113,MATCH('FY-(26-27)Q1'!$I$2:$J$2,'MAY-2026'!$A$2:$CQ$2,0),0),0)</f>
        <v>-66086</v>
      </c>
      <c r="J25" s="154">
        <f>IFERROR(VLOOKUP($A$3:$A$144,'MAY-2026'!$A$4:$ACP$113,MATCH('FY-(26-27)Q1'!$I$2:$J$2,'MAY-2026'!$A$2:$CQ$2,0),0),0)</f>
        <v>-0.66086</v>
      </c>
      <c r="K25" s="152">
        <f>IFERROR(VLOOKUP($A$3:$A$144,'JUNE-2026'!$A$4:$ADJ$113,MATCH('FY-(26-27)Q1'!$K$2:$L$2,'JUNE-2026'!$A$2:$DK$2,0),0),0)</f>
        <v>-8863</v>
      </c>
      <c r="L25" s="154">
        <f>IFERROR(VLOOKUP($A$3:$A$144,'JUNE-2026'!$A$4:$ADJ$113,MATCH('FY-(26-27)Q1'!$K$2:$L$2,'JUNE-2026'!$A$2:$DK$2,0),0),0)</f>
        <v>-8.863E-2</v>
      </c>
      <c r="M25" s="71">
        <f t="shared" si="10"/>
        <v>66051</v>
      </c>
      <c r="N25" s="165">
        <f t="shared" si="11"/>
        <v>0.66050999999999993</v>
      </c>
      <c r="O25" s="214"/>
      <c r="P25" s="152">
        <f>IFERROR(VLOOKUP($A$3:$A$144,'FY-(26-27)Q2'!$A$4:$ABW$124,MATCH('FY-(26-27)Q1'!$P$2:$Q$2,'FY-(26-27)Q2'!$A$2:$BX$2,0),0),0)</f>
        <v>7426</v>
      </c>
      <c r="Q25" s="154">
        <f>IFERROR(VLOOKUP($A$3:$A$144,'FY-(26-27)Q2'!$A$4:$ABW$124,MATCH('FY-(26-27)Q1'!$P$2:$Q$2,'FY-(26-27)Q2'!$A$2:$BX$2,0),0),0)</f>
        <v>7.4260000000000007E-2</v>
      </c>
      <c r="R25" s="158"/>
      <c r="S25" s="152">
        <f>IFERROR(VLOOKUP($A$3:$A$144,'FY-(26-27)Q3'!$A$4:$ABW$117,MATCH('FY-(26-27)Q1'!$S$2:$T$2,'FY-(26-27)Q3'!$A$2:$BX$2,0),0),0)</f>
        <v>0</v>
      </c>
      <c r="T25" s="154">
        <f>IFERROR(VLOOKUP($A$3:$A$144,'FY-(26-27)Q3'!$A$4:$ABW$117,MATCH('FY-(26-27)Q1'!$S$2:$T$3,'FY-(26-27)Q3'!$A$2:$BX$2,0),0),0)</f>
        <v>0</v>
      </c>
      <c r="U25" s="158"/>
      <c r="V25" s="45"/>
      <c r="W25" s="72"/>
      <c r="Y25" s="153">
        <f t="shared" si="4"/>
        <v>73477</v>
      </c>
      <c r="Z25" s="167">
        <f t="shared" si="5"/>
        <v>0.73476999999999992</v>
      </c>
    </row>
    <row r="26" spans="1:34" ht="15" customHeight="1" x14ac:dyDescent="0.25">
      <c r="A26" s="35" t="s">
        <v>43</v>
      </c>
      <c r="B26" s="34" t="s">
        <v>84</v>
      </c>
      <c r="C26" s="34" t="s">
        <v>85</v>
      </c>
      <c r="D26" s="37" t="s">
        <v>107</v>
      </c>
      <c r="E26" s="37" t="s">
        <v>107</v>
      </c>
      <c r="F26" s="117">
        <v>1</v>
      </c>
      <c r="G26" s="152">
        <f>IFERROR(VLOOKUP($A$3:$A$144,'APR-2026'!$A$4:$ABX$112,MATCH('FY-(26-27)Q1'!$G$2:$H$2,'APR-2026'!$A$2:$BY$2,0),0),0)</f>
        <v>1642522</v>
      </c>
      <c r="H26" s="154">
        <f>IFERROR(VLOOKUP($A$3:$A$144,'APR-2026'!$A$4:$ABX$112,MATCH('FY-(26-27)Q1'!$G$2:$H$2,'APR-2026'!$A$2:$BY$2,0),0),0)</f>
        <v>16.425219999999999</v>
      </c>
      <c r="I26" s="152">
        <f>IFERROR(VLOOKUP($A$3:$A$144,'MAY-2026'!$A$4:$ACP$113,MATCH('FY-(26-27)Q1'!$I$2:$J$2,'MAY-2026'!$A$2:$CQ$2,0),0),0)</f>
        <v>42324</v>
      </c>
      <c r="J26" s="154">
        <f>IFERROR(VLOOKUP($A$3:$A$144,'MAY-2026'!$A$4:$ACP$113,MATCH('FY-(26-27)Q1'!$I$2:$J$2,'MAY-2026'!$A$2:$CQ$2,0),0),0)</f>
        <v>0.42324000000000001</v>
      </c>
      <c r="K26" s="152">
        <f>IFERROR(VLOOKUP($A$3:$A$144,'JUNE-2026'!$A$4:$ADJ$113,MATCH('FY-(26-27)Q1'!$K$2:$L$2,'JUNE-2026'!$A$2:$DK$2,0),0),0)</f>
        <v>30499</v>
      </c>
      <c r="L26" s="154">
        <f>IFERROR(VLOOKUP($A$3:$A$144,'JUNE-2026'!$A$4:$ADJ$113,MATCH('FY-(26-27)Q1'!$K$2:$L$2,'JUNE-2026'!$A$2:$DK$2,0),0),0)</f>
        <v>0.30498999999999998</v>
      </c>
      <c r="M26" s="71">
        <f t="shared" si="10"/>
        <v>1715345</v>
      </c>
      <c r="N26" s="165">
        <f t="shared" si="11"/>
        <v>17.153449999999999</v>
      </c>
      <c r="O26" s="214"/>
      <c r="P26" s="152">
        <f>IFERROR(VLOOKUP($A$3:$A$144,'FY-(26-27)Q2'!$A$4:$ABW$124,MATCH('FY-(26-27)Q1'!$P$2:$Q$2,'FY-(26-27)Q2'!$A$2:$BX$2,0),0),0)</f>
        <v>30836</v>
      </c>
      <c r="Q26" s="154">
        <f>IFERROR(VLOOKUP($A$3:$A$144,'FY-(26-27)Q2'!$A$4:$ABW$124,MATCH('FY-(26-27)Q1'!$P$2:$Q$2,'FY-(26-27)Q2'!$A$2:$BX$2,0),0),0)</f>
        <v>0.30836000000000002</v>
      </c>
      <c r="R26" s="158"/>
      <c r="S26" s="152">
        <f>IFERROR(VLOOKUP($A$3:$A$144,'FY-(26-27)Q3'!$A$4:$ABW$117,MATCH('FY-(26-27)Q1'!$S$2:$T$2,'FY-(26-27)Q3'!$A$2:$BX$2,0),0),0)</f>
        <v>-13503</v>
      </c>
      <c r="T26" s="154">
        <f>IFERROR(VLOOKUP($A$3:$A$144,'FY-(26-27)Q3'!$A$4:$ABW$117,MATCH('FY-(26-27)Q1'!$S$2:$T$3,'FY-(26-27)Q3'!$A$2:$BX$2,0),0),0)</f>
        <v>0</v>
      </c>
      <c r="U26" s="158"/>
      <c r="V26" s="45"/>
      <c r="W26" s="72"/>
      <c r="Y26" s="153">
        <f t="shared" si="4"/>
        <v>1732678</v>
      </c>
      <c r="Z26" s="167">
        <f t="shared" si="5"/>
        <v>17.46181</v>
      </c>
    </row>
    <row r="27" spans="1:34" ht="15" customHeight="1" x14ac:dyDescent="0.25">
      <c r="A27" s="35" t="s">
        <v>44</v>
      </c>
      <c r="B27" s="34" t="s">
        <v>84</v>
      </c>
      <c r="C27" s="34" t="s">
        <v>172</v>
      </c>
      <c r="D27" s="37" t="s">
        <v>271</v>
      </c>
      <c r="E27" s="37" t="s">
        <v>256</v>
      </c>
      <c r="F27" s="117">
        <v>1</v>
      </c>
      <c r="G27" s="152">
        <f>IFERROR(VLOOKUP($A$3:$A$144,'APR-2026'!$A$4:$ABX$112,MATCH('FY-(26-27)Q1'!$G$2:$H$2,'APR-2026'!$A$2:$BY$2,0),0),0)</f>
        <v>10517</v>
      </c>
      <c r="H27" s="154">
        <f>IFERROR(VLOOKUP($A$3:$A$144,'APR-2026'!$A$4:$ABX$112,MATCH('FY-(26-27)Q1'!$G$2:$H$2,'APR-2026'!$A$2:$BY$2,0),0),0)</f>
        <v>0.10517</v>
      </c>
      <c r="I27" s="152">
        <f>IFERROR(VLOOKUP($A$3:$A$144,'MAY-2026'!$A$4:$ACP$113,MATCH('FY-(26-27)Q1'!$I$2:$J$2,'MAY-2026'!$A$2:$CQ$2,0),0),0)</f>
        <v>25727</v>
      </c>
      <c r="J27" s="154">
        <f>IFERROR(VLOOKUP($A$3:$A$144,'MAY-2026'!$A$4:$ACP$113,MATCH('FY-(26-27)Q1'!$I$2:$J$2,'MAY-2026'!$A$2:$CQ$2,0),0),0)</f>
        <v>0.25727</v>
      </c>
      <c r="K27" s="152">
        <f>IFERROR(VLOOKUP($A$3:$A$144,'JUNE-2026'!$A$4:$ADJ$113,MATCH('FY-(26-27)Q1'!$K$2:$L$2,'JUNE-2026'!$A$2:$DK$2,0),0),0)</f>
        <v>-71637</v>
      </c>
      <c r="L27" s="154">
        <f>IFERROR(VLOOKUP($A$3:$A$144,'JUNE-2026'!$A$4:$ADJ$113,MATCH('FY-(26-27)Q1'!$K$2:$L$2,'JUNE-2026'!$A$2:$DK$2,0),0),0)</f>
        <v>-0.71636999999999995</v>
      </c>
      <c r="M27" s="71">
        <f t="shared" si="10"/>
        <v>-35393</v>
      </c>
      <c r="N27" s="165">
        <f t="shared" si="11"/>
        <v>-0.35392999999999997</v>
      </c>
      <c r="O27" s="214"/>
      <c r="P27" s="152">
        <f>IFERROR(VLOOKUP($A$3:$A$144,'FY-(26-27)Q2'!$A$4:$ABW$124,MATCH('FY-(26-27)Q1'!$P$2:$Q$2,'FY-(26-27)Q2'!$A$2:$BX$2,0),0),0)</f>
        <v>0</v>
      </c>
      <c r="Q27" s="154">
        <f>IFERROR(VLOOKUP($A$3:$A$144,'FY-(26-27)Q2'!$A$4:$ABW$124,MATCH('FY-(26-27)Q1'!$P$2:$Q$2,'FY-(26-27)Q2'!$A$2:$BX$2,0),0),0)</f>
        <v>0</v>
      </c>
      <c r="R27" s="158"/>
      <c r="S27" s="152">
        <f>IFERROR(VLOOKUP($A$3:$A$144,'FY-(26-27)Q3'!$A$4:$ABW$117,MATCH('FY-(26-27)Q1'!$S$2:$T$2,'FY-(26-27)Q3'!$A$2:$BX$2,0),0),0)</f>
        <v>0</v>
      </c>
      <c r="T27" s="154">
        <f>IFERROR(VLOOKUP($A$3:$A$144,'FY-(26-27)Q3'!$A$4:$ABW$117,MATCH('FY-(26-27)Q1'!$S$2:$T$3,'FY-(26-27)Q3'!$A$2:$BX$2,0),0),0)</f>
        <v>0</v>
      </c>
      <c r="U27" s="158"/>
      <c r="V27" s="45"/>
      <c r="W27" s="72"/>
      <c r="Y27" s="153">
        <f t="shared" si="4"/>
        <v>-35393</v>
      </c>
      <c r="Z27" s="167">
        <f t="shared" si="5"/>
        <v>-0.35392999999999997</v>
      </c>
    </row>
    <row r="28" spans="1:34" ht="15" customHeight="1" x14ac:dyDescent="0.25">
      <c r="A28" s="35" t="s">
        <v>108</v>
      </c>
      <c r="B28" s="34" t="s">
        <v>84</v>
      </c>
      <c r="C28" s="34" t="s">
        <v>57</v>
      </c>
      <c r="D28" s="37"/>
      <c r="E28" s="37" t="s">
        <v>256</v>
      </c>
      <c r="F28" s="117">
        <v>1</v>
      </c>
      <c r="G28" s="152">
        <f>IFERROR(VLOOKUP($A$3:$A$144,'APR-2026'!$A$4:$ABX$112,MATCH('FY-(26-27)Q1'!$G$2:$H$2,'APR-2026'!$A$2:$BY$2,0),0),0)</f>
        <v>-45133</v>
      </c>
      <c r="H28" s="154">
        <f>IFERROR(VLOOKUP($A$3:$A$144,'APR-2026'!$A$4:$ABX$112,MATCH('FY-(26-27)Q1'!$G$2:$H$2,'APR-2026'!$A$2:$BY$2,0),0),0)</f>
        <v>-0.45133000000000001</v>
      </c>
      <c r="I28" s="152">
        <f>IFERROR(VLOOKUP($A$3:$A$144,'MAY-2026'!$A$4:$ACP$113,MATCH('FY-(26-27)Q1'!$I$2:$J$2,'MAY-2026'!$A$2:$CQ$2,0),0),0)</f>
        <v>-98600</v>
      </c>
      <c r="J28" s="154">
        <f>IFERROR(VLOOKUP($A$3:$A$144,'MAY-2026'!$A$4:$ACP$113,MATCH('FY-(26-27)Q1'!$I$2:$J$2,'MAY-2026'!$A$2:$CQ$2,0),0),0)</f>
        <v>-0.98599999999999999</v>
      </c>
      <c r="K28" s="152">
        <f>IFERROR(VLOOKUP($A$3:$A$144,'JUNE-2026'!$A$4:$ADJ$113,MATCH('FY-(26-27)Q1'!$K$2:$L$2,'JUNE-2026'!$A$2:$DK$2,0),0),0)</f>
        <v>-26270</v>
      </c>
      <c r="L28" s="154">
        <f>IFERROR(VLOOKUP($A$3:$A$144,'JUNE-2026'!$A$4:$ADJ$113,MATCH('FY-(26-27)Q1'!$K$2:$L$2,'JUNE-2026'!$A$2:$DK$2,0),0),0)</f>
        <v>-0.26269999999999999</v>
      </c>
      <c r="M28" s="71">
        <f t="shared" si="10"/>
        <v>-170003</v>
      </c>
      <c r="N28" s="165">
        <f t="shared" si="11"/>
        <v>-1.7000299999999999</v>
      </c>
      <c r="O28" s="214"/>
      <c r="P28" s="152">
        <f>IFERROR(VLOOKUP($A$3:$A$144,'FY-(26-27)Q2'!$A$4:$ABW$124,MATCH('FY-(26-27)Q1'!$P$2:$Q$2,'FY-(26-27)Q2'!$A$2:$BX$2,0),0),0)</f>
        <v>0</v>
      </c>
      <c r="Q28" s="154">
        <f>IFERROR(VLOOKUP($A$3:$A$144,'FY-(26-27)Q2'!$A$4:$ABW$124,MATCH('FY-(26-27)Q1'!$P$2:$Q$2,'FY-(26-27)Q2'!$A$2:$BX$2,0),0),0)</f>
        <v>0</v>
      </c>
      <c r="R28" s="158"/>
      <c r="S28" s="152">
        <f>IFERROR(VLOOKUP($A$3:$A$144,'FY-(26-27)Q3'!$A$4:$ABW$117,MATCH('FY-(26-27)Q1'!$S$2:$T$2,'FY-(26-27)Q3'!$A$2:$BX$2,0),0),0)</f>
        <v>0</v>
      </c>
      <c r="T28" s="154">
        <f>IFERROR(VLOOKUP($A$3:$A$144,'FY-(26-27)Q3'!$A$4:$ABW$117,MATCH('FY-(26-27)Q1'!$S$2:$T$3,'FY-(26-27)Q3'!$A$2:$BX$2,0),0),0)</f>
        <v>0</v>
      </c>
      <c r="U28" s="158"/>
      <c r="V28" s="45"/>
      <c r="W28" s="72"/>
      <c r="Y28" s="153">
        <f t="shared" si="4"/>
        <v>-170003</v>
      </c>
      <c r="Z28" s="167">
        <f t="shared" si="5"/>
        <v>-1.7000299999999999</v>
      </c>
    </row>
    <row r="29" spans="1:34" ht="15" customHeight="1" x14ac:dyDescent="0.25">
      <c r="A29" s="35" t="s">
        <v>94</v>
      </c>
      <c r="B29" s="34" t="s">
        <v>230</v>
      </c>
      <c r="C29" s="34" t="s">
        <v>8</v>
      </c>
      <c r="D29" s="37" t="s">
        <v>39</v>
      </c>
      <c r="E29" s="37" t="s">
        <v>256</v>
      </c>
      <c r="F29" s="117">
        <v>1</v>
      </c>
      <c r="G29" s="152">
        <f>IFERROR(VLOOKUP($A$3:$A$144,'APR-2026'!$A$4:$ABX$112,MATCH('FY-(26-27)Q1'!$G$2:$H$2,'APR-2026'!$A$2:$BY$2,0),0),0)</f>
        <v>100262</v>
      </c>
      <c r="H29" s="154">
        <f>IFERROR(VLOOKUP($A$3:$A$144,'APR-2026'!$A$4:$ABX$112,MATCH('FY-(26-27)Q1'!$G$2:$H$2,'APR-2026'!$A$2:$BY$2,0),0),0)</f>
        <v>1.0026200000000001</v>
      </c>
      <c r="I29" s="152">
        <f>IFERROR(VLOOKUP($A$3:$A$144,'MAY-2026'!$A$4:$ACP$113,MATCH('FY-(26-27)Q1'!$I$2:$J$2,'MAY-2026'!$A$2:$CQ$2,0),0),0)</f>
        <v>-159139</v>
      </c>
      <c r="J29" s="154">
        <f>IFERROR(VLOOKUP($A$3:$A$144,'MAY-2026'!$A$4:$ACP$113,MATCH('FY-(26-27)Q1'!$I$2:$J$2,'MAY-2026'!$A$2:$CQ$2,0),0),0)</f>
        <v>-1.5913900000000001</v>
      </c>
      <c r="K29" s="152">
        <f>IFERROR(VLOOKUP($A$3:$A$144,'JUNE-2026'!$A$4:$ADJ$113,MATCH('FY-(26-27)Q1'!$K$2:$L$2,'JUNE-2026'!$A$2:$DK$2,0),0),0)</f>
        <v>5762</v>
      </c>
      <c r="L29" s="154">
        <f>IFERROR(VLOOKUP($A$3:$A$144,'JUNE-2026'!$A$4:$ADJ$113,MATCH('FY-(26-27)Q1'!$K$2:$L$2,'JUNE-2026'!$A$2:$DK$2,0),0),0)</f>
        <v>5.7619999999999998E-2</v>
      </c>
      <c r="M29" s="71">
        <f t="shared" si="10"/>
        <v>-53115</v>
      </c>
      <c r="N29" s="165">
        <f t="shared" si="11"/>
        <v>-0.53115000000000001</v>
      </c>
      <c r="O29" s="214"/>
      <c r="P29" s="152">
        <f>IFERROR(VLOOKUP($A$3:$A$144,'FY-(26-27)Q2'!$A$4:$ABW$124,MATCH('FY-(26-27)Q1'!$P$2:$Q$2,'FY-(26-27)Q2'!$A$2:$BX$2,0),0),0)</f>
        <v>0</v>
      </c>
      <c r="Q29" s="154">
        <f>IFERROR(VLOOKUP($A$3:$A$144,'FY-(26-27)Q2'!$A$4:$ABW$124,MATCH('FY-(26-27)Q1'!$P$2:$Q$2,'FY-(26-27)Q2'!$A$2:$BX$2,0),0),0)</f>
        <v>0</v>
      </c>
      <c r="R29" s="158"/>
      <c r="S29" s="152">
        <f>IFERROR(VLOOKUP($A$3:$A$144,'FY-(26-27)Q3'!$A$4:$ABW$117,MATCH('FY-(26-27)Q1'!$S$2:$T$2,'FY-(26-27)Q3'!$A$2:$BX$2,0),0),0)</f>
        <v>0</v>
      </c>
      <c r="T29" s="154">
        <f>IFERROR(VLOOKUP($A$3:$A$144,'FY-(26-27)Q3'!$A$4:$ABW$117,MATCH('FY-(26-27)Q1'!$S$2:$T$3,'FY-(26-27)Q3'!$A$2:$BX$2,0),0),0)</f>
        <v>0</v>
      </c>
      <c r="U29" s="158"/>
      <c r="V29" s="45"/>
      <c r="W29" s="72"/>
      <c r="Y29" s="153">
        <f t="shared" si="4"/>
        <v>-53115</v>
      </c>
      <c r="Z29" s="167">
        <f t="shared" si="5"/>
        <v>-0.53115000000000001</v>
      </c>
    </row>
    <row r="30" spans="1:34" ht="15" customHeight="1" x14ac:dyDescent="0.25">
      <c r="A30" s="35" t="s">
        <v>24</v>
      </c>
      <c r="B30" s="34" t="s">
        <v>73</v>
      </c>
      <c r="C30" s="34" t="s">
        <v>58</v>
      </c>
      <c r="D30" s="37" t="s">
        <v>20</v>
      </c>
      <c r="E30" s="37" t="s">
        <v>256</v>
      </c>
      <c r="F30" s="116">
        <v>2.5</v>
      </c>
      <c r="G30" s="152">
        <f>IFERROR(VLOOKUP($A$3:$A$144,'APR-2026'!$A$4:$ABX$112,MATCH('FY-(26-27)Q1'!$G$2:$H$2,'APR-2026'!$A$2:$BY$2,0),0),0)</f>
        <v>308939</v>
      </c>
      <c r="H30" s="154">
        <f>IFERROR(VLOOKUP($A$3:$A$144,'APR-2026'!$A$4:$ABX$112,MATCH('FY-(26-27)Q1'!$G$2:$H$2,'APR-2026'!$A$2:$BY$2,0),0),0)</f>
        <v>1.2357560000000001</v>
      </c>
      <c r="I30" s="152">
        <f>IFERROR(VLOOKUP($A$3:$A$144,'MAY-2026'!$A$4:$ACP$113,MATCH('FY-(26-27)Q1'!$I$2:$J$2,'MAY-2026'!$A$2:$CQ$2,0),0),0)</f>
        <v>79409</v>
      </c>
      <c r="J30" s="154">
        <f>IFERROR(VLOOKUP($A$3:$A$144,'MAY-2026'!$A$4:$ACP$113,MATCH('FY-(26-27)Q1'!$I$2:$J$2,'MAY-2026'!$A$2:$CQ$2,0),0),0)</f>
        <v>0.31763599999999997</v>
      </c>
      <c r="K30" s="152">
        <f>IFERROR(VLOOKUP($A$3:$A$144,'JUNE-2026'!$A$4:$ADJ$113,MATCH('FY-(26-27)Q1'!$K$2:$L$2,'JUNE-2026'!$A$2:$DK$2,0),0),0)</f>
        <v>-30135</v>
      </c>
      <c r="L30" s="154">
        <f>IFERROR(VLOOKUP($A$3:$A$144,'JUNE-2026'!$A$4:$ADJ$113,MATCH('FY-(26-27)Q1'!$K$2:$L$2,'JUNE-2026'!$A$2:$DK$2,0),0),0)</f>
        <v>-0.12053999999999999</v>
      </c>
      <c r="M30" s="71">
        <f t="shared" si="10"/>
        <v>358213</v>
      </c>
      <c r="N30" s="165">
        <f t="shared" si="11"/>
        <v>1.432852</v>
      </c>
      <c r="O30" s="214"/>
      <c r="P30" s="152">
        <f>IFERROR(VLOOKUP($A$3:$A$144,'FY-(26-27)Q2'!$A$4:$ABW$124,MATCH('FY-(26-27)Q1'!$P$2:$Q$2,'FY-(26-27)Q2'!$A$2:$BX$2,0),0),0)</f>
        <v>20055</v>
      </c>
      <c r="Q30" s="154">
        <f>IFERROR(VLOOKUP($A$3:$A$144,'FY-(26-27)Q2'!$A$4:$ABW$124,MATCH('FY-(26-27)Q1'!$P$2:$Q$2,'FY-(26-27)Q2'!$A$2:$BX$2,0),0),0)</f>
        <v>8.0220000000000014E-2</v>
      </c>
      <c r="R30" s="158"/>
      <c r="S30" s="152">
        <f>IFERROR(VLOOKUP($A$3:$A$144,'FY-(26-27)Q3'!$A$4:$ABW$117,MATCH('FY-(26-27)Q1'!$S$2:$T$2,'FY-(26-27)Q3'!$A$2:$BX$2,0),0),0)</f>
        <v>586068</v>
      </c>
      <c r="T30" s="154">
        <f>IFERROR(VLOOKUP($A$3:$A$144,'FY-(26-27)Q3'!$A$4:$ABW$117,MATCH('FY-(26-27)Q1'!$S$2:$T$3,'FY-(26-27)Q3'!$A$2:$BX$2,0),0),0)</f>
        <v>0</v>
      </c>
      <c r="U30" s="158"/>
      <c r="V30" s="45"/>
      <c r="W30" s="72"/>
      <c r="Y30" s="153">
        <f t="shared" si="4"/>
        <v>964336</v>
      </c>
      <c r="Z30" s="167">
        <f t="shared" si="5"/>
        <v>1.513072</v>
      </c>
    </row>
    <row r="31" spans="1:34" ht="15" customHeight="1" x14ac:dyDescent="0.25">
      <c r="A31" s="35" t="s">
        <v>23</v>
      </c>
      <c r="B31" s="34" t="s">
        <v>74</v>
      </c>
      <c r="C31" s="34" t="s">
        <v>59</v>
      </c>
      <c r="D31" s="37" t="s">
        <v>3</v>
      </c>
      <c r="E31" s="37" t="s">
        <v>256</v>
      </c>
      <c r="F31" s="116">
        <v>4</v>
      </c>
      <c r="G31" s="152">
        <f>IFERROR(VLOOKUP($A$3:$A$144,'APR-2026'!$A$4:$ABX$112,MATCH('FY-(26-27)Q1'!$G$2:$H$2,'APR-2026'!$A$2:$BY$2,0),0),0)</f>
        <v>405124</v>
      </c>
      <c r="H31" s="154">
        <f>IFERROR(VLOOKUP($A$3:$A$144,'APR-2026'!$A$4:$ABX$112,MATCH('FY-(26-27)Q1'!$G$2:$H$2,'APR-2026'!$A$2:$BY$2,0),0),0)</f>
        <v>1.01281</v>
      </c>
      <c r="I31" s="152">
        <f>IFERROR(VLOOKUP($A$3:$A$144,'MAY-2026'!$A$4:$ACP$113,MATCH('FY-(26-27)Q1'!$I$2:$J$2,'MAY-2026'!$A$2:$CQ$2,0),0),0)</f>
        <v>-290952</v>
      </c>
      <c r="J31" s="154">
        <f>IFERROR(VLOOKUP($A$3:$A$144,'MAY-2026'!$A$4:$ACP$113,MATCH('FY-(26-27)Q1'!$I$2:$J$2,'MAY-2026'!$A$2:$CQ$2,0),0),0)</f>
        <v>-0.72738000000000003</v>
      </c>
      <c r="K31" s="152">
        <f>IFERROR(VLOOKUP($A$3:$A$144,'JUNE-2026'!$A$4:$ADJ$113,MATCH('FY-(26-27)Q1'!$K$2:$L$2,'JUNE-2026'!$A$2:$DK$2,0),0),0)</f>
        <v>556291</v>
      </c>
      <c r="L31" s="154">
        <f>IFERROR(VLOOKUP($A$3:$A$144,'JUNE-2026'!$A$4:$ADJ$113,MATCH('FY-(26-27)Q1'!$K$2:$L$2,'JUNE-2026'!$A$2:$DK$2,0),0),0)</f>
        <v>1.3907274999999999</v>
      </c>
      <c r="M31" s="71">
        <f t="shared" si="10"/>
        <v>670463</v>
      </c>
      <c r="N31" s="165">
        <f t="shared" si="11"/>
        <v>1.6761575</v>
      </c>
      <c r="O31" s="214"/>
      <c r="P31" s="152">
        <f>IFERROR(VLOOKUP($A$3:$A$144,'FY-(26-27)Q2'!$A$4:$ABW$124,MATCH('FY-(26-27)Q1'!$P$2:$Q$2,'FY-(26-27)Q2'!$A$2:$BX$2,0),0),0)</f>
        <v>208990</v>
      </c>
      <c r="Q31" s="154">
        <f>IFERROR(VLOOKUP($A$3:$A$144,'FY-(26-27)Q2'!$A$4:$ABW$124,MATCH('FY-(26-27)Q1'!$P$2:$Q$2,'FY-(26-27)Q2'!$A$2:$BX$2,0),0),0)</f>
        <v>0.52247499999999991</v>
      </c>
      <c r="R31" s="158"/>
      <c r="S31" s="152">
        <f>IFERROR(VLOOKUP($A$3:$A$144,'FY-(26-27)Q3'!$A$4:$ABW$117,MATCH('FY-(26-27)Q1'!$S$2:$T$2,'FY-(26-27)Q3'!$A$2:$BX$2,0),0),0)</f>
        <v>566424</v>
      </c>
      <c r="T31" s="154">
        <f>IFERROR(VLOOKUP($A$3:$A$144,'FY-(26-27)Q3'!$A$4:$ABW$117,MATCH('FY-(26-27)Q1'!$S$2:$T$3,'FY-(26-27)Q3'!$A$2:$BX$2,0),0),0)</f>
        <v>0</v>
      </c>
      <c r="U31" s="158"/>
      <c r="V31" s="45"/>
      <c r="W31" s="72"/>
      <c r="X31" s="1"/>
      <c r="Y31" s="153">
        <f t="shared" si="4"/>
        <v>1445877</v>
      </c>
      <c r="Z31" s="167">
        <f t="shared" si="5"/>
        <v>2.1986325</v>
      </c>
    </row>
    <row r="32" spans="1:34" ht="15" customHeight="1" x14ac:dyDescent="0.25">
      <c r="A32" s="35" t="s">
        <v>110</v>
      </c>
      <c r="B32" s="34" t="s">
        <v>111</v>
      </c>
      <c r="C32" s="34" t="s">
        <v>109</v>
      </c>
      <c r="D32" s="37" t="s">
        <v>87</v>
      </c>
      <c r="E32" s="37" t="s">
        <v>256</v>
      </c>
      <c r="F32" s="116">
        <v>0.25</v>
      </c>
      <c r="G32" s="152">
        <f>IFERROR(VLOOKUP($A$3:$A$144,'APR-2026'!$A$4:$ABX$112,MATCH('FY-(26-27)Q1'!$G$2:$H$2,'APR-2026'!$A$2:$BY$2,0),0),0)</f>
        <v>35922</v>
      </c>
      <c r="H32" s="154">
        <f>IFERROR(VLOOKUP($A$3:$A$144,'APR-2026'!$A$4:$ABX$112,MATCH('FY-(26-27)Q1'!$G$2:$H$2,'APR-2026'!$A$2:$BY$2,0),0),0)</f>
        <v>0.32656363636363633</v>
      </c>
      <c r="I32" s="152">
        <f>IFERROR(VLOOKUP($A$3:$A$144,'MAY-2026'!$A$4:$ACP$113,MATCH('FY-(26-27)Q1'!$I$2:$J$2,'MAY-2026'!$A$2:$CQ$2,0),0),0)</f>
        <v>-178282</v>
      </c>
      <c r="J32" s="154">
        <f>IFERROR(VLOOKUP($A$3:$A$144,'MAY-2026'!$A$4:$ACP$113,MATCH('FY-(26-27)Q1'!$I$2:$J$2,'MAY-2026'!$A$2:$CQ$2,0),0),0)</f>
        <v>-1.6207454545454545</v>
      </c>
      <c r="K32" s="152">
        <f>IFERROR(VLOOKUP($A$3:$A$144,'JUNE-2026'!$A$4:$ADJ$113,MATCH('FY-(26-27)Q1'!$K$2:$L$2,'JUNE-2026'!$A$2:$DK$2,0),0),0)</f>
        <v>142078</v>
      </c>
      <c r="L32" s="154">
        <f>IFERROR(VLOOKUP($A$3:$A$144,'JUNE-2026'!$A$4:$ADJ$113,MATCH('FY-(26-27)Q1'!$K$2:$L$2,'JUNE-2026'!$A$2:$DK$2,0),0),0)</f>
        <v>1.2916181818181818</v>
      </c>
      <c r="M32" s="71">
        <f t="shared" si="10"/>
        <v>-282</v>
      </c>
      <c r="N32" s="165">
        <f t="shared" si="11"/>
        <v>-2.5636363636363235E-3</v>
      </c>
      <c r="O32" s="214"/>
      <c r="P32" s="152">
        <f>IFERROR(VLOOKUP($A$3:$A$144,'FY-(26-27)Q2'!$A$4:$ABW$124,MATCH('FY-(26-27)Q1'!$P$2:$Q$2,'FY-(26-27)Q2'!$A$2:$BX$2,0),0),0)</f>
        <v>57913</v>
      </c>
      <c r="Q32" s="154">
        <f>IFERROR(VLOOKUP($A$3:$A$144,'FY-(26-27)Q2'!$A$4:$ABW$124,MATCH('FY-(26-27)Q1'!$P$2:$Q$2,'FY-(26-27)Q2'!$A$2:$BX$2,0),0),0)</f>
        <v>0.52648181818181805</v>
      </c>
      <c r="R32" s="158"/>
      <c r="S32" s="152">
        <f>IFERROR(VLOOKUP($A$3:$A$144,'FY-(26-27)Q3'!$A$4:$ABW$117,MATCH('FY-(26-27)Q1'!$S$2:$T$2,'FY-(26-27)Q3'!$A$2:$BX$2,0),0),0)</f>
        <v>-150688</v>
      </c>
      <c r="T32" s="154">
        <f>IFERROR(VLOOKUP($A$3:$A$144,'FY-(26-27)Q3'!$A$4:$ABW$117,MATCH('FY-(26-27)Q1'!$S$2:$T$3,'FY-(26-27)Q3'!$A$2:$BX$2,0),0),0)</f>
        <v>0</v>
      </c>
      <c r="U32" s="158"/>
      <c r="V32" s="45"/>
      <c r="W32" s="72"/>
      <c r="X32" s="1"/>
      <c r="Y32" s="153">
        <f t="shared" si="4"/>
        <v>-93057</v>
      </c>
      <c r="Z32" s="167">
        <f t="shared" si="5"/>
        <v>0.52391818181818173</v>
      </c>
    </row>
    <row r="33" spans="1:34" s="1" customFormat="1" ht="15" customHeight="1" x14ac:dyDescent="0.25">
      <c r="A33" s="35" t="s">
        <v>148</v>
      </c>
      <c r="B33" s="34" t="s">
        <v>111</v>
      </c>
      <c r="C33" s="34" t="s">
        <v>128</v>
      </c>
      <c r="D33" s="37" t="s">
        <v>87</v>
      </c>
      <c r="E33" s="37" t="s">
        <v>256</v>
      </c>
      <c r="F33" s="116">
        <v>0.25</v>
      </c>
      <c r="G33" s="152">
        <f>IFERROR(VLOOKUP($A$3:$A$144,'APR-2026'!$A$4:$ABX$112,MATCH('FY-(26-27)Q1'!$G$2:$H$2,'APR-2026'!$A$2:$BY$2,0),0),0)</f>
        <v>10003</v>
      </c>
      <c r="H33" s="154">
        <f>IFERROR(VLOOKUP($A$3:$A$144,'APR-2026'!$A$4:$ABX$112,MATCH('FY-(26-27)Q1'!$G$2:$H$2,'APR-2026'!$A$2:$BY$2,0),0),0)</f>
        <v>0.40011999999999998</v>
      </c>
      <c r="I33" s="152">
        <f>IFERROR(VLOOKUP($A$3:$A$144,'MAY-2026'!$A$4:$ACP$113,MATCH('FY-(26-27)Q1'!$I$2:$J$2,'MAY-2026'!$A$2:$CQ$2,0),0),0)</f>
        <v>-76253</v>
      </c>
      <c r="J33" s="154">
        <f>IFERROR(VLOOKUP($A$3:$A$144,'MAY-2026'!$A$4:$ACP$113,MATCH('FY-(26-27)Q1'!$I$2:$J$2,'MAY-2026'!$A$2:$CQ$2,0),0),0)</f>
        <v>-3.0501200000000002</v>
      </c>
      <c r="K33" s="152">
        <f>IFERROR(VLOOKUP($A$3:$A$144,'JUNE-2026'!$A$4:$ADJ$113,MATCH('FY-(26-27)Q1'!$K$2:$L$2,'JUNE-2026'!$A$2:$DK$2,0),0),0)</f>
        <v>0</v>
      </c>
      <c r="L33" s="154">
        <f>IFERROR(VLOOKUP($A$3:$A$144,'JUNE-2026'!$A$4:$ADJ$113,MATCH('FY-(26-27)Q1'!$K$2:$L$2,'JUNE-2026'!$A$2:$DK$2,0),0),0)</f>
        <v>0</v>
      </c>
      <c r="M33" s="71">
        <f t="shared" si="10"/>
        <v>-66250</v>
      </c>
      <c r="N33" s="165">
        <f t="shared" si="11"/>
        <v>-2.6500000000000004</v>
      </c>
      <c r="O33" s="214"/>
      <c r="P33" s="152">
        <f>IFERROR(VLOOKUP($A$3:$A$144,'FY-(26-27)Q2'!$A$4:$ABW$124,MATCH('FY-(26-27)Q1'!$P$2:$Q$2,'FY-(26-27)Q2'!$A$2:$BX$2,0),0),0)</f>
        <v>0</v>
      </c>
      <c r="Q33" s="154">
        <f>IFERROR(VLOOKUP($A$3:$A$144,'FY-(26-27)Q2'!$A$4:$ABW$124,MATCH('FY-(26-27)Q1'!$P$2:$Q$2,'FY-(26-27)Q2'!$A$2:$BX$2,0),0),0)</f>
        <v>0</v>
      </c>
      <c r="R33" s="158"/>
      <c r="S33" s="152">
        <f>IFERROR(VLOOKUP($A$3:$A$144,'FY-(26-27)Q3'!$A$4:$ABW$117,MATCH('FY-(26-27)Q1'!$S$2:$T$2,'FY-(26-27)Q3'!$A$2:$BX$2,0),0),0)</f>
        <v>0</v>
      </c>
      <c r="T33" s="154">
        <f>IFERROR(VLOOKUP($A$3:$A$144,'FY-(26-27)Q3'!$A$4:$ABW$117,MATCH('FY-(26-27)Q1'!$S$2:$T$3,'FY-(26-27)Q3'!$A$2:$BX$2,0),0),0)</f>
        <v>0</v>
      </c>
      <c r="U33" s="158"/>
      <c r="V33" s="45"/>
      <c r="W33" s="72"/>
      <c r="X33"/>
      <c r="Y33" s="153">
        <f t="shared" si="4"/>
        <v>-66250</v>
      </c>
      <c r="Z33" s="167">
        <f t="shared" si="5"/>
        <v>-2.6500000000000004</v>
      </c>
      <c r="AB33"/>
      <c r="AC33"/>
      <c r="AD33"/>
      <c r="AE33"/>
      <c r="AF33"/>
      <c r="AG33"/>
      <c r="AH33"/>
    </row>
    <row r="34" spans="1:34" s="1" customFormat="1" ht="15" customHeight="1" x14ac:dyDescent="0.25">
      <c r="A34" s="35" t="s">
        <v>165</v>
      </c>
      <c r="B34" s="34" t="s">
        <v>167</v>
      </c>
      <c r="C34" s="34" t="s">
        <v>223</v>
      </c>
      <c r="D34" s="141" t="s">
        <v>261</v>
      </c>
      <c r="E34" s="37" t="s">
        <v>256</v>
      </c>
      <c r="F34" s="116">
        <v>0.5</v>
      </c>
      <c r="G34" s="152">
        <f>IFERROR(VLOOKUP($A$3:$A$144,'APR-2026'!$A$4:$ABX$112,MATCH('FY-(26-27)Q1'!$G$2:$H$2,'APR-2026'!$A$2:$BY$2,0),0),0)</f>
        <v>202276</v>
      </c>
      <c r="H34" s="154">
        <f>IFERROR(VLOOKUP($A$3:$A$144,'APR-2026'!$A$4:$ABX$112,MATCH('FY-(26-27)Q1'!$G$2:$H$2,'APR-2026'!$A$2:$BY$2,0),0),0)</f>
        <v>1.3485066666666665</v>
      </c>
      <c r="I34" s="152">
        <f>IFERROR(VLOOKUP($A$3:$A$144,'MAY-2026'!$A$4:$ACP$113,MATCH('FY-(26-27)Q1'!$I$2:$J$2,'MAY-2026'!$A$2:$CQ$2,0),0),0)</f>
        <v>-2293</v>
      </c>
      <c r="J34" s="154">
        <f>IFERROR(VLOOKUP($A$3:$A$144,'MAY-2026'!$A$4:$ACP$113,MATCH('FY-(26-27)Q1'!$I$2:$J$2,'MAY-2026'!$A$2:$CQ$2,0),0),0)</f>
        <v>-1.5286666666666669E-2</v>
      </c>
      <c r="K34" s="152">
        <f>IFERROR(VLOOKUP($A$3:$A$144,'JUNE-2026'!$A$4:$ADJ$113,MATCH('FY-(26-27)Q1'!$K$2:$L$2,'JUNE-2026'!$A$2:$DK$2,0),0),0)</f>
        <v>-705052</v>
      </c>
      <c r="L34" s="154">
        <f>IFERROR(VLOOKUP($A$3:$A$144,'JUNE-2026'!$A$4:$ADJ$113,MATCH('FY-(26-27)Q1'!$K$2:$L$2,'JUNE-2026'!$A$2:$DK$2,0),0),0)</f>
        <v>-4.7003466666666673</v>
      </c>
      <c r="M34" s="71">
        <f t="shared" si="10"/>
        <v>-505069</v>
      </c>
      <c r="N34" s="165">
        <f t="shared" si="11"/>
        <v>-3.3671266666666675</v>
      </c>
      <c r="O34" s="214"/>
      <c r="P34" s="152">
        <f>IFERROR(VLOOKUP($A$3:$A$144,'FY-(26-27)Q2'!$A$4:$ABW$124,MATCH('FY-(26-27)Q1'!$P$2:$Q$2,'FY-(26-27)Q2'!$A$2:$BX$2,0),0),0)</f>
        <v>19064</v>
      </c>
      <c r="Q34" s="154">
        <f>IFERROR(VLOOKUP($A$3:$A$144,'FY-(26-27)Q2'!$A$4:$ABW$124,MATCH('FY-(26-27)Q1'!$P$2:$Q$2,'FY-(26-27)Q2'!$A$2:$BX$2,0),0),0)</f>
        <v>0.12709333333333339</v>
      </c>
      <c r="R34" s="158"/>
      <c r="S34" s="152">
        <f>IFERROR(VLOOKUP($A$3:$A$144,'FY-(26-27)Q3'!$A$4:$ABW$117,MATCH('FY-(26-27)Q1'!$S$2:$T$2,'FY-(26-27)Q3'!$A$2:$BX$2,0),0),0)</f>
        <v>752036</v>
      </c>
      <c r="T34" s="154">
        <f>IFERROR(VLOOKUP($A$3:$A$144,'FY-(26-27)Q3'!$A$4:$ABW$117,MATCH('FY-(26-27)Q1'!$S$2:$T$3,'FY-(26-27)Q3'!$A$2:$BX$2,0),0),0)</f>
        <v>0</v>
      </c>
      <c r="U34" s="158"/>
      <c r="V34" s="45"/>
      <c r="W34" s="72"/>
      <c r="X34"/>
      <c r="Y34" s="153">
        <f t="shared" si="4"/>
        <v>266031</v>
      </c>
      <c r="Z34" s="167">
        <f t="shared" si="5"/>
        <v>-3.2400333333333342</v>
      </c>
    </row>
    <row r="35" spans="1:34" s="131" customFormat="1" ht="15" customHeight="1" x14ac:dyDescent="0.25">
      <c r="A35" s="141" t="s">
        <v>275</v>
      </c>
      <c r="B35" s="140" t="s">
        <v>164</v>
      </c>
      <c r="C35" s="140" t="s">
        <v>274</v>
      </c>
      <c r="D35" s="141" t="s">
        <v>152</v>
      </c>
      <c r="E35" s="141" t="s">
        <v>256</v>
      </c>
      <c r="F35" s="155">
        <v>0.1</v>
      </c>
      <c r="G35" s="152">
        <f>IFERROR(VLOOKUP($A$3:$A$144,'APR-2026'!$A$4:$ABX$112,MATCH('FY-(26-27)Q1'!$G$2:$H$2,'APR-2026'!$A$2:$BY$2,0),0),0)</f>
        <v>0</v>
      </c>
      <c r="H35" s="154">
        <f>IFERROR(VLOOKUP($A$3:$A$144,'APR-2026'!$A$4:$ABX$112,MATCH('FY-(26-27)Q1'!$G$2:$H$2,'APR-2026'!$A$2:$BY$2,0),0),0)</f>
        <v>0</v>
      </c>
      <c r="I35" s="152">
        <f>IFERROR(VLOOKUP($A$3:$A$144,'MAY-2026'!$A$4:$ACP$113,MATCH('FY-(26-27)Q1'!$I$2:$J$2,'MAY-2026'!$A$2:$CQ$2,0),0),0)</f>
        <v>0</v>
      </c>
      <c r="J35" s="154">
        <f>IFERROR(VLOOKUP($A$3:$A$144,'MAY-2026'!$A$4:$ACP$113,MATCH('FY-(26-27)Q1'!$I$2:$J$2,'MAY-2026'!$A$2:$CQ$2,0),0),0)</f>
        <v>0</v>
      </c>
      <c r="K35" s="152">
        <f>IFERROR(VLOOKUP($A$3:$A$144,'JUNE-2026'!$A$4:$ADJ$113,MATCH('FY-(26-27)Q1'!$K$2:$L$2,'JUNE-2026'!$A$2:$DK$2,0),0),0)</f>
        <v>-33738</v>
      </c>
      <c r="L35" s="154">
        <f>IFERROR(VLOOKUP($A$3:$A$144,'JUNE-2026'!$A$4:$ADJ$113,MATCH('FY-(26-27)Q1'!$K$2:$L$2,'JUNE-2026'!$A$2:$DK$2,0),0),0)</f>
        <v>-0.67476000000000003</v>
      </c>
      <c r="M35" s="71">
        <f t="shared" si="10"/>
        <v>-33738</v>
      </c>
      <c r="N35" s="165">
        <f t="shared" si="11"/>
        <v>-0.67476000000000003</v>
      </c>
      <c r="O35" s="214"/>
      <c r="P35" s="152">
        <f>IFERROR(VLOOKUP($A$3:$A$144,'FY-(26-27)Q2'!$A$4:$ABW$124,MATCH('FY-(26-27)Q1'!$P$2:$Q$2,'FY-(26-27)Q2'!$A$2:$BX$2,0),0),0)</f>
        <v>-18550</v>
      </c>
      <c r="Q35" s="154">
        <f>IFERROR(VLOOKUP($A$3:$A$144,'FY-(26-27)Q2'!$A$4:$ABW$124,MATCH('FY-(26-27)Q1'!$P$2:$Q$2,'FY-(26-27)Q2'!$A$2:$BX$2,0),0),0)</f>
        <v>-0.1855</v>
      </c>
      <c r="R35" s="158"/>
      <c r="S35" s="152">
        <f>IFERROR(VLOOKUP($A$3:$A$144,'FY-(26-27)Q3'!$A$4:$ABW$117,MATCH('FY-(26-27)Q1'!$S$2:$T$2,'FY-(26-27)Q3'!$A$2:$BX$2,0),0),0)</f>
        <v>0</v>
      </c>
      <c r="T35" s="154">
        <f>IFERROR(VLOOKUP($A$3:$A$144,'FY-(26-27)Q3'!$A$4:$ABW$117,MATCH('FY-(26-27)Q1'!$S$2:$T$3,'FY-(26-27)Q3'!$A$2:$BX$2,0),0),0)</f>
        <v>0</v>
      </c>
      <c r="U35" s="158"/>
      <c r="V35" s="143"/>
      <c r="W35" s="149"/>
      <c r="Y35" s="153">
        <f t="shared" si="4"/>
        <v>-52288</v>
      </c>
      <c r="Z35" s="167">
        <f t="shared" si="5"/>
        <v>-0.86026000000000002</v>
      </c>
    </row>
    <row r="36" spans="1:34" ht="15" customHeight="1" x14ac:dyDescent="0.25">
      <c r="A36" s="35" t="s">
        <v>32</v>
      </c>
      <c r="B36" s="34" t="s">
        <v>63</v>
      </c>
      <c r="C36" s="35" t="s">
        <v>21</v>
      </c>
      <c r="D36" s="37" t="s">
        <v>40</v>
      </c>
      <c r="E36" s="37" t="s">
        <v>256</v>
      </c>
      <c r="F36" s="116">
        <v>1.1000000000000001</v>
      </c>
      <c r="G36" s="152">
        <f>IFERROR(VLOOKUP($A$3:$A$144,'APR-2026'!$A$4:$ABX$112,MATCH('FY-(26-27)Q1'!$G$2:$H$2,'APR-2026'!$A$2:$BY$2,0),0),0)</f>
        <v>16344</v>
      </c>
      <c r="H36" s="154">
        <f>IFERROR(VLOOKUP($A$3:$A$144,'APR-2026'!$A$4:$ABX$112,MATCH('FY-(26-27)Q1'!$G$2:$H$2,'APR-2026'!$A$2:$BY$2,0),0),0)</f>
        <v>0.14858181818181818</v>
      </c>
      <c r="I36" s="152">
        <f>IFERROR(VLOOKUP($A$3:$A$144,'MAY-2026'!$A$4:$ACP$113,MATCH('FY-(26-27)Q1'!$I$2:$J$2,'MAY-2026'!$A$2:$CQ$2,0),0),0)</f>
        <v>-99601</v>
      </c>
      <c r="J36" s="154">
        <f>IFERROR(VLOOKUP($A$3:$A$144,'MAY-2026'!$A$4:$ACP$113,MATCH('FY-(26-27)Q1'!$I$2:$J$2,'MAY-2026'!$A$2:$CQ$2,0),0),0)</f>
        <v>-0.90546363636363636</v>
      </c>
      <c r="K36" s="152">
        <f>IFERROR(VLOOKUP($A$3:$A$144,'JUNE-2026'!$A$4:$ADJ$113,MATCH('FY-(26-27)Q1'!$K$2:$L$2,'JUNE-2026'!$A$2:$DK$2,0),0),0)</f>
        <v>-235683</v>
      </c>
      <c r="L36" s="154">
        <f>IFERROR(VLOOKUP($A$3:$A$144,'JUNE-2026'!$A$4:$ADJ$113,MATCH('FY-(26-27)Q1'!$K$2:$L$2,'JUNE-2026'!$A$2:$DK$2,0),0),0)</f>
        <v>-2.1425727272727269</v>
      </c>
      <c r="M36" s="71">
        <f t="shared" si="10"/>
        <v>-318940</v>
      </c>
      <c r="N36" s="165">
        <f t="shared" si="11"/>
        <v>-2.8994545454545451</v>
      </c>
      <c r="O36" s="214"/>
      <c r="P36" s="152">
        <f>IFERROR(VLOOKUP($A$3:$A$144,'FY-(26-27)Q2'!$A$4:$ABW$124,MATCH('FY-(26-27)Q1'!$P$2:$Q$2,'FY-(26-27)Q2'!$A$2:$BX$2,0),0),0)</f>
        <v>171313</v>
      </c>
      <c r="Q36" s="154">
        <f>IFERROR(VLOOKUP($A$3:$A$144,'FY-(26-27)Q2'!$A$4:$ABW$124,MATCH('FY-(26-27)Q1'!$P$2:$Q$2,'FY-(26-27)Q2'!$A$2:$BX$2,0),0),0)</f>
        <v>1.5573909090909086</v>
      </c>
      <c r="R36" s="158"/>
      <c r="S36" s="152">
        <f>IFERROR(VLOOKUP($A$3:$A$144,'FY-(26-27)Q3'!$A$4:$ABW$117,MATCH('FY-(26-27)Q1'!$S$2:$T$2,'FY-(26-27)Q3'!$A$2:$BX$2,0),0),0)</f>
        <v>-27265</v>
      </c>
      <c r="T36" s="154">
        <f>IFERROR(VLOOKUP($A$3:$A$144,'FY-(26-27)Q3'!$A$4:$ABW$117,MATCH('FY-(26-27)Q1'!$S$2:$T$3,'FY-(26-27)Q3'!$A$2:$BX$2,0),0),0)</f>
        <v>0</v>
      </c>
      <c r="U36" s="158"/>
      <c r="V36" s="45"/>
      <c r="W36" s="72"/>
      <c r="Y36" s="153">
        <f t="shared" si="4"/>
        <v>-174892</v>
      </c>
      <c r="Z36" s="167">
        <f t="shared" si="5"/>
        <v>-1.3420636363636365</v>
      </c>
      <c r="AB36" s="1"/>
      <c r="AC36" s="1"/>
      <c r="AD36" s="1"/>
      <c r="AE36" s="1"/>
      <c r="AF36" s="1"/>
      <c r="AG36" s="1"/>
      <c r="AH36" s="1"/>
    </row>
    <row r="37" spans="1:34" ht="15" customHeight="1" x14ac:dyDescent="0.25">
      <c r="A37" s="35" t="s">
        <v>117</v>
      </c>
      <c r="B37" s="34" t="s">
        <v>63</v>
      </c>
      <c r="C37" s="35" t="s">
        <v>231</v>
      </c>
      <c r="D37" s="37" t="s">
        <v>66</v>
      </c>
      <c r="E37" s="37" t="s">
        <v>256</v>
      </c>
      <c r="F37" s="116">
        <v>0.5</v>
      </c>
      <c r="G37" s="152">
        <f>IFERROR(VLOOKUP($A$3:$A$144,'APR-2026'!$A$4:$ABX$112,MATCH('FY-(26-27)Q1'!$G$2:$H$2,'APR-2026'!$A$2:$BY$2,0),0),0)</f>
        <v>-203101</v>
      </c>
      <c r="H37" s="154">
        <f>IFERROR(VLOOKUP($A$3:$A$144,'APR-2026'!$A$4:$ABX$112,MATCH('FY-(26-27)Q1'!$G$2:$H$2,'APR-2026'!$A$2:$BY$2,0),0),0)</f>
        <v>-4.0620200000000004</v>
      </c>
      <c r="I37" s="152">
        <f>IFERROR(VLOOKUP($A$3:$A$144,'MAY-2026'!$A$4:$ACP$113,MATCH('FY-(26-27)Q1'!$I$2:$J$2,'MAY-2026'!$A$2:$CQ$2,0),0),0)</f>
        <v>-128306</v>
      </c>
      <c r="J37" s="154">
        <f>IFERROR(VLOOKUP($A$3:$A$144,'MAY-2026'!$A$4:$ACP$113,MATCH('FY-(26-27)Q1'!$I$2:$J$2,'MAY-2026'!$A$2:$CQ$2,0),0),0)</f>
        <v>-2.5661200000000002</v>
      </c>
      <c r="K37" s="152">
        <f>IFERROR(VLOOKUP($A$3:$A$144,'JUNE-2026'!$A$4:$ADJ$113,MATCH('FY-(26-27)Q1'!$K$2:$L$2,'JUNE-2026'!$A$2:$DK$2,0),0),0)</f>
        <v>0</v>
      </c>
      <c r="L37" s="154">
        <f>IFERROR(VLOOKUP($A$3:$A$144,'JUNE-2026'!$A$4:$ADJ$113,MATCH('FY-(26-27)Q1'!$K$2:$L$2,'JUNE-2026'!$A$2:$DK$2,0),0),0)</f>
        <v>0</v>
      </c>
      <c r="M37" s="71">
        <f t="shared" si="10"/>
        <v>-331407</v>
      </c>
      <c r="N37" s="165">
        <f t="shared" si="11"/>
        <v>-6.6281400000000001</v>
      </c>
      <c r="O37" s="214"/>
      <c r="P37" s="152">
        <f>IFERROR(VLOOKUP($A$3:$A$144,'FY-(26-27)Q2'!$A$4:$ABW$124,MATCH('FY-(26-27)Q1'!$P$2:$Q$2,'FY-(26-27)Q2'!$A$2:$BX$2,0),0),0)</f>
        <v>0</v>
      </c>
      <c r="Q37" s="154">
        <f>IFERROR(VLOOKUP($A$3:$A$144,'FY-(26-27)Q2'!$A$4:$ABW$124,MATCH('FY-(26-27)Q1'!$P$2:$Q$2,'FY-(26-27)Q2'!$A$2:$BX$2,0),0),0)</f>
        <v>0</v>
      </c>
      <c r="R37" s="158"/>
      <c r="S37" s="152">
        <f>IFERROR(VLOOKUP($A$3:$A$144,'FY-(26-27)Q3'!$A$4:$ABW$117,MATCH('FY-(26-27)Q1'!$S$2:$T$2,'FY-(26-27)Q3'!$A$2:$BX$2,0),0),0)</f>
        <v>0</v>
      </c>
      <c r="T37" s="154">
        <f>IFERROR(VLOOKUP($A$3:$A$144,'FY-(26-27)Q3'!$A$4:$ABW$117,MATCH('FY-(26-27)Q1'!$S$2:$T$3,'FY-(26-27)Q3'!$A$2:$BX$2,0),0),0)</f>
        <v>0</v>
      </c>
      <c r="U37" s="158"/>
      <c r="V37" s="45"/>
      <c r="W37" s="72"/>
      <c r="Y37" s="153">
        <f t="shared" si="4"/>
        <v>-331407</v>
      </c>
      <c r="Z37" s="167">
        <f t="shared" si="5"/>
        <v>-6.6281400000000001</v>
      </c>
    </row>
    <row r="38" spans="1:34" ht="15" customHeight="1" x14ac:dyDescent="0.25">
      <c r="A38" s="35" t="s">
        <v>97</v>
      </c>
      <c r="B38" s="34" t="s">
        <v>68</v>
      </c>
      <c r="C38" s="34" t="s">
        <v>206</v>
      </c>
      <c r="D38" s="37" t="s">
        <v>107</v>
      </c>
      <c r="E38" s="37" t="s">
        <v>107</v>
      </c>
      <c r="F38" s="116">
        <v>2.2999999999999998</v>
      </c>
      <c r="G38" s="152">
        <f>IFERROR(VLOOKUP($A$3:$A$144,'APR-2026'!$A$4:$ABX$112,MATCH('FY-(26-27)Q1'!$G$2:$H$2,'APR-2026'!$A$2:$BY$2,0),0),0)</f>
        <v>3190697</v>
      </c>
      <c r="H38" s="154">
        <f>IFERROR(VLOOKUP($A$3:$A$144,'APR-2026'!$A$4:$ABX$112,MATCH('FY-(26-27)Q1'!$G$2:$H$2,'APR-2026'!$A$2:$BY$2,0),0),0)</f>
        <v>13.872595652173912</v>
      </c>
      <c r="I38" s="152">
        <f>IFERROR(VLOOKUP($A$3:$A$144,'MAY-2026'!$A$4:$ACP$113,MATCH('FY-(26-27)Q1'!$I$2:$J$2,'MAY-2026'!$A$2:$CQ$2,0),0),0)</f>
        <v>688029</v>
      </c>
      <c r="J38" s="154">
        <f>IFERROR(VLOOKUP($A$3:$A$144,'MAY-2026'!$A$4:$ACP$113,MATCH('FY-(26-27)Q1'!$I$2:$J$2,'MAY-2026'!$A$2:$CQ$2,0),0),0)</f>
        <v>2.9914304347826084</v>
      </c>
      <c r="K38" s="152">
        <f>IFERROR(VLOOKUP($A$3:$A$144,'JUNE-2026'!$A$4:$ADJ$113,MATCH('FY-(26-27)Q1'!$K$2:$L$2,'JUNE-2026'!$A$2:$DK$2,0),0),0)</f>
        <v>282377</v>
      </c>
      <c r="L38" s="154">
        <f>IFERROR(VLOOKUP($A$3:$A$144,'JUNE-2026'!$A$4:$ADJ$113,MATCH('FY-(26-27)Q1'!$K$2:$L$2,'JUNE-2026'!$A$2:$DK$2,0),0),0)</f>
        <v>1.2277260869565219</v>
      </c>
      <c r="M38" s="71">
        <f t="shared" si="10"/>
        <v>4161103</v>
      </c>
      <c r="N38" s="165">
        <f t="shared" si="11"/>
        <v>18.091752173913044</v>
      </c>
      <c r="O38" s="214"/>
      <c r="P38" s="152">
        <f>IFERROR(VLOOKUP($A$3:$A$144,'FY-(26-27)Q2'!$A$4:$ABW$124,MATCH('FY-(26-27)Q1'!$P$2:$Q$2,'FY-(26-27)Q2'!$A$2:$BX$2,0),0),0)</f>
        <v>-1258477</v>
      </c>
      <c r="Q38" s="154">
        <f>IFERROR(VLOOKUP($A$3:$A$144,'FY-(26-27)Q2'!$A$4:$ABW$124,MATCH('FY-(26-27)Q1'!$P$2:$Q$2,'FY-(26-27)Q2'!$A$2:$BX$2,0),0),0)</f>
        <v>-5.4716391304347844</v>
      </c>
      <c r="R38" s="158"/>
      <c r="S38" s="152">
        <f>IFERROR(VLOOKUP($A$3:$A$144,'FY-(26-27)Q3'!$A$4:$ABW$117,MATCH('FY-(26-27)Q1'!$S$2:$T$2,'FY-(26-27)Q3'!$A$2:$BX$2,0),0),0)</f>
        <v>-566479</v>
      </c>
      <c r="T38" s="154">
        <f>IFERROR(VLOOKUP($A$3:$A$144,'FY-(26-27)Q3'!$A$4:$ABW$117,MATCH('FY-(26-27)Q1'!$S$2:$T$3,'FY-(26-27)Q3'!$A$2:$BX$2,0),0),0)</f>
        <v>0</v>
      </c>
      <c r="U38" s="158"/>
      <c r="V38" s="45"/>
      <c r="W38" s="72"/>
      <c r="Y38" s="153">
        <f t="shared" si="4"/>
        <v>2336147</v>
      </c>
      <c r="Z38" s="167">
        <f t="shared" si="5"/>
        <v>12.620113043478259</v>
      </c>
    </row>
    <row r="39" spans="1:34" s="131" customFormat="1" ht="15" customHeight="1" x14ac:dyDescent="0.25">
      <c r="A39" s="141" t="s">
        <v>335</v>
      </c>
      <c r="B39" s="140" t="s">
        <v>68</v>
      </c>
      <c r="C39" s="140" t="s">
        <v>342</v>
      </c>
      <c r="D39" s="141" t="s">
        <v>334</v>
      </c>
      <c r="E39" s="141"/>
      <c r="F39" s="155">
        <v>0.2</v>
      </c>
      <c r="G39" s="152">
        <f>IFERROR(VLOOKUP($A$3:$A$144,'APR-2026'!$A$4:$ABX$112,MATCH('FY-(26-27)Q1'!$G$2:$H$2,'APR-2026'!$A$2:$BY$2,0),0),0)</f>
        <v>0</v>
      </c>
      <c r="H39" s="154">
        <f>IFERROR(VLOOKUP($A$3:$A$144,'APR-2026'!$A$4:$ABX$112,MATCH('FY-(26-27)Q1'!$G$2:$H$2,'APR-2026'!$A$2:$BY$2,0),0),0)</f>
        <v>0</v>
      </c>
      <c r="I39" s="152">
        <f>IFERROR(VLOOKUP($A$3:$A$144,'MAY-2026'!$A$4:$ACP$113,MATCH('FY-(26-27)Q1'!$I$2:$J$2,'MAY-2026'!$A$2:$CQ$2,0),0),0)</f>
        <v>0</v>
      </c>
      <c r="J39" s="154">
        <f>IFERROR(VLOOKUP($A$3:$A$144,'MAY-2026'!$A$4:$ACP$113,MATCH('FY-(26-27)Q1'!$I$2:$J$2,'MAY-2026'!$A$2:$CQ$2,0),0),0)</f>
        <v>0</v>
      </c>
      <c r="K39" s="152">
        <f>IFERROR(VLOOKUP($A$3:$A$144,'JUNE-2026'!$A$4:$ADJ$113,MATCH('FY-(26-27)Q1'!$K$2:$L$2,'JUNE-2026'!$A$2:$DK$2,0),0),0)</f>
        <v>0</v>
      </c>
      <c r="L39" s="154">
        <f>IFERROR(VLOOKUP($A$3:$A$144,'JUNE-2026'!$A$4:$ADJ$113,MATCH('FY-(26-27)Q1'!$K$2:$L$2,'JUNE-2026'!$A$2:$DK$2,0),0),0)</f>
        <v>0</v>
      </c>
      <c r="M39" s="71">
        <f t="shared" si="10"/>
        <v>0</v>
      </c>
      <c r="N39" s="165">
        <f t="shared" si="11"/>
        <v>0</v>
      </c>
      <c r="O39" s="214"/>
      <c r="P39" s="152">
        <f>IFERROR(VLOOKUP($A$3:$A$144,'FY-(26-27)Q2'!$A$4:$ABW$124,MATCH('FY-(26-27)Q1'!$P$2:$Q$2,'FY-(26-27)Q2'!$A$2:$BX$2,0),0),0)</f>
        <v>0</v>
      </c>
      <c r="Q39" s="154">
        <f>IFERROR(VLOOKUP($A$3:$A$144,'FY-(26-27)Q2'!$A$4:$ABW$124,MATCH('FY-(26-27)Q1'!$P$2:$Q$2,'FY-(26-27)Q2'!$A$2:$BX$2,0),0),0)</f>
        <v>0</v>
      </c>
      <c r="R39" s="158"/>
      <c r="S39" s="152">
        <f>IFERROR(VLOOKUP($A$3:$A$144,'FY-(26-27)Q3'!$A$4:$ABW$117,MATCH('FY-(26-27)Q1'!$S$2:$T$2,'FY-(26-27)Q3'!$A$2:$BX$2,0),0),0)</f>
        <v>188991</v>
      </c>
      <c r="T39" s="154">
        <f>IFERROR(VLOOKUP($A$3:$A$144,'FY-(26-27)Q3'!$A$4:$ABW$117,MATCH('FY-(26-27)Q1'!$S$2:$T$3,'FY-(26-27)Q3'!$A$2:$BX$2,0),0),0)</f>
        <v>0</v>
      </c>
      <c r="U39" s="158"/>
      <c r="V39" s="143"/>
      <c r="W39" s="149"/>
      <c r="Y39" s="153">
        <f t="shared" si="4"/>
        <v>188991</v>
      </c>
      <c r="Z39" s="167">
        <f t="shared" si="5"/>
        <v>0</v>
      </c>
    </row>
    <row r="40" spans="1:34" s="131" customFormat="1" ht="15" customHeight="1" x14ac:dyDescent="0.25">
      <c r="A40" s="141" t="s">
        <v>302</v>
      </c>
      <c r="B40" s="140" t="s">
        <v>297</v>
      </c>
      <c r="C40" s="140" t="s">
        <v>298</v>
      </c>
      <c r="D40" s="141"/>
      <c r="E40" s="141" t="s">
        <v>256</v>
      </c>
      <c r="F40" s="155">
        <v>0.2</v>
      </c>
      <c r="G40" s="152">
        <f>IFERROR(VLOOKUP($A$3:$A$144,'APR-2026'!$A$4:$ABX$112,MATCH('FY-(26-27)Q1'!$G$2:$H$2,'APR-2026'!$A$2:$BY$2,0),0),0)</f>
        <v>0</v>
      </c>
      <c r="H40" s="154">
        <f>IFERROR(VLOOKUP($A$3:$A$144,'APR-2026'!$A$4:$ABX$112,MATCH('FY-(26-27)Q1'!$G$2:$H$2,'APR-2026'!$A$2:$BY$2,0),0),0)</f>
        <v>0</v>
      </c>
      <c r="I40" s="152">
        <f>IFERROR(VLOOKUP($A$3:$A$144,'MAY-2026'!$A$4:$ACP$113,MATCH('FY-(26-27)Q1'!$I$2:$J$2,'MAY-2026'!$A$2:$CQ$2,0),0),0)</f>
        <v>0</v>
      </c>
      <c r="J40" s="154">
        <f>IFERROR(VLOOKUP($A$3:$A$144,'MAY-2026'!$A$4:$ACP$113,MATCH('FY-(26-27)Q1'!$I$2:$J$2,'MAY-2026'!$A$2:$CQ$2,0),0),0)</f>
        <v>0</v>
      </c>
      <c r="K40" s="152">
        <f>IFERROR(VLOOKUP($A$3:$A$144,'JUNE-2026'!$A$4:$ADJ$113,MATCH('FY-(26-27)Q1'!$K$2:$L$2,'JUNE-2026'!$A$2:$DK$2,0),0),0)</f>
        <v>0</v>
      </c>
      <c r="L40" s="154">
        <f>IFERROR(VLOOKUP($A$3:$A$144,'JUNE-2026'!$A$4:$ADJ$113,MATCH('FY-(26-27)Q1'!$K$2:$L$2,'JUNE-2026'!$A$2:$DK$2,0),0),0)</f>
        <v>0</v>
      </c>
      <c r="M40" s="71">
        <f t="shared" si="10"/>
        <v>0</v>
      </c>
      <c r="N40" s="165">
        <f t="shared" si="11"/>
        <v>0</v>
      </c>
      <c r="O40" s="214"/>
      <c r="P40" s="152">
        <f>IFERROR(VLOOKUP($A$3:$A$144,'FY-(26-27)Q2'!$A$4:$ABW$124,MATCH('FY-(26-27)Q1'!$P$2:$Q$2,'FY-(26-27)Q2'!$A$2:$BX$2,0),0),0)</f>
        <v>-43666</v>
      </c>
      <c r="Q40" s="154">
        <f>IFERROR(VLOOKUP($A$3:$A$144,'FY-(26-27)Q2'!$A$4:$ABW$124,MATCH('FY-(26-27)Q1'!$P$2:$Q$2,'FY-(26-27)Q2'!$A$2:$BX$2,0),0),0)</f>
        <v>-2.1833</v>
      </c>
      <c r="R40" s="158"/>
      <c r="S40" s="152">
        <f>IFERROR(VLOOKUP($A$3:$A$144,'FY-(26-27)Q3'!$A$4:$ABW$117,MATCH('FY-(26-27)Q1'!$S$2:$T$2,'FY-(26-27)Q3'!$A$2:$BX$2,0),0),0)</f>
        <v>-31804</v>
      </c>
      <c r="T40" s="154">
        <f>IFERROR(VLOOKUP($A$3:$A$144,'FY-(26-27)Q3'!$A$4:$ABW$117,MATCH('FY-(26-27)Q1'!$S$2:$T$3,'FY-(26-27)Q3'!$A$2:$BX$2,0),0),0)</f>
        <v>0</v>
      </c>
      <c r="U40" s="158"/>
      <c r="V40" s="143"/>
      <c r="W40" s="149"/>
      <c r="Y40" s="153">
        <f t="shared" si="4"/>
        <v>-75470</v>
      </c>
      <c r="Z40" s="167">
        <f t="shared" si="5"/>
        <v>-2.1833</v>
      </c>
    </row>
    <row r="41" spans="1:34" ht="15" customHeight="1" x14ac:dyDescent="0.25">
      <c r="A41" s="35" t="s">
        <v>29</v>
      </c>
      <c r="B41" s="34" t="s">
        <v>22</v>
      </c>
      <c r="C41" s="34" t="s">
        <v>151</v>
      </c>
      <c r="D41" s="37" t="s">
        <v>5</v>
      </c>
      <c r="E41" s="37" t="s">
        <v>256</v>
      </c>
      <c r="F41" s="116">
        <v>5</v>
      </c>
      <c r="G41" s="152">
        <f>IFERROR(VLOOKUP($A$3:$A$144,'APR-2026'!$A$4:$ABX$112,MATCH('FY-(26-27)Q1'!$G$2:$H$2,'APR-2026'!$A$2:$BY$2,0),0),0)</f>
        <v>1319283</v>
      </c>
      <c r="H41" s="154">
        <f>IFERROR(VLOOKUP($A$3:$A$144,'APR-2026'!$A$4:$ABX$112,MATCH('FY-(26-27)Q1'!$G$2:$H$2,'APR-2026'!$A$2:$BY$2,0),0),0)</f>
        <v>2.6385659999999995</v>
      </c>
      <c r="I41" s="152">
        <f>IFERROR(VLOOKUP($A$3:$A$144,'MAY-2026'!$A$4:$ACP$113,MATCH('FY-(26-27)Q1'!$I$2:$J$2,'MAY-2026'!$A$2:$CQ$2,0),0),0)</f>
        <v>841036</v>
      </c>
      <c r="J41" s="154">
        <f>IFERROR(VLOOKUP($A$3:$A$144,'MAY-2026'!$A$4:$ACP$113,MATCH('FY-(26-27)Q1'!$I$2:$J$2,'MAY-2026'!$A$2:$CQ$2,0),0),0)</f>
        <v>1.682072</v>
      </c>
      <c r="K41" s="152">
        <f>IFERROR(VLOOKUP($A$3:$A$144,'JUNE-2026'!$A$4:$ADJ$113,MATCH('FY-(26-27)Q1'!$K$2:$L$2,'JUNE-2026'!$A$2:$DK$2,0),0),0)</f>
        <v>906087</v>
      </c>
      <c r="L41" s="154">
        <f>IFERROR(VLOOKUP($A$3:$A$144,'JUNE-2026'!$A$4:$ADJ$113,MATCH('FY-(26-27)Q1'!$K$2:$L$2,'JUNE-2026'!$A$2:$DK$2,0),0),0)</f>
        <v>1.812174</v>
      </c>
      <c r="M41" s="71">
        <f t="shared" si="10"/>
        <v>3066406</v>
      </c>
      <c r="N41" s="165">
        <f t="shared" si="11"/>
        <v>6.1328119999999995</v>
      </c>
      <c r="O41" s="214"/>
      <c r="P41" s="152">
        <f>IFERROR(VLOOKUP($A$3:$A$144,'FY-(26-27)Q2'!$A$4:$ABW$124,MATCH('FY-(26-27)Q1'!$P$2:$Q$2,'FY-(26-27)Q2'!$A$2:$BX$2,0),0),0)</f>
        <v>-525352</v>
      </c>
      <c r="Q41" s="154">
        <f>IFERROR(VLOOKUP($A$3:$A$144,'FY-(26-27)Q2'!$A$4:$ABW$124,MATCH('FY-(26-27)Q1'!$P$2:$Q$2,'FY-(26-27)Q2'!$A$2:$BX$2,0),0),0)</f>
        <v>-1.0507040000000001</v>
      </c>
      <c r="R41" s="158"/>
      <c r="S41" s="152">
        <f>IFERROR(VLOOKUP($A$3:$A$144,'FY-(26-27)Q3'!$A$4:$ABW$117,MATCH('FY-(26-27)Q1'!$S$2:$T$2,'FY-(26-27)Q3'!$A$2:$BX$2,0),0),0)</f>
        <v>1808800</v>
      </c>
      <c r="T41" s="154">
        <f>IFERROR(VLOOKUP($A$3:$A$144,'FY-(26-27)Q3'!$A$4:$ABW$117,MATCH('FY-(26-27)Q1'!$S$2:$T$3,'FY-(26-27)Q3'!$A$2:$BX$2,0),0),0)</f>
        <v>0</v>
      </c>
      <c r="U41" s="158"/>
      <c r="V41" s="45"/>
      <c r="W41" s="72"/>
      <c r="Y41" s="153">
        <f t="shared" si="4"/>
        <v>4349854</v>
      </c>
      <c r="Z41" s="167">
        <f t="shared" si="5"/>
        <v>5.0821079999999998</v>
      </c>
    </row>
    <row r="42" spans="1:34" ht="15" customHeight="1" x14ac:dyDescent="0.25">
      <c r="A42" s="35" t="s">
        <v>28</v>
      </c>
      <c r="B42" s="34" t="s">
        <v>247</v>
      </c>
      <c r="C42" s="34" t="s">
        <v>121</v>
      </c>
      <c r="D42" s="37" t="s">
        <v>91</v>
      </c>
      <c r="E42" s="37" t="s">
        <v>256</v>
      </c>
      <c r="F42" s="116">
        <v>10</v>
      </c>
      <c r="G42" s="152">
        <f>IFERROR(VLOOKUP($A$3:$A$144,'APR-2026'!$A$4:$ABX$112,MATCH('FY-(26-27)Q1'!$G$2:$H$2,'APR-2026'!$A$2:$BY$2,0),0),0)</f>
        <v>2899700</v>
      </c>
      <c r="H42" s="154">
        <f>IFERROR(VLOOKUP($A$3:$A$144,'APR-2026'!$A$4:$ABX$112,MATCH('FY-(26-27)Q1'!$G$2:$H$2,'APR-2026'!$A$2:$BY$2,0),0),0)</f>
        <v>2.8997000000000002</v>
      </c>
      <c r="I42" s="152">
        <f>IFERROR(VLOOKUP($A$3:$A$144,'MAY-2026'!$A$4:$ACP$113,MATCH('FY-(26-27)Q1'!$I$2:$J$2,'MAY-2026'!$A$2:$CQ$2,0),0),0)</f>
        <v>-30465</v>
      </c>
      <c r="J42" s="154">
        <f>IFERROR(VLOOKUP($A$3:$A$144,'MAY-2026'!$A$4:$ACP$113,MATCH('FY-(26-27)Q1'!$I$2:$J$2,'MAY-2026'!$A$2:$CQ$2,0),0),0)</f>
        <v>-3.0464999999999999E-2</v>
      </c>
      <c r="K42" s="152">
        <f>IFERROR(VLOOKUP($A$3:$A$144,'JUNE-2026'!$A$4:$ADJ$113,MATCH('FY-(26-27)Q1'!$K$2:$L$2,'JUNE-2026'!$A$2:$DK$2,0),0),0)</f>
        <v>724171</v>
      </c>
      <c r="L42" s="154">
        <f>IFERROR(VLOOKUP($A$3:$A$144,'JUNE-2026'!$A$4:$ADJ$113,MATCH('FY-(26-27)Q1'!$K$2:$L$2,'JUNE-2026'!$A$2:$DK$2,0),0),0)</f>
        <v>0.72417100000000012</v>
      </c>
      <c r="M42" s="71">
        <f t="shared" si="10"/>
        <v>3593406</v>
      </c>
      <c r="N42" s="165">
        <f t="shared" si="11"/>
        <v>3.5934060000000003</v>
      </c>
      <c r="O42" s="214"/>
      <c r="P42" s="152">
        <f>IFERROR(VLOOKUP($A$3:$A$144,'FY-(26-27)Q2'!$A$4:$ABW$124,MATCH('FY-(26-27)Q1'!$P$2:$Q$2,'FY-(26-27)Q2'!$A$2:$BX$2,0),0),0)</f>
        <v>1687341</v>
      </c>
      <c r="Q42" s="154">
        <f>IFERROR(VLOOKUP($A$3:$A$144,'FY-(26-27)Q2'!$A$4:$ABW$124,MATCH('FY-(26-27)Q1'!$P$2:$Q$2,'FY-(26-27)Q2'!$A$2:$BX$2,0),0),0)</f>
        <v>1.687341</v>
      </c>
      <c r="R42" s="158"/>
      <c r="S42" s="152">
        <f>IFERROR(VLOOKUP($A$3:$A$144,'FY-(26-27)Q3'!$A$4:$ABW$117,MATCH('FY-(26-27)Q1'!$S$2:$T$2,'FY-(26-27)Q3'!$A$2:$BX$2,0),0),0)</f>
        <v>225891</v>
      </c>
      <c r="T42" s="154">
        <f>IFERROR(VLOOKUP($A$3:$A$144,'FY-(26-27)Q3'!$A$4:$ABW$117,MATCH('FY-(26-27)Q1'!$S$2:$T$3,'FY-(26-27)Q3'!$A$2:$BX$2,0),0),0)</f>
        <v>0</v>
      </c>
      <c r="U42" s="158"/>
      <c r="V42" s="45"/>
      <c r="W42" s="72"/>
      <c r="X42" s="131"/>
      <c r="Y42" s="153">
        <f t="shared" si="4"/>
        <v>5506638</v>
      </c>
      <c r="Z42" s="167">
        <f t="shared" si="5"/>
        <v>5.2807469999999999</v>
      </c>
      <c r="AB42" s="130"/>
    </row>
    <row r="43" spans="1:34" s="131" customFormat="1" ht="15" customHeight="1" x14ac:dyDescent="0.25">
      <c r="A43" s="141" t="s">
        <v>191</v>
      </c>
      <c r="B43" s="140" t="s">
        <v>184</v>
      </c>
      <c r="C43" s="140" t="s">
        <v>185</v>
      </c>
      <c r="D43" s="141" t="s">
        <v>91</v>
      </c>
      <c r="E43" s="141" t="s">
        <v>256</v>
      </c>
      <c r="F43" s="155">
        <v>13</v>
      </c>
      <c r="G43" s="152">
        <f>IFERROR(VLOOKUP($A$3:$A$144,'APR-2026'!$A$4:$ABX$112,MATCH('FY-(26-27)Q1'!$G$2:$H$2,'APR-2026'!$A$2:$BY$2,0),0),0)</f>
        <v>2457630</v>
      </c>
      <c r="H43" s="154">
        <f>IFERROR(VLOOKUP($A$3:$A$144,'APR-2026'!$A$4:$ABX$112,MATCH('FY-(26-27)Q1'!$G$2:$H$2,'APR-2026'!$A$2:$BY$2,0),0),0)</f>
        <v>2.45763</v>
      </c>
      <c r="I43" s="152">
        <f>IFERROR(VLOOKUP($A$3:$A$144,'MAY-2026'!$A$4:$ACP$113,MATCH('FY-(26-27)Q1'!$I$2:$J$2,'MAY-2026'!$A$2:$CQ$2,0),0),0)</f>
        <v>357271</v>
      </c>
      <c r="J43" s="154">
        <f>IFERROR(VLOOKUP($A$3:$A$144,'MAY-2026'!$A$4:$ACP$113,MATCH('FY-(26-27)Q1'!$I$2:$J$2,'MAY-2026'!$A$2:$CQ$2,0),0),0)</f>
        <v>0.27482384615384614</v>
      </c>
      <c r="K43" s="152">
        <f>IFERROR(VLOOKUP($A$3:$A$144,'JUNE-2026'!$A$4:$ADJ$113,MATCH('FY-(26-27)Q1'!$K$2:$L$2,'JUNE-2026'!$A$2:$DK$2,0),0),0)</f>
        <v>889184</v>
      </c>
      <c r="L43" s="154">
        <f>IFERROR(VLOOKUP($A$3:$A$144,'JUNE-2026'!$A$4:$ADJ$113,MATCH('FY-(26-27)Q1'!$K$2:$L$2,'JUNE-2026'!$A$2:$DK$2,0),0),0)</f>
        <v>0.6839876923076923</v>
      </c>
      <c r="M43" s="71">
        <f t="shared" si="10"/>
        <v>3704085</v>
      </c>
      <c r="N43" s="165">
        <f t="shared" si="11"/>
        <v>3.4164415384615383</v>
      </c>
      <c r="O43" s="214"/>
      <c r="P43" s="152">
        <f>IFERROR(VLOOKUP($A$3:$A$144,'FY-(26-27)Q2'!$A$4:$ABW$124,MATCH('FY-(26-27)Q1'!$P$2:$Q$2,'FY-(26-27)Q2'!$A$2:$BX$2,0),0),0)</f>
        <v>1736266</v>
      </c>
      <c r="Q43" s="154">
        <f>IFERROR(VLOOKUP($A$3:$A$144,'FY-(26-27)Q2'!$A$4:$ABW$124,MATCH('FY-(26-27)Q1'!$P$2:$Q$2,'FY-(26-27)Q2'!$A$2:$BX$2,0),0),0)</f>
        <v>1.335589230769231</v>
      </c>
      <c r="R43" s="158"/>
      <c r="S43" s="152">
        <f>IFERROR(VLOOKUP($A$3:$A$144,'FY-(26-27)Q3'!$A$4:$ABW$117,MATCH('FY-(26-27)Q1'!$S$2:$T$2,'FY-(26-27)Q3'!$A$2:$BX$2,0),0),0)</f>
        <v>0</v>
      </c>
      <c r="T43" s="154">
        <f>IFERROR(VLOOKUP($A$3:$A$144,'FY-(26-27)Q3'!$A$4:$ABW$117,MATCH('FY-(26-27)Q1'!$S$2:$T$3,'FY-(26-27)Q3'!$A$2:$BX$2,0),0),0)</f>
        <v>0</v>
      </c>
      <c r="U43" s="158"/>
      <c r="V43" s="143"/>
      <c r="W43" s="149"/>
      <c r="Y43" s="153">
        <f t="shared" si="4"/>
        <v>5440351</v>
      </c>
      <c r="Z43" s="167">
        <f t="shared" si="5"/>
        <v>4.7520307692307693</v>
      </c>
      <c r="AA43"/>
      <c r="AB43"/>
      <c r="AC43"/>
      <c r="AD43"/>
      <c r="AE43"/>
      <c r="AF43"/>
      <c r="AG43"/>
      <c r="AH43"/>
    </row>
    <row r="44" spans="1:34" ht="15" customHeight="1" x14ac:dyDescent="0.25">
      <c r="A44" s="141" t="s">
        <v>147</v>
      </c>
      <c r="B44" s="140" t="s">
        <v>146</v>
      </c>
      <c r="C44" s="140" t="s">
        <v>140</v>
      </c>
      <c r="D44" s="141" t="s">
        <v>91</v>
      </c>
      <c r="E44" s="141" t="s">
        <v>256</v>
      </c>
      <c r="F44" s="155">
        <v>1.5</v>
      </c>
      <c r="G44" s="152">
        <f>IFERROR(VLOOKUP($A$3:$A$144,'APR-2026'!$A$4:$ABX$112,MATCH('FY-(26-27)Q1'!$G$2:$H$2,'APR-2026'!$A$2:$BY$2,0),0),0)</f>
        <v>339000</v>
      </c>
      <c r="H44" s="154">
        <f>IFERROR(VLOOKUP($A$3:$A$144,'APR-2026'!$A$4:$ABX$112,MATCH('FY-(26-27)Q1'!$G$2:$H$2,'APR-2026'!$A$2:$BY$2,0),0),0)</f>
        <v>2.2599999999999998</v>
      </c>
      <c r="I44" s="152">
        <f>IFERROR(VLOOKUP($A$3:$A$144,'MAY-2026'!$A$4:$ACP$113,MATCH('FY-(26-27)Q1'!$I$2:$J$2,'MAY-2026'!$A$2:$CQ$2,0),0),0)</f>
        <v>-17574</v>
      </c>
      <c r="J44" s="154">
        <f>IFERROR(VLOOKUP($A$3:$A$144,'MAY-2026'!$A$4:$ACP$113,MATCH('FY-(26-27)Q1'!$I$2:$J$2,'MAY-2026'!$A$2:$CQ$2,0),0),0)</f>
        <v>-0.11716</v>
      </c>
      <c r="K44" s="152">
        <f>IFERROR(VLOOKUP($A$3:$A$144,'JUNE-2026'!$A$4:$ADJ$113,MATCH('FY-(26-27)Q1'!$K$2:$L$2,'JUNE-2026'!$A$2:$DK$2,0),0),0)</f>
        <v>103615</v>
      </c>
      <c r="L44" s="154">
        <f>IFERROR(VLOOKUP($A$3:$A$144,'JUNE-2026'!$A$4:$ADJ$113,MATCH('FY-(26-27)Q1'!$K$2:$L$2,'JUNE-2026'!$A$2:$DK$2,0),0),0)</f>
        <v>0.69076666666666675</v>
      </c>
      <c r="M44" s="71">
        <f t="shared" si="10"/>
        <v>425041</v>
      </c>
      <c r="N44" s="165">
        <f t="shared" si="11"/>
        <v>2.8336066666666664</v>
      </c>
      <c r="O44" s="214"/>
      <c r="P44" s="152">
        <f>IFERROR(VLOOKUP($A$3:$A$144,'FY-(26-27)Q2'!$A$4:$ABW$124,MATCH('FY-(26-27)Q1'!$P$2:$Q$2,'FY-(26-27)Q2'!$A$2:$BX$2,0),0),0)</f>
        <v>173420</v>
      </c>
      <c r="Q44" s="154">
        <f>IFERROR(VLOOKUP($A$3:$A$144,'FY-(26-27)Q2'!$A$4:$ABW$124,MATCH('FY-(26-27)Q1'!$P$2:$Q$2,'FY-(26-27)Q2'!$A$2:$BX$2,0),0),0)</f>
        <v>1.1561333333333335</v>
      </c>
      <c r="R44" s="158"/>
      <c r="S44" s="152">
        <f>IFERROR(VLOOKUP($A$3:$A$144,'FY-(26-27)Q3'!$A$4:$ABW$117,MATCH('FY-(26-27)Q1'!$S$2:$T$2,'FY-(26-27)Q3'!$A$2:$BX$2,0),0),0)</f>
        <v>0</v>
      </c>
      <c r="T44" s="154">
        <f>IFERROR(VLOOKUP($A$3:$A$144,'FY-(26-27)Q3'!$A$4:$ABW$117,MATCH('FY-(26-27)Q1'!$S$2:$T$3,'FY-(26-27)Q3'!$A$2:$BX$2,0),0),0)</f>
        <v>0</v>
      </c>
      <c r="U44" s="158"/>
      <c r="V44" s="143"/>
      <c r="W44" s="149"/>
      <c r="Y44" s="153">
        <f t="shared" si="4"/>
        <v>598461</v>
      </c>
      <c r="Z44" s="167">
        <f t="shared" si="5"/>
        <v>3.9897399999999998</v>
      </c>
      <c r="AA44" s="1"/>
      <c r="AD44" s="131"/>
      <c r="AE44" s="131"/>
      <c r="AF44" s="131"/>
      <c r="AG44" s="131"/>
      <c r="AH44" s="131"/>
    </row>
    <row r="45" spans="1:34" s="1" customFormat="1" ht="15" customHeight="1" x14ac:dyDescent="0.25">
      <c r="A45" s="141" t="s">
        <v>194</v>
      </c>
      <c r="B45" s="34" t="s">
        <v>246</v>
      </c>
      <c r="C45" s="34" t="s">
        <v>180</v>
      </c>
      <c r="D45" s="37" t="s">
        <v>91</v>
      </c>
      <c r="E45" s="37" t="s">
        <v>256</v>
      </c>
      <c r="F45" s="116">
        <v>6</v>
      </c>
      <c r="G45" s="152">
        <f>IFERROR(VLOOKUP($A$3:$A$144,'APR-2026'!$A$4:$ABX$112,MATCH('FY-(26-27)Q1'!$G$2:$H$2,'APR-2026'!$A$2:$BY$2,0),0),0)</f>
        <v>679300</v>
      </c>
      <c r="H45" s="154">
        <f>IFERROR(VLOOKUP($A$3:$A$144,'APR-2026'!$A$4:$ABX$112,MATCH('FY-(26-27)Q1'!$G$2:$H$2,'APR-2026'!$A$2:$BY$2,0),0),0)</f>
        <v>2.2643333333333335</v>
      </c>
      <c r="I45" s="152">
        <f>IFERROR(VLOOKUP($A$3:$A$144,'MAY-2026'!$A$4:$ACP$113,MATCH('FY-(26-27)Q1'!$I$2:$J$2,'MAY-2026'!$A$2:$CQ$2,0),0),0)</f>
        <v>199400</v>
      </c>
      <c r="J45" s="154">
        <f>IFERROR(VLOOKUP($A$3:$A$144,'MAY-2026'!$A$4:$ACP$113,MATCH('FY-(26-27)Q1'!$I$2:$J$2,'MAY-2026'!$A$2:$CQ$2,0),0),0)</f>
        <v>0.33233333333333337</v>
      </c>
      <c r="K45" s="152">
        <f>IFERROR(VLOOKUP($A$3:$A$144,'JUNE-2026'!$A$4:$ADJ$113,MATCH('FY-(26-27)Q1'!$K$2:$L$2,'JUNE-2026'!$A$2:$DK$2,0),0),0)</f>
        <v>436737</v>
      </c>
      <c r="L45" s="154">
        <f>IFERROR(VLOOKUP($A$3:$A$144,'JUNE-2026'!$A$4:$ADJ$113,MATCH('FY-(26-27)Q1'!$K$2:$L$2,'JUNE-2026'!$A$2:$DK$2,0),0),0)</f>
        <v>0.72789499999999996</v>
      </c>
      <c r="M45" s="71">
        <f t="shared" si="10"/>
        <v>1315437</v>
      </c>
      <c r="N45" s="165">
        <f t="shared" si="11"/>
        <v>3.3245616666666669</v>
      </c>
      <c r="O45" s="214"/>
      <c r="P45" s="152">
        <f>IFERROR(VLOOKUP($A$3:$A$144,'FY-(26-27)Q2'!$A$4:$ABW$124,MATCH('FY-(26-27)Q1'!$P$2:$Q$2,'FY-(26-27)Q2'!$A$2:$BX$2,0),0),0)</f>
        <v>703028</v>
      </c>
      <c r="Q45" s="154">
        <f>IFERROR(VLOOKUP($A$3:$A$144,'FY-(26-27)Q2'!$A$4:$ABW$124,MATCH('FY-(26-27)Q1'!$P$2:$Q$2,'FY-(26-27)Q2'!$A$2:$BX$2,0),0),0)</f>
        <v>1.1717133333333338</v>
      </c>
      <c r="R45" s="158"/>
      <c r="S45" s="152">
        <f>IFERROR(VLOOKUP($A$3:$A$144,'FY-(26-27)Q3'!$A$4:$ABW$117,MATCH('FY-(26-27)Q1'!$S$2:$T$2,'FY-(26-27)Q3'!$A$2:$BX$2,0),0),0)</f>
        <v>0</v>
      </c>
      <c r="T45" s="154">
        <f>IFERROR(VLOOKUP($A$3:$A$144,'FY-(26-27)Q3'!$A$4:$ABW$117,MATCH('FY-(26-27)Q1'!$S$2:$T$3,'FY-(26-27)Q3'!$A$2:$BX$2,0),0),0)</f>
        <v>0</v>
      </c>
      <c r="U45" s="158"/>
      <c r="V45" s="45"/>
      <c r="W45" s="72"/>
      <c r="X45"/>
      <c r="Y45" s="153">
        <f t="shared" si="4"/>
        <v>2018465</v>
      </c>
      <c r="Z45" s="167">
        <f t="shared" si="5"/>
        <v>4.4962750000000007</v>
      </c>
      <c r="AA45"/>
      <c r="AD45"/>
      <c r="AE45"/>
      <c r="AF45"/>
      <c r="AG45"/>
      <c r="AH45"/>
    </row>
    <row r="46" spans="1:34" ht="15" customHeight="1" x14ac:dyDescent="0.25">
      <c r="A46" s="162" t="s">
        <v>205</v>
      </c>
      <c r="B46" s="140" t="s">
        <v>203</v>
      </c>
      <c r="C46" s="140" t="s">
        <v>204</v>
      </c>
      <c r="D46" s="141" t="s">
        <v>91</v>
      </c>
      <c r="E46" s="162" t="s">
        <v>256</v>
      </c>
      <c r="F46" s="163">
        <v>1.3</v>
      </c>
      <c r="G46" s="152">
        <f>IFERROR(VLOOKUP($A$3:$A$144,'APR-2026'!$A$4:$ABX$112,MATCH('FY-(26-27)Q1'!$G$2:$H$2,'APR-2026'!$A$2:$BY$2,0),0),0)</f>
        <v>114100</v>
      </c>
      <c r="H46" s="154">
        <f>IFERROR(VLOOKUP($A$3:$A$144,'APR-2026'!$A$4:$ABX$112,MATCH('FY-(26-27)Q1'!$G$2:$H$2,'APR-2026'!$A$2:$BY$2,0),0),0)</f>
        <v>0.91279999999999994</v>
      </c>
      <c r="I46" s="152">
        <f>IFERROR(VLOOKUP($A$3:$A$144,'MAY-2026'!$A$4:$ACP$113,MATCH('FY-(26-27)Q1'!$I$2:$J$2,'MAY-2026'!$A$2:$CQ$2,0),0),0)</f>
        <v>-13242</v>
      </c>
      <c r="J46" s="154">
        <f>IFERROR(VLOOKUP($A$3:$A$144,'MAY-2026'!$A$4:$ACP$113,MATCH('FY-(26-27)Q1'!$I$2:$J$2,'MAY-2026'!$A$2:$CQ$2,0),0),0)</f>
        <v>-0.105936</v>
      </c>
      <c r="K46" s="152">
        <f>IFERROR(VLOOKUP($A$3:$A$144,'JUNE-2026'!$A$4:$ADJ$113,MATCH('FY-(26-27)Q1'!$K$2:$L$2,'JUNE-2026'!$A$2:$DK$2,0),0),0)</f>
        <v>102235</v>
      </c>
      <c r="L46" s="154">
        <f>IFERROR(VLOOKUP($A$3:$A$144,'JUNE-2026'!$A$4:$ADJ$113,MATCH('FY-(26-27)Q1'!$K$2:$L$2,'JUNE-2026'!$A$2:$DK$2,0),0),0)</f>
        <v>0.81788000000000005</v>
      </c>
      <c r="M46" s="71">
        <f t="shared" si="10"/>
        <v>203093</v>
      </c>
      <c r="N46" s="165">
        <f t="shared" si="11"/>
        <v>1.624744</v>
      </c>
      <c r="O46" s="214"/>
      <c r="P46" s="152">
        <f>IFERROR(VLOOKUP($A$3:$A$144,'FY-(26-27)Q2'!$A$4:$ABW$124,MATCH('FY-(26-27)Q1'!$P$2:$Q$2,'FY-(26-27)Q2'!$A$2:$BX$2,0),0),0)</f>
        <v>183507</v>
      </c>
      <c r="Q46" s="154">
        <f>IFERROR(VLOOKUP($A$3:$A$144,'FY-(26-27)Q2'!$A$4:$ABW$124,MATCH('FY-(26-27)Q1'!$P$2:$Q$2,'FY-(26-27)Q2'!$A$2:$BX$2,0),0),0)</f>
        <v>1.4680560000000002</v>
      </c>
      <c r="R46" s="158"/>
      <c r="S46" s="152">
        <f>IFERROR(VLOOKUP($A$3:$A$144,'FY-(26-27)Q3'!$A$4:$ABW$117,MATCH('FY-(26-27)Q1'!$S$2:$T$2,'FY-(26-27)Q3'!$A$2:$BX$2,0),0),0)</f>
        <v>0</v>
      </c>
      <c r="T46" s="154">
        <f>IFERROR(VLOOKUP($A$3:$A$144,'FY-(26-27)Q3'!$A$4:$ABW$117,MATCH('FY-(26-27)Q1'!$S$2:$T$3,'FY-(26-27)Q3'!$A$2:$BX$2,0),0),0)</f>
        <v>0</v>
      </c>
      <c r="U46" s="158"/>
      <c r="V46" s="143"/>
      <c r="W46" s="149"/>
      <c r="X46" s="131"/>
      <c r="Y46" s="153">
        <f t="shared" si="4"/>
        <v>386600</v>
      </c>
      <c r="Z46" s="167">
        <f t="shared" si="5"/>
        <v>3.0928000000000004</v>
      </c>
      <c r="AD46" s="1"/>
      <c r="AE46" s="1"/>
      <c r="AF46" s="1"/>
      <c r="AG46" s="1"/>
      <c r="AH46" s="1"/>
    </row>
    <row r="47" spans="1:34" s="131" customFormat="1" ht="15" customHeight="1" thickBot="1" x14ac:dyDescent="0.3">
      <c r="A47" s="62" t="s">
        <v>1</v>
      </c>
      <c r="B47" s="62" t="s">
        <v>93</v>
      </c>
      <c r="C47" s="62" t="s">
        <v>248</v>
      </c>
      <c r="D47" s="42" t="s">
        <v>92</v>
      </c>
      <c r="E47" s="42" t="s">
        <v>256</v>
      </c>
      <c r="F47" s="200">
        <v>1.5</v>
      </c>
      <c r="G47" s="152">
        <f>IFERROR(VLOOKUP($A$3:$A$144,'APR-2026'!$A$4:$ABX$112,MATCH('FY-(26-27)Q1'!$G$2:$H$2,'APR-2026'!$A$2:$BY$2,0),0),0)</f>
        <v>354500</v>
      </c>
      <c r="H47" s="154">
        <f>IFERROR(VLOOKUP($A$3:$A$144,'APR-2026'!$A$4:$ABX$112,MATCH('FY-(26-27)Q1'!$G$2:$H$2,'APR-2026'!$A$2:$BY$2,0),0),0)</f>
        <v>2.3633333333333337</v>
      </c>
      <c r="I47" s="152">
        <f>IFERROR(VLOOKUP($A$3:$A$144,'MAY-2026'!$A$4:$ACP$113,MATCH('FY-(26-27)Q1'!$I$2:$J$2,'MAY-2026'!$A$2:$CQ$2,0),0),0)</f>
        <v>-16090</v>
      </c>
      <c r="J47" s="154">
        <f>IFERROR(VLOOKUP($A$3:$A$144,'MAY-2026'!$A$4:$ACP$113,MATCH('FY-(26-27)Q1'!$I$2:$J$2,'MAY-2026'!$A$2:$CQ$2,0),0),0)</f>
        <v>-0.10726666666666665</v>
      </c>
      <c r="K47" s="152">
        <f>IFERROR(VLOOKUP($A$3:$A$144,'JUNE-2026'!$A$4:$ADJ$113,MATCH('FY-(26-27)Q1'!$K$2:$L$2,'JUNE-2026'!$A$2:$DK$2,0),0),0)</f>
        <v>111580</v>
      </c>
      <c r="L47" s="154">
        <f>IFERROR(VLOOKUP($A$3:$A$144,'JUNE-2026'!$A$4:$ADJ$113,MATCH('FY-(26-27)Q1'!$K$2:$L$2,'JUNE-2026'!$A$2:$DK$2,0),0),0)</f>
        <v>0.74386666666666668</v>
      </c>
      <c r="M47" s="71">
        <f t="shared" si="10"/>
        <v>449990</v>
      </c>
      <c r="N47" s="165">
        <f t="shared" si="11"/>
        <v>2.9999333333333338</v>
      </c>
      <c r="O47" s="214"/>
      <c r="P47" s="152">
        <f>IFERROR(VLOOKUP($A$3:$A$144,'FY-(26-27)Q2'!$A$4:$ABW$124,MATCH('FY-(26-27)Q1'!$P$2:$Q$2,'FY-(26-27)Q2'!$A$2:$BX$2,0),0),0)</f>
        <v>183664</v>
      </c>
      <c r="Q47" s="154">
        <f>IFERROR(VLOOKUP($A$3:$A$144,'FY-(26-27)Q2'!$A$4:$ABW$124,MATCH('FY-(26-27)Q1'!$P$2:$Q$2,'FY-(26-27)Q2'!$A$2:$BX$2,0),0),0)</f>
        <v>1.2244266666666666</v>
      </c>
      <c r="R47" s="158"/>
      <c r="S47" s="152">
        <f>IFERROR(VLOOKUP($A$3:$A$144,'FY-(26-27)Q3'!$A$4:$ABW$117,MATCH('FY-(26-27)Q1'!$S$2:$T$2,'FY-(26-27)Q3'!$A$2:$BX$2,0),0),0)</f>
        <v>0</v>
      </c>
      <c r="T47" s="154">
        <f>IFERROR(VLOOKUP($A$3:$A$144,'FY-(26-27)Q3'!$A$4:$ABW$117,MATCH('FY-(26-27)Q1'!$S$2:$T$3,'FY-(26-27)Q3'!$A$2:$BX$2,0),0),0)</f>
        <v>0</v>
      </c>
      <c r="U47" s="217"/>
      <c r="V47" s="73"/>
      <c r="W47" s="72"/>
      <c r="X47"/>
      <c r="Y47" s="153">
        <f t="shared" si="4"/>
        <v>633654</v>
      </c>
      <c r="Z47" s="167">
        <f t="shared" si="5"/>
        <v>4.2243600000000008</v>
      </c>
    </row>
    <row r="48" spans="1:34" s="131" customFormat="1" ht="15" customHeight="1" x14ac:dyDescent="0.25">
      <c r="A48" s="141" t="s">
        <v>332</v>
      </c>
      <c r="B48" s="140" t="s">
        <v>333</v>
      </c>
      <c r="C48" s="140" t="s">
        <v>231</v>
      </c>
      <c r="D48" s="141"/>
      <c r="E48" s="141" t="s">
        <v>256</v>
      </c>
      <c r="F48" s="155">
        <v>0.5</v>
      </c>
      <c r="G48" s="152">
        <f>IFERROR(VLOOKUP($A$3:$A$144,'APR-2026'!$A$4:$ABX$112,MATCH('FY-(26-27)Q1'!$G$2:$H$2,'APR-2026'!$A$2:$BY$2,0),0),0)</f>
        <v>0</v>
      </c>
      <c r="H48" s="154">
        <f>IFERROR(VLOOKUP($A$3:$A$144,'APR-2026'!$A$4:$ABX$112,MATCH('FY-(26-27)Q1'!$G$2:$H$2,'APR-2026'!$A$2:$BY$2,0),0),0)</f>
        <v>0</v>
      </c>
      <c r="I48" s="152">
        <f>IFERROR(VLOOKUP($A$3:$A$144,'MAY-2026'!$A$4:$ACP$113,MATCH('FY-(26-27)Q1'!$I$2:$J$2,'MAY-2026'!$A$2:$CQ$2,0),0),0)</f>
        <v>0</v>
      </c>
      <c r="J48" s="154">
        <f>IFERROR(VLOOKUP($A$3:$A$144,'MAY-2026'!$A$4:$ACP$113,MATCH('FY-(26-27)Q1'!$I$2:$J$2,'MAY-2026'!$A$2:$CQ$2,0),0),0)</f>
        <v>0</v>
      </c>
      <c r="K48" s="152">
        <f>IFERROR(VLOOKUP($A$3:$A$144,'JUNE-2026'!$A$4:$ADJ$113,MATCH('FY-(26-27)Q1'!$K$2:$L$2,'JUNE-2026'!$A$2:$DK$2,0),0),0)</f>
        <v>0</v>
      </c>
      <c r="L48" s="154">
        <f>IFERROR(VLOOKUP($A$3:$A$144,'JUNE-2026'!$A$4:$ADJ$113,MATCH('FY-(26-27)Q1'!$K$2:$L$2,'JUNE-2026'!$A$2:$DK$2,0),0),0)</f>
        <v>0</v>
      </c>
      <c r="M48" s="71">
        <f t="shared" si="10"/>
        <v>0</v>
      </c>
      <c r="N48" s="165">
        <f t="shared" si="11"/>
        <v>0</v>
      </c>
      <c r="O48" s="214"/>
      <c r="P48" s="152">
        <f>IFERROR(VLOOKUP($A$3:$A$144,'FY-(26-27)Q2'!$A$4:$ABW$124,MATCH('FY-(26-27)Q1'!$P$2:$Q$2,'FY-(26-27)Q2'!$A$2:$BX$2,0),0),0)</f>
        <v>0</v>
      </c>
      <c r="Q48" s="154">
        <f>IFERROR(VLOOKUP($A$3:$A$144,'FY-(26-27)Q2'!$A$4:$ABW$124,MATCH('FY-(26-27)Q1'!$P$2:$Q$2,'FY-(26-27)Q2'!$A$2:$BX$2,0),0),0)</f>
        <v>0</v>
      </c>
      <c r="R48" s="158"/>
      <c r="S48" s="152">
        <f>IFERROR(VLOOKUP($A$3:$A$144,'FY-(26-27)Q3'!$A$4:$ABW$117,MATCH('FY-(26-27)Q1'!$S$2:$T$2,'FY-(26-27)Q3'!$A$2:$BX$2,0),0),0)</f>
        <v>28186</v>
      </c>
      <c r="T48" s="154">
        <f>IFERROR(VLOOKUP($A$3:$A$144,'FY-(26-27)Q3'!$A$4:$ABW$117,MATCH('FY-(26-27)Q1'!$S$2:$T$3,'FY-(26-27)Q3'!$A$2:$BX$2,0),0),0)</f>
        <v>0</v>
      </c>
      <c r="U48" s="217"/>
      <c r="V48" s="258"/>
      <c r="W48" s="149"/>
      <c r="Y48" s="153">
        <f t="shared" si="4"/>
        <v>28186</v>
      </c>
      <c r="Z48" s="167">
        <f t="shared" si="5"/>
        <v>0</v>
      </c>
    </row>
    <row r="49" spans="1:34" ht="15" customHeight="1" x14ac:dyDescent="0.25">
      <c r="A49" s="35" t="s">
        <v>65</v>
      </c>
      <c r="B49" s="34" t="s">
        <v>64</v>
      </c>
      <c r="C49" s="34" t="s">
        <v>7</v>
      </c>
      <c r="D49" s="140" t="s">
        <v>64</v>
      </c>
      <c r="E49" s="37" t="s">
        <v>256</v>
      </c>
      <c r="F49" s="116">
        <v>5</v>
      </c>
      <c r="G49" s="152">
        <f>IFERROR(VLOOKUP($A$3:$A$144,'APR-2026'!$A$4:$ABX$112,MATCH('FY-(26-27)Q1'!$G$2:$H$2,'APR-2026'!$A$2:$BY$2,0),0),0)</f>
        <v>213967</v>
      </c>
      <c r="H49" s="154">
        <f>IFERROR(VLOOKUP($A$3:$A$144,'APR-2026'!$A$4:$ABX$112,MATCH('FY-(26-27)Q1'!$G$2:$H$2,'APR-2026'!$A$2:$BY$2,0),0),0)</f>
        <v>0.42793399999999998</v>
      </c>
      <c r="I49" s="152">
        <f>IFERROR(VLOOKUP($A$3:$A$144,'MAY-2026'!$A$4:$ACP$113,MATCH('FY-(26-27)Q1'!$I$2:$J$2,'MAY-2026'!$A$2:$CQ$2,0),0),0)</f>
        <v>844228</v>
      </c>
      <c r="J49" s="154">
        <f>IFERROR(VLOOKUP($A$3:$A$144,'MAY-2026'!$A$4:$ACP$113,MATCH('FY-(26-27)Q1'!$I$2:$J$2,'MAY-2026'!$A$2:$CQ$2,0),0),0)</f>
        <v>1.688456</v>
      </c>
      <c r="K49" s="152">
        <f>IFERROR(VLOOKUP($A$3:$A$144,'JUNE-2026'!$A$4:$ADJ$113,MATCH('FY-(26-27)Q1'!$K$2:$L$2,'JUNE-2026'!$A$2:$DK$2,0),0),0)</f>
        <v>159123</v>
      </c>
      <c r="L49" s="154">
        <f>IFERROR(VLOOKUP($A$3:$A$144,'JUNE-2026'!$A$4:$ADJ$113,MATCH('FY-(26-27)Q1'!$K$2:$L$2,'JUNE-2026'!$A$2:$DK$2,0),0),0)</f>
        <v>0.31824599999999997</v>
      </c>
      <c r="M49" s="71">
        <f t="shared" si="10"/>
        <v>1217318</v>
      </c>
      <c r="N49" s="165">
        <f t="shared" si="11"/>
        <v>2.4346359999999998</v>
      </c>
      <c r="O49" s="214"/>
      <c r="P49" s="152">
        <f>IFERROR(VLOOKUP($A$3:$A$144,'FY-(26-27)Q2'!$A$4:$ABW$124,MATCH('FY-(26-27)Q1'!$P$2:$Q$2,'FY-(26-27)Q2'!$A$2:$BX$2,0),0),0)</f>
        <v>-116440</v>
      </c>
      <c r="Q49" s="154">
        <f>IFERROR(VLOOKUP($A$3:$A$144,'FY-(26-27)Q2'!$A$4:$ABW$124,MATCH('FY-(26-27)Q1'!$P$2:$Q$2,'FY-(26-27)Q2'!$A$2:$BX$2,0),0),0)</f>
        <v>-0.2328800000000002</v>
      </c>
      <c r="R49" s="158"/>
      <c r="S49" s="152">
        <f>IFERROR(VLOOKUP($A$3:$A$144,'FY-(26-27)Q3'!$A$4:$ABW$117,MATCH('FY-(26-27)Q1'!$S$2:$T$2,'FY-(26-27)Q3'!$A$2:$BX$2,0),0),0)</f>
        <v>841174</v>
      </c>
      <c r="T49" s="154">
        <f>IFERROR(VLOOKUP($A$3:$A$144,'FY-(26-27)Q3'!$A$4:$ABW$117,MATCH('FY-(26-27)Q1'!$S$2:$T$3,'FY-(26-27)Q3'!$A$2:$BX$2,0),0),0)</f>
        <v>0</v>
      </c>
      <c r="U49" s="158"/>
      <c r="V49" s="45"/>
      <c r="W49" s="72"/>
      <c r="Y49" s="153">
        <f t="shared" si="4"/>
        <v>1942052</v>
      </c>
      <c r="Z49" s="167">
        <f t="shared" si="5"/>
        <v>2.2017559999999996</v>
      </c>
    </row>
    <row r="50" spans="1:34" ht="15" customHeight="1" x14ac:dyDescent="0.25">
      <c r="A50" s="34" t="s">
        <v>34</v>
      </c>
      <c r="B50" s="36" t="s">
        <v>18</v>
      </c>
      <c r="C50" s="34" t="s">
        <v>10</v>
      </c>
      <c r="D50" s="142" t="s">
        <v>18</v>
      </c>
      <c r="E50" s="37" t="s">
        <v>256</v>
      </c>
      <c r="F50" s="118">
        <v>5</v>
      </c>
      <c r="G50" s="152">
        <f>IFERROR(VLOOKUP($A$3:$A$144,'APR-2026'!$A$4:$ABX$112,MATCH('FY-(26-27)Q1'!$G$2:$H$2,'APR-2026'!$A$2:$BY$2,0),0),0)</f>
        <v>668954</v>
      </c>
      <c r="H50" s="154">
        <f>IFERROR(VLOOKUP($A$3:$A$144,'APR-2026'!$A$4:$ABX$112,MATCH('FY-(26-27)Q1'!$G$2:$H$2,'APR-2026'!$A$2:$BY$2,0),0),0)</f>
        <v>1.3379079999999999</v>
      </c>
      <c r="I50" s="152">
        <f>IFERROR(VLOOKUP($A$3:$A$144,'MAY-2026'!$A$4:$ACP$113,MATCH('FY-(26-27)Q1'!$I$2:$J$2,'MAY-2026'!$A$2:$CQ$2,0),0),0)</f>
        <v>-630839</v>
      </c>
      <c r="J50" s="154">
        <f>IFERROR(VLOOKUP($A$3:$A$144,'MAY-2026'!$A$4:$ACP$113,MATCH('FY-(26-27)Q1'!$I$2:$J$2,'MAY-2026'!$A$2:$CQ$2,0),0),0)</f>
        <v>-1.2616780000000001</v>
      </c>
      <c r="K50" s="152">
        <f>IFERROR(VLOOKUP($A$3:$A$144,'JUNE-2026'!$A$4:$ADJ$113,MATCH('FY-(26-27)Q1'!$K$2:$L$2,'JUNE-2026'!$A$2:$DK$2,0),0),0)</f>
        <v>-85853</v>
      </c>
      <c r="L50" s="154">
        <f>IFERROR(VLOOKUP($A$3:$A$144,'JUNE-2026'!$A$4:$ADJ$113,MATCH('FY-(26-27)Q1'!$K$2:$L$2,'JUNE-2026'!$A$2:$DK$2,0),0),0)</f>
        <v>-0.17170599999999997</v>
      </c>
      <c r="M50" s="71">
        <f t="shared" si="10"/>
        <v>-47738</v>
      </c>
      <c r="N50" s="165">
        <f t="shared" si="11"/>
        <v>-9.5476000000000172E-2</v>
      </c>
      <c r="O50" s="214"/>
      <c r="P50" s="152">
        <f>IFERROR(VLOOKUP($A$3:$A$144,'FY-(26-27)Q2'!$A$4:$ABW$124,MATCH('FY-(26-27)Q1'!$P$2:$Q$2,'FY-(26-27)Q2'!$A$2:$BX$2,0),0),0)</f>
        <v>820609</v>
      </c>
      <c r="Q50" s="154">
        <f>IFERROR(VLOOKUP($A$3:$A$144,'FY-(26-27)Q2'!$A$4:$ABW$124,MATCH('FY-(26-27)Q1'!$P$2:$Q$2,'FY-(26-27)Q2'!$A$2:$BX$2,0),0),0)</f>
        <v>1.6412179999999998</v>
      </c>
      <c r="R50" s="158"/>
      <c r="S50" s="152">
        <f>IFERROR(VLOOKUP($A$3:$A$144,'FY-(26-27)Q3'!$A$4:$ABW$117,MATCH('FY-(26-27)Q1'!$S$2:$T$2,'FY-(26-27)Q3'!$A$2:$BX$2,0),0),0)</f>
        <v>140133</v>
      </c>
      <c r="T50" s="154">
        <f>IFERROR(VLOOKUP($A$3:$A$144,'FY-(26-27)Q3'!$A$4:$ABW$117,MATCH('FY-(26-27)Q1'!$S$2:$T$3,'FY-(26-27)Q3'!$A$2:$BX$2,0),0),0)</f>
        <v>0</v>
      </c>
      <c r="U50" s="158"/>
      <c r="V50" s="45"/>
      <c r="W50" s="72"/>
      <c r="X50" s="1"/>
      <c r="Y50" s="153">
        <f t="shared" si="4"/>
        <v>913004</v>
      </c>
      <c r="Z50" s="167">
        <f t="shared" si="5"/>
        <v>1.5457419999999997</v>
      </c>
      <c r="AA50" s="1"/>
    </row>
    <row r="51" spans="1:34" ht="15" customHeight="1" x14ac:dyDescent="0.25">
      <c r="A51" s="34" t="s">
        <v>131</v>
      </c>
      <c r="B51" s="36" t="s">
        <v>130</v>
      </c>
      <c r="C51" s="34" t="s">
        <v>16</v>
      </c>
      <c r="D51" s="141" t="s">
        <v>262</v>
      </c>
      <c r="E51" s="37" t="s">
        <v>256</v>
      </c>
      <c r="F51" s="118">
        <v>0.5</v>
      </c>
      <c r="G51" s="152">
        <f>IFERROR(VLOOKUP($A$3:$A$144,'APR-2026'!$A$4:$ABX$112,MATCH('FY-(26-27)Q1'!$G$2:$H$2,'APR-2026'!$A$2:$BY$2,0),0),0)</f>
        <v>47009</v>
      </c>
      <c r="H51" s="154">
        <f>IFERROR(VLOOKUP($A$3:$A$144,'APR-2026'!$A$4:$ABX$112,MATCH('FY-(26-27)Q1'!$G$2:$H$2,'APR-2026'!$A$2:$BY$2,0),0),0)</f>
        <v>0.94018000000000002</v>
      </c>
      <c r="I51" s="152">
        <f>IFERROR(VLOOKUP($A$3:$A$144,'MAY-2026'!$A$4:$ACP$113,MATCH('FY-(26-27)Q1'!$I$2:$J$2,'MAY-2026'!$A$2:$CQ$2,0),0),0)</f>
        <v>-22476</v>
      </c>
      <c r="J51" s="154">
        <f>IFERROR(VLOOKUP($A$3:$A$144,'MAY-2026'!$A$4:$ACP$113,MATCH('FY-(26-27)Q1'!$I$2:$J$2,'MAY-2026'!$A$2:$CQ$2,0),0),0)</f>
        <v>-0.44951999999999998</v>
      </c>
      <c r="K51" s="152">
        <f>IFERROR(VLOOKUP($A$3:$A$144,'JUNE-2026'!$A$4:$ADJ$113,MATCH('FY-(26-27)Q1'!$K$2:$L$2,'JUNE-2026'!$A$2:$DK$2,0),0),0)</f>
        <v>92362</v>
      </c>
      <c r="L51" s="154">
        <f>IFERROR(VLOOKUP($A$3:$A$144,'JUNE-2026'!$A$4:$ADJ$113,MATCH('FY-(26-27)Q1'!$K$2:$L$2,'JUNE-2026'!$A$2:$DK$2,0),0),0)</f>
        <v>1.84724</v>
      </c>
      <c r="M51" s="71">
        <f t="shared" si="10"/>
        <v>116895</v>
      </c>
      <c r="N51" s="165">
        <f t="shared" si="11"/>
        <v>2.3378999999999999</v>
      </c>
      <c r="O51" s="214"/>
      <c r="P51" s="152">
        <f>IFERROR(VLOOKUP($A$3:$A$144,'FY-(26-27)Q2'!$A$4:$ABW$124,MATCH('FY-(26-27)Q1'!$P$2:$Q$2,'FY-(26-27)Q2'!$A$2:$BX$2,0),0),0)</f>
        <v>-195945</v>
      </c>
      <c r="Q51" s="154">
        <f>IFERROR(VLOOKUP($A$3:$A$144,'FY-(26-27)Q2'!$A$4:$ABW$124,MATCH('FY-(26-27)Q1'!$P$2:$Q$2,'FY-(26-27)Q2'!$A$2:$BX$2,0),0),0)</f>
        <v>-1.9594499999999999</v>
      </c>
      <c r="R51" s="158"/>
      <c r="S51" s="152">
        <f>IFERROR(VLOOKUP($A$3:$A$144,'FY-(26-27)Q3'!$A$4:$ABW$117,MATCH('FY-(26-27)Q1'!$S$2:$T$2,'FY-(26-27)Q3'!$A$2:$BX$2,0),0),0)</f>
        <v>43166</v>
      </c>
      <c r="T51" s="154">
        <f>IFERROR(VLOOKUP($A$3:$A$144,'FY-(26-27)Q3'!$A$4:$ABW$117,MATCH('FY-(26-27)Q1'!$S$2:$T$3,'FY-(26-27)Q3'!$A$2:$BX$2,0),0),0)</f>
        <v>0</v>
      </c>
      <c r="U51" s="158"/>
      <c r="V51" s="45"/>
      <c r="W51" s="72"/>
      <c r="Y51" s="153">
        <f t="shared" si="4"/>
        <v>-35884</v>
      </c>
      <c r="Z51" s="167">
        <f t="shared" si="5"/>
        <v>0.37844999999999995</v>
      </c>
      <c r="AD51" s="1"/>
      <c r="AE51" s="1"/>
      <c r="AF51" s="1"/>
      <c r="AG51" s="1"/>
      <c r="AH51" s="1"/>
    </row>
    <row r="52" spans="1:34" ht="15" customHeight="1" x14ac:dyDescent="0.25">
      <c r="A52" s="36" t="s">
        <v>26</v>
      </c>
      <c r="B52" s="34" t="s">
        <v>75</v>
      </c>
      <c r="C52" s="34" t="s">
        <v>15</v>
      </c>
      <c r="D52" s="39" t="s">
        <v>40</v>
      </c>
      <c r="E52" s="39" t="s">
        <v>256</v>
      </c>
      <c r="F52" s="117">
        <v>0.6</v>
      </c>
      <c r="G52" s="152">
        <f>IFERROR(VLOOKUP($A$3:$A$144,'APR-2026'!$A$4:$ABX$112,MATCH('FY-(26-27)Q1'!$G$2:$H$2,'APR-2026'!$A$2:$BY$2,0),0),0)</f>
        <v>3832</v>
      </c>
      <c r="H52" s="154">
        <f>IFERROR(VLOOKUP($A$3:$A$144,'APR-2026'!$A$4:$ABX$112,MATCH('FY-(26-27)Q1'!$G$2:$H$2,'APR-2026'!$A$2:$BY$2,0),0),0)</f>
        <v>6.3866666666666669E-2</v>
      </c>
      <c r="I52" s="152">
        <f>IFERROR(VLOOKUP($A$3:$A$144,'MAY-2026'!$A$4:$ACP$113,MATCH('FY-(26-27)Q1'!$I$2:$J$2,'MAY-2026'!$A$2:$CQ$2,0),0),0)</f>
        <v>56826</v>
      </c>
      <c r="J52" s="154">
        <f>IFERROR(VLOOKUP($A$3:$A$144,'MAY-2026'!$A$4:$ACP$113,MATCH('FY-(26-27)Q1'!$I$2:$J$2,'MAY-2026'!$A$2:$CQ$2,0),0),0)</f>
        <v>0.94710000000000005</v>
      </c>
      <c r="K52" s="152">
        <f>IFERROR(VLOOKUP($A$3:$A$144,'JUNE-2026'!$A$4:$ADJ$113,MATCH('FY-(26-27)Q1'!$K$2:$L$2,'JUNE-2026'!$A$2:$DK$2,0),0),0)</f>
        <v>0</v>
      </c>
      <c r="L52" s="154">
        <f>IFERROR(VLOOKUP($A$3:$A$144,'JUNE-2026'!$A$4:$ADJ$113,MATCH('FY-(26-27)Q1'!$K$2:$L$2,'JUNE-2026'!$A$2:$DK$2,0),0),0)</f>
        <v>0</v>
      </c>
      <c r="M52" s="71">
        <f t="shared" si="10"/>
        <v>60658</v>
      </c>
      <c r="N52" s="165">
        <f t="shared" si="11"/>
        <v>1.0109666666666668</v>
      </c>
      <c r="O52" s="214"/>
      <c r="P52" s="152">
        <f>IFERROR(VLOOKUP($A$3:$A$144,'FY-(26-27)Q2'!$A$4:$ABW$124,MATCH('FY-(26-27)Q1'!$P$2:$Q$2,'FY-(26-27)Q2'!$A$2:$BX$2,0),0),0)</f>
        <v>0</v>
      </c>
      <c r="Q52" s="154">
        <f>IFERROR(VLOOKUP($A$3:$A$144,'FY-(26-27)Q2'!$A$4:$ABW$124,MATCH('FY-(26-27)Q1'!$P$2:$Q$2,'FY-(26-27)Q2'!$A$2:$BX$2,0),0),0)</f>
        <v>0</v>
      </c>
      <c r="R52" s="158"/>
      <c r="S52" s="152">
        <f>IFERROR(VLOOKUP($A$3:$A$144,'FY-(26-27)Q3'!$A$4:$ABW$117,MATCH('FY-(26-27)Q1'!$S$2:$T$2,'FY-(26-27)Q3'!$A$2:$BX$2,0),0),0)</f>
        <v>0</v>
      </c>
      <c r="T52" s="154">
        <f>IFERROR(VLOOKUP($A$3:$A$144,'FY-(26-27)Q3'!$A$4:$ABW$117,MATCH('FY-(26-27)Q1'!$S$2:$T$3,'FY-(26-27)Q3'!$A$2:$BX$2,0),0),0)</f>
        <v>0</v>
      </c>
      <c r="U52" s="158"/>
      <c r="V52" s="45"/>
      <c r="W52" s="72"/>
      <c r="X52" s="1"/>
      <c r="Y52" s="153">
        <f t="shared" si="4"/>
        <v>60658</v>
      </c>
      <c r="Z52" s="167">
        <f t="shared" si="5"/>
        <v>1.0109666666666668</v>
      </c>
      <c r="AA52" s="1"/>
    </row>
    <row r="53" spans="1:34" s="1" customFormat="1" ht="15" customHeight="1" x14ac:dyDescent="0.25">
      <c r="A53" s="43" t="s">
        <v>67</v>
      </c>
      <c r="B53" s="34" t="s">
        <v>76</v>
      </c>
      <c r="C53" s="34" t="s">
        <v>60</v>
      </c>
      <c r="D53" s="37" t="s">
        <v>4</v>
      </c>
      <c r="E53" s="37" t="s">
        <v>256</v>
      </c>
      <c r="F53" s="116">
        <v>0.4</v>
      </c>
      <c r="G53" s="152">
        <f>IFERROR(VLOOKUP($A$3:$A$144,'APR-2026'!$A$4:$ABX$112,MATCH('FY-(26-27)Q1'!$G$2:$H$2,'APR-2026'!$A$2:$BY$2,0),0),0)</f>
        <v>104032</v>
      </c>
      <c r="H53" s="154">
        <f>IFERROR(VLOOKUP($A$3:$A$144,'APR-2026'!$A$4:$ABX$112,MATCH('FY-(26-27)Q1'!$G$2:$H$2,'APR-2026'!$A$2:$BY$2,0),0),0)</f>
        <v>2.6008</v>
      </c>
      <c r="I53" s="152">
        <f>IFERROR(VLOOKUP($A$3:$A$144,'MAY-2026'!$A$4:$ACP$113,MATCH('FY-(26-27)Q1'!$I$2:$J$2,'MAY-2026'!$A$2:$CQ$2,0),0),0)</f>
        <v>-9232</v>
      </c>
      <c r="J53" s="154">
        <f>IFERROR(VLOOKUP($A$3:$A$144,'MAY-2026'!$A$4:$ACP$113,MATCH('FY-(26-27)Q1'!$I$2:$J$2,'MAY-2026'!$A$2:$CQ$2,0),0),0)</f>
        <v>-0.23080000000000001</v>
      </c>
      <c r="K53" s="152">
        <f>IFERROR(VLOOKUP($A$3:$A$144,'JUNE-2026'!$A$4:$ADJ$113,MATCH('FY-(26-27)Q1'!$K$2:$L$2,'JUNE-2026'!$A$2:$DK$2,0),0),0)</f>
        <v>-106628</v>
      </c>
      <c r="L53" s="154">
        <f>IFERROR(VLOOKUP($A$3:$A$144,'JUNE-2026'!$A$4:$ADJ$113,MATCH('FY-(26-27)Q1'!$K$2:$L$2,'JUNE-2026'!$A$2:$DK$2,0),0),0)</f>
        <v>-2.6657000000000002</v>
      </c>
      <c r="M53" s="71">
        <f t="shared" si="10"/>
        <v>-11828</v>
      </c>
      <c r="N53" s="165">
        <f t="shared" si="11"/>
        <v>-0.29570000000000007</v>
      </c>
      <c r="O53" s="214"/>
      <c r="P53" s="152">
        <f>IFERROR(VLOOKUP($A$3:$A$144,'FY-(26-27)Q2'!$A$4:$ABW$124,MATCH('FY-(26-27)Q1'!$P$2:$Q$2,'FY-(26-27)Q2'!$A$2:$BX$2,0),0),0)</f>
        <v>80093</v>
      </c>
      <c r="Q53" s="154">
        <f>IFERROR(VLOOKUP($A$3:$A$144,'FY-(26-27)Q2'!$A$4:$ABW$124,MATCH('FY-(26-27)Q1'!$P$2:$Q$2,'FY-(26-27)Q2'!$A$2:$BX$2,0),0),0)</f>
        <v>2.0023249999999999</v>
      </c>
      <c r="R53" s="158"/>
      <c r="S53" s="152">
        <f>IFERROR(VLOOKUP($A$3:$A$144,'FY-(26-27)Q3'!$A$4:$ABW$117,MATCH('FY-(26-27)Q1'!$S$2:$T$2,'FY-(26-27)Q3'!$A$2:$BX$2,0),0),0)</f>
        <v>344037</v>
      </c>
      <c r="T53" s="154">
        <f>IFERROR(VLOOKUP($A$3:$A$144,'FY-(26-27)Q3'!$A$4:$ABW$117,MATCH('FY-(26-27)Q1'!$S$2:$T$3,'FY-(26-27)Q3'!$A$2:$BX$2,0),0),0)</f>
        <v>0</v>
      </c>
      <c r="U53" s="158"/>
      <c r="V53" s="45"/>
      <c r="W53" s="72"/>
      <c r="Y53" s="153">
        <f t="shared" si="4"/>
        <v>412302</v>
      </c>
      <c r="Z53" s="167">
        <f t="shared" si="5"/>
        <v>1.7066249999999998</v>
      </c>
      <c r="AD53"/>
      <c r="AE53"/>
      <c r="AF53"/>
      <c r="AG53"/>
      <c r="AH53"/>
    </row>
    <row r="54" spans="1:34" s="1" customFormat="1" ht="15" customHeight="1" x14ac:dyDescent="0.25">
      <c r="A54" s="43" t="s">
        <v>143</v>
      </c>
      <c r="B54" s="34" t="s">
        <v>19</v>
      </c>
      <c r="C54" s="35" t="s">
        <v>232</v>
      </c>
      <c r="D54" s="35" t="s">
        <v>142</v>
      </c>
      <c r="E54" s="141" t="s">
        <v>107</v>
      </c>
      <c r="F54" s="116">
        <v>0.5</v>
      </c>
      <c r="G54" s="152">
        <f>IFERROR(VLOOKUP($A$3:$A$144,'APR-2026'!$A$4:$ABX$112,MATCH('FY-(26-27)Q1'!$G$2:$H$2,'APR-2026'!$A$2:$BY$2,0),0),0)</f>
        <v>77627</v>
      </c>
      <c r="H54" s="154">
        <f>IFERROR(VLOOKUP($A$3:$A$144,'APR-2026'!$A$4:$ABX$112,MATCH('FY-(26-27)Q1'!$G$2:$H$2,'APR-2026'!$A$2:$BY$2,0),0),0)</f>
        <v>1.55254</v>
      </c>
      <c r="I54" s="152">
        <f>IFERROR(VLOOKUP($A$3:$A$144,'MAY-2026'!$A$4:$ACP$113,MATCH('FY-(26-27)Q1'!$I$2:$J$2,'MAY-2026'!$A$2:$CQ$2,0),0),0)</f>
        <v>-318673</v>
      </c>
      <c r="J54" s="154">
        <f>IFERROR(VLOOKUP($A$3:$A$144,'MAY-2026'!$A$4:$ACP$113,MATCH('FY-(26-27)Q1'!$I$2:$J$2,'MAY-2026'!$A$2:$CQ$2,0),0),0)</f>
        <v>-6.3734599999999997</v>
      </c>
      <c r="K54" s="152">
        <f>IFERROR(VLOOKUP($A$3:$A$144,'JUNE-2026'!$A$4:$ADJ$113,MATCH('FY-(26-27)Q1'!$K$2:$L$2,'JUNE-2026'!$A$2:$DK$2,0),0),0)</f>
        <v>193584</v>
      </c>
      <c r="L54" s="154">
        <f>IFERROR(VLOOKUP($A$3:$A$144,'JUNE-2026'!$A$4:$ADJ$113,MATCH('FY-(26-27)Q1'!$K$2:$L$2,'JUNE-2026'!$A$2:$DK$2,0),0),0)</f>
        <v>3.87168</v>
      </c>
      <c r="M54" s="71">
        <f t="shared" si="10"/>
        <v>-47462</v>
      </c>
      <c r="N54" s="165">
        <f t="shared" si="11"/>
        <v>-0.9492399999999992</v>
      </c>
      <c r="O54" s="214"/>
      <c r="P54" s="152">
        <f>IFERROR(VLOOKUP($A$3:$A$144,'FY-(26-27)Q2'!$A$4:$ABW$124,MATCH('FY-(26-27)Q1'!$P$2:$Q$2,'FY-(26-27)Q2'!$A$2:$BX$2,0),0),0)</f>
        <v>-208817</v>
      </c>
      <c r="Q54" s="154">
        <f>IFERROR(VLOOKUP($A$3:$A$144,'FY-(26-27)Q2'!$A$4:$ABW$124,MATCH('FY-(26-27)Q1'!$P$2:$Q$2,'FY-(26-27)Q2'!$A$2:$BX$2,0),0),0)</f>
        <v>-4.1763399999999997</v>
      </c>
      <c r="R54" s="158"/>
      <c r="S54" s="152">
        <f>IFERROR(VLOOKUP($A$3:$A$144,'FY-(26-27)Q3'!$A$4:$ABW$117,MATCH('FY-(26-27)Q1'!$S$2:$T$2,'FY-(26-27)Q3'!$A$2:$BX$2,0),0),0)</f>
        <v>0</v>
      </c>
      <c r="T54" s="154">
        <f>IFERROR(VLOOKUP($A$3:$A$144,'FY-(26-27)Q3'!$A$4:$ABW$117,MATCH('FY-(26-27)Q1'!$S$2:$T$3,'FY-(26-27)Q3'!$A$2:$BX$2,0),0),0)</f>
        <v>0</v>
      </c>
      <c r="U54" s="158"/>
      <c r="V54" s="45"/>
      <c r="W54" s="72"/>
      <c r="X54"/>
      <c r="Y54" s="153">
        <f t="shared" si="4"/>
        <v>-256279</v>
      </c>
      <c r="Z54" s="167">
        <f t="shared" si="5"/>
        <v>-5.1255799999999994</v>
      </c>
      <c r="AA54"/>
    </row>
    <row r="55" spans="1:34" ht="15" customHeight="1" x14ac:dyDescent="0.25">
      <c r="A55" s="43" t="s">
        <v>144</v>
      </c>
      <c r="B55" s="34" t="s">
        <v>19</v>
      </c>
      <c r="C55" s="35" t="s">
        <v>232</v>
      </c>
      <c r="D55" s="35" t="s">
        <v>145</v>
      </c>
      <c r="E55" s="141" t="s">
        <v>256</v>
      </c>
      <c r="F55" s="116">
        <v>0.5</v>
      </c>
      <c r="G55" s="152">
        <f>IFERROR(VLOOKUP($A$3:$A$144,'APR-2026'!$A$4:$ABX$112,MATCH('FY-(26-27)Q1'!$G$2:$H$2,'APR-2026'!$A$2:$BY$2,0),0),0)</f>
        <v>43500</v>
      </c>
      <c r="H55" s="154">
        <f>IFERROR(VLOOKUP($A$3:$A$144,'APR-2026'!$A$4:$ABX$112,MATCH('FY-(26-27)Q1'!$G$2:$H$2,'APR-2026'!$A$2:$BY$2,0),0),0)</f>
        <v>0.87</v>
      </c>
      <c r="I55" s="152">
        <f>IFERROR(VLOOKUP($A$3:$A$144,'MAY-2026'!$A$4:$ACP$113,MATCH('FY-(26-27)Q1'!$I$2:$J$2,'MAY-2026'!$A$2:$CQ$2,0),0),0)</f>
        <v>-206560</v>
      </c>
      <c r="J55" s="154">
        <f>IFERROR(VLOOKUP($A$3:$A$144,'MAY-2026'!$A$4:$ACP$113,MATCH('FY-(26-27)Q1'!$I$2:$J$2,'MAY-2026'!$A$2:$CQ$2,0),0),0)</f>
        <v>-4.1311999999999998</v>
      </c>
      <c r="K55" s="152">
        <f>IFERROR(VLOOKUP($A$3:$A$144,'JUNE-2026'!$A$4:$ADJ$113,MATCH('FY-(26-27)Q1'!$K$2:$L$2,'JUNE-2026'!$A$2:$DK$2,0),0),0)</f>
        <v>-172401</v>
      </c>
      <c r="L55" s="154">
        <f>IFERROR(VLOOKUP($A$3:$A$144,'JUNE-2026'!$A$4:$ADJ$113,MATCH('FY-(26-27)Q1'!$K$2:$L$2,'JUNE-2026'!$A$2:$DK$2,0),0),0)</f>
        <v>-3.4480200000000001</v>
      </c>
      <c r="M55" s="71">
        <f t="shared" si="10"/>
        <v>-335461</v>
      </c>
      <c r="N55" s="165">
        <f t="shared" si="11"/>
        <v>-6.7092200000000002</v>
      </c>
      <c r="O55" s="214"/>
      <c r="P55" s="152">
        <f>IFERROR(VLOOKUP($A$3:$A$144,'FY-(26-27)Q2'!$A$4:$ABW$124,MATCH('FY-(26-27)Q1'!$P$2:$Q$2,'FY-(26-27)Q2'!$A$2:$BX$2,0),0),0)</f>
        <v>-64553</v>
      </c>
      <c r="Q55" s="154">
        <f>IFERROR(VLOOKUP($A$3:$A$144,'FY-(26-27)Q2'!$A$4:$ABW$124,MATCH('FY-(26-27)Q1'!$P$2:$Q$2,'FY-(26-27)Q2'!$A$2:$BX$2,0),0),0)</f>
        <v>-1.2910600000000001</v>
      </c>
      <c r="R55" s="158"/>
      <c r="S55" s="152">
        <f>IFERROR(VLOOKUP($A$3:$A$144,'FY-(26-27)Q3'!$A$4:$ABW$117,MATCH('FY-(26-27)Q1'!$S$2:$T$2,'FY-(26-27)Q3'!$A$2:$BX$2,0),0),0)</f>
        <v>0</v>
      </c>
      <c r="T55" s="154">
        <f>IFERROR(VLOOKUP($A$3:$A$144,'FY-(26-27)Q3'!$A$4:$ABW$117,MATCH('FY-(26-27)Q1'!$S$2:$T$3,'FY-(26-27)Q3'!$A$2:$BX$2,0),0),0)</f>
        <v>0</v>
      </c>
      <c r="U55" s="158"/>
      <c r="V55" s="45"/>
      <c r="W55" s="72"/>
      <c r="Y55" s="153">
        <f t="shared" si="4"/>
        <v>-400014</v>
      </c>
      <c r="Z55" s="167">
        <f t="shared" si="5"/>
        <v>-8.0002800000000001</v>
      </c>
      <c r="AD55" s="1"/>
      <c r="AE55" s="1"/>
      <c r="AF55" s="1"/>
      <c r="AG55" s="1"/>
      <c r="AH55" s="1"/>
    </row>
    <row r="56" spans="1:34" ht="15" customHeight="1" x14ac:dyDescent="0.25">
      <c r="A56" s="35" t="s">
        <v>31</v>
      </c>
      <c r="B56" s="36" t="s">
        <v>153</v>
      </c>
      <c r="C56" s="35" t="s">
        <v>222</v>
      </c>
      <c r="D56" s="141" t="s">
        <v>263</v>
      </c>
      <c r="E56" s="40" t="s">
        <v>256</v>
      </c>
      <c r="F56" s="116">
        <v>4</v>
      </c>
      <c r="G56" s="152">
        <f>IFERROR(VLOOKUP($A$3:$A$144,'APR-2026'!$A$4:$ABX$112,MATCH('FY-(26-27)Q1'!$G$2:$H$2,'APR-2026'!$A$2:$BY$2,0),0),0)</f>
        <v>134591</v>
      </c>
      <c r="H56" s="154">
        <f>IFERROR(VLOOKUP($A$3:$A$144,'APR-2026'!$A$4:$ABX$112,MATCH('FY-(26-27)Q1'!$G$2:$H$2,'APR-2026'!$A$2:$BY$2,0),0),0)</f>
        <v>0.33647749999999998</v>
      </c>
      <c r="I56" s="152">
        <f>IFERROR(VLOOKUP($A$3:$A$144,'MAY-2026'!$A$4:$ACP$113,MATCH('FY-(26-27)Q1'!$I$2:$J$2,'MAY-2026'!$A$2:$CQ$2,0),0),0)</f>
        <v>-283771</v>
      </c>
      <c r="J56" s="154">
        <f>IFERROR(VLOOKUP($A$3:$A$144,'MAY-2026'!$A$4:$ACP$113,MATCH('FY-(26-27)Q1'!$I$2:$J$2,'MAY-2026'!$A$2:$CQ$2,0),0),0)</f>
        <v>-0.70942749999999999</v>
      </c>
      <c r="K56" s="152">
        <f>IFERROR(VLOOKUP($A$3:$A$144,'JUNE-2026'!$A$4:$ADJ$113,MATCH('FY-(26-27)Q1'!$K$2:$L$2,'JUNE-2026'!$A$2:$DK$2,0),0),0)</f>
        <v>-251119</v>
      </c>
      <c r="L56" s="154">
        <f>IFERROR(VLOOKUP($A$3:$A$144,'JUNE-2026'!$A$4:$ADJ$113,MATCH('FY-(26-27)Q1'!$K$2:$L$2,'JUNE-2026'!$A$2:$DK$2,0),0),0)</f>
        <v>-0.62779750000000001</v>
      </c>
      <c r="M56" s="71">
        <f t="shared" si="10"/>
        <v>-400299</v>
      </c>
      <c r="N56" s="165">
        <f t="shared" si="11"/>
        <v>-1.0007475000000001</v>
      </c>
      <c r="O56" s="214"/>
      <c r="P56" s="152">
        <f>IFERROR(VLOOKUP($A$3:$A$144,'FY-(26-27)Q2'!$A$4:$ABW$124,MATCH('FY-(26-27)Q1'!$P$2:$Q$2,'FY-(26-27)Q2'!$A$2:$BX$2,0),0),0)</f>
        <v>595360</v>
      </c>
      <c r="Q56" s="154">
        <f>IFERROR(VLOOKUP($A$3:$A$144,'FY-(26-27)Q2'!$A$4:$ABW$124,MATCH('FY-(26-27)Q1'!$P$2:$Q$2,'FY-(26-27)Q2'!$A$2:$BX$2,0),0),0)</f>
        <v>1.4884000000000002</v>
      </c>
      <c r="R56" s="158"/>
      <c r="S56" s="152">
        <f>IFERROR(VLOOKUP($A$3:$A$144,'FY-(26-27)Q3'!$A$4:$ABW$117,MATCH('FY-(26-27)Q1'!$S$2:$T$2,'FY-(26-27)Q3'!$A$2:$BX$2,0),0),0)</f>
        <v>311005</v>
      </c>
      <c r="T56" s="154">
        <f>IFERROR(VLOOKUP($A$3:$A$144,'FY-(26-27)Q3'!$A$4:$ABW$117,MATCH('FY-(26-27)Q1'!$S$2:$T$3,'FY-(26-27)Q3'!$A$2:$BX$2,0),0),0)</f>
        <v>0</v>
      </c>
      <c r="U56" s="158"/>
      <c r="V56" s="45"/>
      <c r="W56" s="72"/>
      <c r="Y56" s="153">
        <f t="shared" si="4"/>
        <v>506066</v>
      </c>
      <c r="Z56" s="167">
        <f t="shared" si="5"/>
        <v>0.48765250000000004</v>
      </c>
    </row>
    <row r="57" spans="1:34" ht="15" customHeight="1" x14ac:dyDescent="0.25">
      <c r="A57" s="35" t="s">
        <v>104</v>
      </c>
      <c r="B57" s="36" t="s">
        <v>105</v>
      </c>
      <c r="C57" s="35" t="s">
        <v>57</v>
      </c>
      <c r="D57" s="141" t="s">
        <v>106</v>
      </c>
      <c r="E57" s="40" t="s">
        <v>106</v>
      </c>
      <c r="F57" s="116">
        <v>1</v>
      </c>
      <c r="G57" s="152">
        <f>IFERROR(VLOOKUP($A$3:$A$144,'APR-2026'!$A$4:$ABX$112,MATCH('FY-(26-27)Q1'!$G$2:$H$2,'APR-2026'!$A$2:$BY$2,0),0),0)</f>
        <v>601979</v>
      </c>
      <c r="H57" s="154">
        <f>IFERROR(VLOOKUP($A$3:$A$144,'APR-2026'!$A$4:$ABX$112,MATCH('FY-(26-27)Q1'!$G$2:$H$2,'APR-2026'!$A$2:$BY$2,0),0),0)</f>
        <v>6.0197900000000004</v>
      </c>
      <c r="I57" s="152">
        <f>IFERROR(VLOOKUP($A$3:$A$144,'MAY-2026'!$A$4:$ACP$113,MATCH('FY-(26-27)Q1'!$I$2:$J$2,'MAY-2026'!$A$2:$CQ$2,0),0),0)</f>
        <v>74933</v>
      </c>
      <c r="J57" s="154">
        <f>IFERROR(VLOOKUP($A$3:$A$144,'MAY-2026'!$A$4:$ACP$113,MATCH('FY-(26-27)Q1'!$I$2:$J$2,'MAY-2026'!$A$2:$CQ$2,0),0),0)</f>
        <v>0.74933000000000005</v>
      </c>
      <c r="K57" s="152">
        <f>IFERROR(VLOOKUP($A$3:$A$144,'JUNE-2026'!$A$4:$ADJ$113,MATCH('FY-(26-27)Q1'!$K$2:$L$2,'JUNE-2026'!$A$2:$DK$2,0),0),0)</f>
        <v>68881</v>
      </c>
      <c r="L57" s="154">
        <f>IFERROR(VLOOKUP($A$3:$A$144,'JUNE-2026'!$A$4:$ADJ$113,MATCH('FY-(26-27)Q1'!$K$2:$L$2,'JUNE-2026'!$A$2:$DK$2,0),0),0)</f>
        <v>0.68881000000000003</v>
      </c>
      <c r="M57" s="71">
        <f t="shared" si="10"/>
        <v>745793</v>
      </c>
      <c r="N57" s="165">
        <f t="shared" si="11"/>
        <v>7.4579300000000011</v>
      </c>
      <c r="O57" s="214"/>
      <c r="P57" s="152">
        <f>IFERROR(VLOOKUP($A$3:$A$144,'FY-(26-27)Q2'!$A$4:$ABW$124,MATCH('FY-(26-27)Q1'!$P$2:$Q$2,'FY-(26-27)Q2'!$A$2:$BX$2,0),0),0)</f>
        <v>-85544</v>
      </c>
      <c r="Q57" s="154">
        <f>IFERROR(VLOOKUP($A$3:$A$144,'FY-(26-27)Q2'!$A$4:$ABW$124,MATCH('FY-(26-27)Q1'!$P$2:$Q$2,'FY-(26-27)Q2'!$A$2:$BX$2,0),0),0)</f>
        <v>-0.8554400000000002</v>
      </c>
      <c r="R57" s="158"/>
      <c r="S57" s="152">
        <f>IFERROR(VLOOKUP($A$3:$A$144,'FY-(26-27)Q3'!$A$4:$ABW$117,MATCH('FY-(26-27)Q1'!$S$2:$T$2,'FY-(26-27)Q3'!$A$2:$BX$2,0),0),0)</f>
        <v>-36765</v>
      </c>
      <c r="T57" s="154">
        <f>IFERROR(VLOOKUP($A$3:$A$144,'FY-(26-27)Q3'!$A$4:$ABW$117,MATCH('FY-(26-27)Q1'!$S$2:$T$3,'FY-(26-27)Q3'!$A$2:$BX$2,0),0),0)</f>
        <v>0</v>
      </c>
      <c r="U57" s="158"/>
      <c r="V57" s="45"/>
      <c r="W57" s="72"/>
      <c r="Y57" s="153">
        <f t="shared" si="4"/>
        <v>623484</v>
      </c>
      <c r="Z57" s="167">
        <f t="shared" si="5"/>
        <v>6.6024900000000013</v>
      </c>
    </row>
    <row r="58" spans="1:34" s="131" customFormat="1" ht="15" customHeight="1" x14ac:dyDescent="0.25">
      <c r="A58" s="141" t="s">
        <v>314</v>
      </c>
      <c r="B58" s="142" t="s">
        <v>105</v>
      </c>
      <c r="C58" s="141" t="s">
        <v>15</v>
      </c>
      <c r="D58" s="141" t="s">
        <v>256</v>
      </c>
      <c r="E58" s="141" t="s">
        <v>256</v>
      </c>
      <c r="F58" s="155">
        <v>0.5</v>
      </c>
      <c r="G58" s="152">
        <f>IFERROR(VLOOKUP($A$3:$A$144,'APR-2026'!$A$4:$ABX$112,MATCH('FY-(26-27)Q1'!$G$2:$H$2,'APR-2026'!$A$2:$BY$2,0),0),0)</f>
        <v>0</v>
      </c>
      <c r="H58" s="154">
        <f>IFERROR(VLOOKUP($A$3:$A$144,'APR-2026'!$A$4:$ABX$112,MATCH('FY-(26-27)Q1'!$G$2:$H$2,'APR-2026'!$A$2:$BY$2,0),0),0)</f>
        <v>0</v>
      </c>
      <c r="I58" s="152">
        <f>IFERROR(VLOOKUP($A$3:$A$144,'MAY-2026'!$A$4:$ACP$113,MATCH('FY-(26-27)Q1'!$I$2:$J$2,'MAY-2026'!$A$2:$CQ$2,0),0),0)</f>
        <v>0</v>
      </c>
      <c r="J58" s="154">
        <f>IFERROR(VLOOKUP($A$3:$A$144,'MAY-2026'!$A$4:$ACP$113,MATCH('FY-(26-27)Q1'!$I$2:$J$2,'MAY-2026'!$A$2:$CQ$2,0),0),0)</f>
        <v>0</v>
      </c>
      <c r="K58" s="152">
        <f>IFERROR(VLOOKUP($A$3:$A$144,'JUNE-2026'!$A$4:$ADJ$113,MATCH('FY-(26-27)Q1'!$K$2:$L$2,'JUNE-2026'!$A$2:$DK$2,0),0),0)</f>
        <v>0</v>
      </c>
      <c r="L58" s="154">
        <f>IFERROR(VLOOKUP($A$3:$A$144,'JUNE-2026'!$A$4:$ADJ$113,MATCH('FY-(26-27)Q1'!$K$2:$L$2,'JUNE-2026'!$A$2:$DK$2,0),0),0)</f>
        <v>0</v>
      </c>
      <c r="M58" s="71">
        <f t="shared" si="10"/>
        <v>0</v>
      </c>
      <c r="N58" s="165">
        <f t="shared" si="11"/>
        <v>0</v>
      </c>
      <c r="O58" s="214"/>
      <c r="P58" s="152">
        <f>IFERROR(VLOOKUP($A$3:$A$144,'FY-(26-27)Q2'!$A$4:$ABW$124,MATCH('FY-(26-27)Q1'!$P$2:$Q$2,'FY-(26-27)Q2'!$A$2:$BX$2,0),0),0)</f>
        <v>0</v>
      </c>
      <c r="Q58" s="154">
        <f>IFERROR(VLOOKUP($A$3:$A$144,'FY-(26-27)Q2'!$A$4:$ABW$124,MATCH('FY-(26-27)Q1'!$P$2:$Q$2,'FY-(26-27)Q2'!$A$2:$BX$2,0),0),0)</f>
        <v>0</v>
      </c>
      <c r="R58" s="158"/>
      <c r="S58" s="152">
        <f>IFERROR(VLOOKUP($A$3:$A$144,'FY-(26-27)Q3'!$A$4:$ABW$117,MATCH('FY-(26-27)Q1'!$S$2:$T$2,'FY-(26-27)Q3'!$A$2:$BX$2,0),0),0)</f>
        <v>0</v>
      </c>
      <c r="T58" s="154">
        <f>IFERROR(VLOOKUP($A$3:$A$144,'FY-(26-27)Q3'!$A$4:$ABW$117,MATCH('FY-(26-27)Q1'!$S$2:$T$3,'FY-(26-27)Q3'!$A$2:$BX$2,0),0),0)</f>
        <v>0</v>
      </c>
      <c r="U58" s="158"/>
      <c r="V58" s="143"/>
      <c r="W58" s="149"/>
      <c r="Y58" s="153">
        <f t="shared" si="4"/>
        <v>0</v>
      </c>
      <c r="Z58" s="167">
        <f t="shared" si="5"/>
        <v>0</v>
      </c>
    </row>
    <row r="59" spans="1:34" ht="15" customHeight="1" x14ac:dyDescent="0.25">
      <c r="A59" s="141" t="s">
        <v>229</v>
      </c>
      <c r="B59" s="142" t="s">
        <v>105</v>
      </c>
      <c r="C59" s="141" t="s">
        <v>218</v>
      </c>
      <c r="D59" s="141" t="s">
        <v>269</v>
      </c>
      <c r="E59" s="141" t="s">
        <v>256</v>
      </c>
      <c r="F59" s="155">
        <v>0.5</v>
      </c>
      <c r="G59" s="152">
        <f>IFERROR(VLOOKUP($A$3:$A$144,'APR-2026'!$A$4:$ABX$112,MATCH('FY-(26-27)Q1'!$G$2:$H$2,'APR-2026'!$A$2:$BY$2,0),0),0)</f>
        <v>0</v>
      </c>
      <c r="H59" s="154">
        <f>IFERROR(VLOOKUP($A$3:$A$144,'APR-2026'!$A$4:$ABX$112,MATCH('FY-(26-27)Q1'!$G$2:$H$2,'APR-2026'!$A$2:$BY$2,0),0),0)</f>
        <v>0</v>
      </c>
      <c r="I59" s="152">
        <f>IFERROR(VLOOKUP($A$3:$A$144,'MAY-2026'!$A$4:$ACP$113,MATCH('FY-(26-27)Q1'!$I$2:$J$2,'MAY-2026'!$A$2:$CQ$2,0),0),0)</f>
        <v>-2189</v>
      </c>
      <c r="J59" s="154">
        <f>IFERROR(VLOOKUP($A$3:$A$144,'MAY-2026'!$A$4:$ACP$113,MATCH('FY-(26-27)Q1'!$I$2:$J$2,'MAY-2026'!$A$2:$CQ$2,0),0),0)</f>
        <v>-4.3779999999999999E-2</v>
      </c>
      <c r="K59" s="152">
        <f>IFERROR(VLOOKUP($A$3:$A$144,'JUNE-2026'!$A$4:$ADJ$113,MATCH('FY-(26-27)Q1'!$K$2:$L$2,'JUNE-2026'!$A$2:$DK$2,0),0),0)</f>
        <v>-243589</v>
      </c>
      <c r="L59" s="154">
        <f>IFERROR(VLOOKUP($A$3:$A$144,'JUNE-2026'!$A$4:$ADJ$113,MATCH('FY-(26-27)Q1'!$K$2:$L$2,'JUNE-2026'!$A$2:$DK$2,0),0),0)</f>
        <v>-4.8717800000000002</v>
      </c>
      <c r="M59" s="71">
        <f t="shared" si="10"/>
        <v>-245778</v>
      </c>
      <c r="N59" s="165">
        <f t="shared" si="11"/>
        <v>-4.9155600000000002</v>
      </c>
      <c r="O59" s="214"/>
      <c r="P59" s="152">
        <f>IFERROR(VLOOKUP($A$3:$A$144,'FY-(26-27)Q2'!$A$4:$ABW$124,MATCH('FY-(26-27)Q1'!$P$2:$Q$2,'FY-(26-27)Q2'!$A$2:$BX$2,0),0),0)</f>
        <v>-28247</v>
      </c>
      <c r="Q59" s="154">
        <f>IFERROR(VLOOKUP($A$3:$A$144,'FY-(26-27)Q2'!$A$4:$ABW$124,MATCH('FY-(26-27)Q1'!$P$2:$Q$2,'FY-(26-27)Q2'!$A$2:$BX$2,0),0),0)</f>
        <v>-0.56493999999999989</v>
      </c>
      <c r="R59" s="158"/>
      <c r="S59" s="152">
        <f>IFERROR(VLOOKUP($A$3:$A$144,'FY-(26-27)Q3'!$A$4:$ABW$117,MATCH('FY-(26-27)Q1'!$S$2:$T$2,'FY-(26-27)Q3'!$A$2:$BX$2,0),0),0)</f>
        <v>-42052</v>
      </c>
      <c r="T59" s="154">
        <f>IFERROR(VLOOKUP($A$3:$A$144,'FY-(26-27)Q3'!$A$4:$ABW$117,MATCH('FY-(26-27)Q1'!$S$2:$T$3,'FY-(26-27)Q3'!$A$2:$BX$2,0),0),0)</f>
        <v>0</v>
      </c>
      <c r="U59" s="158"/>
      <c r="V59" s="143"/>
      <c r="W59" s="149"/>
      <c r="X59" s="131"/>
      <c r="Y59" s="153">
        <f t="shared" si="4"/>
        <v>-316077</v>
      </c>
      <c r="Z59" s="167">
        <f t="shared" si="5"/>
        <v>-5.4805000000000001</v>
      </c>
      <c r="AA59" s="131"/>
    </row>
    <row r="60" spans="1:34" ht="15" customHeight="1" x14ac:dyDescent="0.25">
      <c r="A60" s="35" t="s">
        <v>45</v>
      </c>
      <c r="B60" s="36" t="s">
        <v>98</v>
      </c>
      <c r="C60" s="35" t="s">
        <v>220</v>
      </c>
      <c r="D60" s="141" t="s">
        <v>265</v>
      </c>
      <c r="E60" s="60" t="s">
        <v>256</v>
      </c>
      <c r="F60" s="116">
        <v>1</v>
      </c>
      <c r="G60" s="152">
        <f>IFERROR(VLOOKUP($A$3:$A$144,'APR-2026'!$A$4:$ABX$112,MATCH('FY-(26-27)Q1'!$G$2:$H$2,'APR-2026'!$A$2:$BY$2,0),0),0)</f>
        <v>-4883324</v>
      </c>
      <c r="H60" s="154">
        <f>IFERROR(VLOOKUP($A$3:$A$144,'APR-2026'!$A$4:$ABX$112,MATCH('FY-(26-27)Q1'!$G$2:$H$2,'APR-2026'!$A$2:$BY$2,0),0),0)</f>
        <v>-16.277746666666669</v>
      </c>
      <c r="I60" s="152">
        <f>IFERROR(VLOOKUP($A$3:$A$144,'MAY-2026'!$A$4:$ACP$113,MATCH('FY-(26-27)Q1'!$I$2:$J$2,'MAY-2026'!$A$2:$CQ$2,0),0),0)</f>
        <v>76551</v>
      </c>
      <c r="J60" s="154">
        <f>IFERROR(VLOOKUP($A$3:$A$144,'MAY-2026'!$A$4:$ACP$113,MATCH('FY-(26-27)Q1'!$I$2:$J$2,'MAY-2026'!$A$2:$CQ$2,0),0),0)</f>
        <v>0.25517000000000001</v>
      </c>
      <c r="K60" s="152">
        <f>IFERROR(VLOOKUP($A$3:$A$144,'JUNE-2026'!$A$4:$ADJ$113,MATCH('FY-(26-27)Q1'!$K$2:$L$2,'JUNE-2026'!$A$2:$DK$2,0),0),0)</f>
        <v>107798</v>
      </c>
      <c r="L60" s="154">
        <f>IFERROR(VLOOKUP($A$3:$A$144,'JUNE-2026'!$A$4:$ADJ$113,MATCH('FY-(26-27)Q1'!$K$2:$L$2,'JUNE-2026'!$A$2:$DK$2,0),0),0)</f>
        <v>0.35932666666666663</v>
      </c>
      <c r="M60" s="71">
        <f t="shared" si="10"/>
        <v>-4698975</v>
      </c>
      <c r="N60" s="165">
        <f t="shared" si="11"/>
        <v>-15.663250000000003</v>
      </c>
      <c r="O60" s="214"/>
      <c r="P60" s="152">
        <f>IFERROR(VLOOKUP($A$3:$A$144,'FY-(26-27)Q2'!$A$4:$ABW$124,MATCH('FY-(26-27)Q1'!$P$2:$Q$2,'FY-(26-27)Q2'!$A$2:$BX$2,0),0),0)</f>
        <v>44640</v>
      </c>
      <c r="Q60" s="154">
        <f>IFERROR(VLOOKUP($A$3:$A$144,'FY-(26-27)Q2'!$A$4:$ABW$124,MATCH('FY-(26-27)Q1'!$P$2:$Q$2,'FY-(26-27)Q2'!$A$2:$BX$2,0),0),0)</f>
        <v>0.14879999999999993</v>
      </c>
      <c r="R60" s="158"/>
      <c r="S60" s="152">
        <f>IFERROR(VLOOKUP($A$3:$A$144,'FY-(26-27)Q3'!$A$4:$ABW$117,MATCH('FY-(26-27)Q1'!$S$2:$T$2,'FY-(26-27)Q3'!$A$2:$BX$2,0),0),0)</f>
        <v>422121</v>
      </c>
      <c r="T60" s="154">
        <f>IFERROR(VLOOKUP($A$3:$A$144,'FY-(26-27)Q3'!$A$4:$ABW$117,MATCH('FY-(26-27)Q1'!$S$2:$T$3,'FY-(26-27)Q3'!$A$2:$BX$2,0),0),0)</f>
        <v>0</v>
      </c>
      <c r="U60" s="158"/>
      <c r="V60" s="45"/>
      <c r="W60" s="72"/>
      <c r="Y60" s="153">
        <f t="shared" si="4"/>
        <v>-4232214</v>
      </c>
      <c r="Z60" s="167">
        <f t="shared" si="5"/>
        <v>-15.514450000000004</v>
      </c>
      <c r="AB60" s="131"/>
      <c r="AC60" s="131"/>
    </row>
    <row r="61" spans="1:34" ht="15" customHeight="1" x14ac:dyDescent="0.25">
      <c r="A61" s="141" t="s">
        <v>193</v>
      </c>
      <c r="B61" s="142" t="s">
        <v>186</v>
      </c>
      <c r="C61" s="141" t="s">
        <v>221</v>
      </c>
      <c r="D61" s="141" t="s">
        <v>265</v>
      </c>
      <c r="E61" s="141" t="s">
        <v>256</v>
      </c>
      <c r="F61" s="155">
        <v>3</v>
      </c>
      <c r="G61" s="152">
        <f>IFERROR(VLOOKUP($A$3:$A$144,'APR-2026'!$A$4:$ABX$112,MATCH('FY-(26-27)Q1'!$G$2:$H$2,'APR-2026'!$A$2:$BY$2,0),0),0)</f>
        <v>-586367</v>
      </c>
      <c r="H61" s="154">
        <f>IFERROR(VLOOKUP($A$3:$A$144,'APR-2026'!$A$4:$ABX$112,MATCH('FY-(26-27)Q1'!$G$2:$H$2,'APR-2026'!$A$2:$BY$2,0),0),0)</f>
        <v>-1.9545566666666665</v>
      </c>
      <c r="I61" s="152">
        <f>IFERROR(VLOOKUP($A$3:$A$144,'MAY-2026'!$A$4:$ACP$113,MATCH('FY-(26-27)Q1'!$I$2:$J$2,'MAY-2026'!$A$2:$CQ$2,0),0),0)</f>
        <v>152411</v>
      </c>
      <c r="J61" s="154">
        <f>IFERROR(VLOOKUP($A$3:$A$144,'MAY-2026'!$A$4:$ACP$113,MATCH('FY-(26-27)Q1'!$I$2:$J$2,'MAY-2026'!$A$2:$CQ$2,0),0),0)</f>
        <v>0.50803666666666658</v>
      </c>
      <c r="K61" s="152">
        <f>IFERROR(VLOOKUP($A$3:$A$144,'JUNE-2026'!$A$4:$ADJ$113,MATCH('FY-(26-27)Q1'!$K$2:$L$2,'JUNE-2026'!$A$2:$DK$2,0),0),0)</f>
        <v>144510</v>
      </c>
      <c r="L61" s="154">
        <f>IFERROR(VLOOKUP($A$3:$A$144,'JUNE-2026'!$A$4:$ADJ$113,MATCH('FY-(26-27)Q1'!$K$2:$L$2,'JUNE-2026'!$A$2:$DK$2,0),0),0)</f>
        <v>0.48170000000000002</v>
      </c>
      <c r="M61" s="71">
        <f t="shared" si="10"/>
        <v>-289446</v>
      </c>
      <c r="N61" s="165">
        <f t="shared" si="11"/>
        <v>-0.96482000000000001</v>
      </c>
      <c r="O61" s="214"/>
      <c r="P61" s="152">
        <f>IFERROR(VLOOKUP($A$3:$A$144,'FY-(26-27)Q2'!$A$4:$ABW$124,MATCH('FY-(26-27)Q1'!$P$2:$Q$2,'FY-(26-27)Q2'!$A$2:$BX$2,0),0),0)</f>
        <v>-39847</v>
      </c>
      <c r="Q61" s="154">
        <f>IFERROR(VLOOKUP($A$3:$A$144,'FY-(26-27)Q2'!$A$4:$ABW$124,MATCH('FY-(26-27)Q1'!$P$2:$Q$2,'FY-(26-27)Q2'!$A$2:$BX$2,0),0),0)</f>
        <v>-0.13282333333333335</v>
      </c>
      <c r="R61" s="158"/>
      <c r="S61" s="152">
        <f>IFERROR(VLOOKUP($A$3:$A$144,'FY-(26-27)Q3'!$A$4:$ABW$117,MATCH('FY-(26-27)Q1'!$S$2:$T$2,'FY-(26-27)Q3'!$A$2:$BX$2,0),0),0)</f>
        <v>0</v>
      </c>
      <c r="T61" s="154">
        <f>IFERROR(VLOOKUP($A$3:$A$144,'FY-(26-27)Q3'!$A$4:$ABW$117,MATCH('FY-(26-27)Q1'!$S$2:$T$3,'FY-(26-27)Q3'!$A$2:$BX$2,0),0),0)</f>
        <v>0</v>
      </c>
      <c r="U61" s="158"/>
      <c r="V61" s="143"/>
      <c r="W61" s="149"/>
      <c r="X61" s="131"/>
      <c r="Y61" s="153">
        <f t="shared" si="4"/>
        <v>-329293</v>
      </c>
      <c r="Z61" s="167">
        <f t="shared" si="5"/>
        <v>-1.0976433333333333</v>
      </c>
    </row>
    <row r="62" spans="1:34" s="1" customFormat="1" ht="15" customHeight="1" x14ac:dyDescent="0.25">
      <c r="A62" s="35" t="s">
        <v>52</v>
      </c>
      <c r="B62" s="36" t="s">
        <v>115</v>
      </c>
      <c r="C62" s="35" t="s">
        <v>219</v>
      </c>
      <c r="D62" s="141" t="s">
        <v>269</v>
      </c>
      <c r="E62" s="37" t="s">
        <v>256</v>
      </c>
      <c r="F62" s="116">
        <v>3</v>
      </c>
      <c r="G62" s="152">
        <f>IFERROR(VLOOKUP($A$3:$A$144,'APR-2026'!$A$4:$ABX$112,MATCH('FY-(26-27)Q1'!$G$2:$H$2,'APR-2026'!$A$2:$BY$2,0),0),0)</f>
        <v>-109500</v>
      </c>
      <c r="H62" s="154">
        <f>IFERROR(VLOOKUP($A$3:$A$144,'APR-2026'!$A$4:$ABX$112,MATCH('FY-(26-27)Q1'!$G$2:$H$2,'APR-2026'!$A$2:$BY$2,0),0),0)</f>
        <v>-0.36499999999999999</v>
      </c>
      <c r="I62" s="152">
        <f>IFERROR(VLOOKUP($A$3:$A$144,'MAY-2026'!$A$4:$ACP$113,MATCH('FY-(26-27)Q1'!$I$2:$J$2,'MAY-2026'!$A$2:$CQ$2,0),0),0)</f>
        <v>174432</v>
      </c>
      <c r="J62" s="154">
        <f>IFERROR(VLOOKUP($A$3:$A$144,'MAY-2026'!$A$4:$ACP$113,MATCH('FY-(26-27)Q1'!$I$2:$J$2,'MAY-2026'!$A$2:$CQ$2,0),0),0)</f>
        <v>0.58143999999999996</v>
      </c>
      <c r="K62" s="152">
        <f>IFERROR(VLOOKUP($A$3:$A$144,'JUNE-2026'!$A$4:$ADJ$113,MATCH('FY-(26-27)Q1'!$K$2:$L$2,'JUNE-2026'!$A$2:$DK$2,0),0),0)</f>
        <v>30862</v>
      </c>
      <c r="L62" s="154">
        <f>IFERROR(VLOOKUP($A$3:$A$144,'JUNE-2026'!$A$4:$ADJ$113,MATCH('FY-(26-27)Q1'!$K$2:$L$2,'JUNE-2026'!$A$2:$DK$2,0),0),0)</f>
        <v>0.10287333333333333</v>
      </c>
      <c r="M62" s="71">
        <f t="shared" si="10"/>
        <v>95794</v>
      </c>
      <c r="N62" s="165">
        <f t="shared" si="11"/>
        <v>0.31931333333333328</v>
      </c>
      <c r="O62" s="214"/>
      <c r="P62" s="152">
        <f>IFERROR(VLOOKUP($A$3:$A$144,'FY-(26-27)Q2'!$A$4:$ABW$124,MATCH('FY-(26-27)Q1'!$P$2:$Q$2,'FY-(26-27)Q2'!$A$2:$BX$2,0),0),0)</f>
        <v>30958</v>
      </c>
      <c r="Q62" s="154">
        <f>IFERROR(VLOOKUP($A$3:$A$144,'FY-(26-27)Q2'!$A$4:$ABW$124,MATCH('FY-(26-27)Q1'!$P$2:$Q$2,'FY-(26-27)Q2'!$A$2:$BX$2,0),0),0)</f>
        <v>0.10319333333333325</v>
      </c>
      <c r="R62" s="158"/>
      <c r="S62" s="152">
        <f>IFERROR(VLOOKUP($A$3:$A$144,'FY-(26-27)Q3'!$A$4:$ABW$117,MATCH('FY-(26-27)Q1'!$S$2:$T$2,'FY-(26-27)Q3'!$A$2:$BX$2,0),0),0)</f>
        <v>0</v>
      </c>
      <c r="T62" s="154">
        <f>IFERROR(VLOOKUP($A$3:$A$144,'FY-(26-27)Q3'!$A$4:$ABW$117,MATCH('FY-(26-27)Q1'!$S$2:$T$3,'FY-(26-27)Q3'!$A$2:$BX$2,0),0),0)</f>
        <v>0</v>
      </c>
      <c r="U62" s="158"/>
      <c r="V62" s="45"/>
      <c r="W62" s="72"/>
      <c r="X62"/>
      <c r="Y62" s="153">
        <f t="shared" si="4"/>
        <v>126752</v>
      </c>
      <c r="Z62" s="167">
        <f t="shared" si="5"/>
        <v>0.42250666666666653</v>
      </c>
      <c r="AB62"/>
      <c r="AC62"/>
      <c r="AD62"/>
      <c r="AE62"/>
      <c r="AF62"/>
      <c r="AG62"/>
      <c r="AH62"/>
    </row>
    <row r="63" spans="1:34" s="131" customFormat="1" ht="15" customHeight="1" x14ac:dyDescent="0.25">
      <c r="A63" s="141" t="s">
        <v>292</v>
      </c>
      <c r="B63" s="142" t="s">
        <v>291</v>
      </c>
      <c r="C63" s="141" t="s">
        <v>293</v>
      </c>
      <c r="D63" s="141"/>
      <c r="E63" s="141" t="s">
        <v>256</v>
      </c>
      <c r="F63" s="155">
        <v>0.1</v>
      </c>
      <c r="G63" s="152">
        <f>IFERROR(VLOOKUP($A$3:$A$144,'APR-2026'!$A$4:$ABX$112,MATCH('FY-(26-27)Q1'!$G$2:$H$2,'APR-2026'!$A$2:$BY$2,0),0),0)</f>
        <v>0</v>
      </c>
      <c r="H63" s="154">
        <f>IFERROR(VLOOKUP($A$3:$A$144,'APR-2026'!$A$4:$ABX$112,MATCH('FY-(26-27)Q1'!$G$2:$H$2,'APR-2026'!$A$2:$BY$2,0),0),0)</f>
        <v>0</v>
      </c>
      <c r="I63" s="152">
        <f>IFERROR(VLOOKUP($A$3:$A$144,'MAY-2026'!$A$4:$ACP$113,MATCH('FY-(26-27)Q1'!$I$2:$J$2,'MAY-2026'!$A$2:$CQ$2,0),0),0)</f>
        <v>0</v>
      </c>
      <c r="J63" s="154">
        <f>IFERROR(VLOOKUP($A$3:$A$144,'MAY-2026'!$A$4:$ACP$113,MATCH('FY-(26-27)Q1'!$I$2:$J$2,'MAY-2026'!$A$2:$CQ$2,0),0),0)</f>
        <v>0</v>
      </c>
      <c r="K63" s="152">
        <f>IFERROR(VLOOKUP($A$3:$A$144,'JUNE-2026'!$A$4:$ADJ$113,MATCH('FY-(26-27)Q1'!$K$2:$L$2,'JUNE-2026'!$A$2:$DK$2,0),0),0)</f>
        <v>0</v>
      </c>
      <c r="L63" s="154">
        <f>IFERROR(VLOOKUP($A$3:$A$144,'JUNE-2026'!$A$4:$ADJ$113,MATCH('FY-(26-27)Q1'!$K$2:$L$2,'JUNE-2026'!$A$2:$DK$2,0),0),0)</f>
        <v>0</v>
      </c>
      <c r="M63" s="71">
        <f t="shared" si="10"/>
        <v>0</v>
      </c>
      <c r="N63" s="165">
        <f t="shared" si="11"/>
        <v>0</v>
      </c>
      <c r="O63" s="214"/>
      <c r="P63" s="152">
        <f>IFERROR(VLOOKUP($A$3:$A$144,'FY-(26-27)Q2'!$A$4:$ABW$124,MATCH('FY-(26-27)Q1'!$P$2:$Q$2,'FY-(26-27)Q2'!$A$2:$BX$2,0),0),0)</f>
        <v>-20121</v>
      </c>
      <c r="Q63" s="154">
        <f>IFERROR(VLOOKUP($A$3:$A$144,'FY-(26-27)Q2'!$A$4:$ABW$124,MATCH('FY-(26-27)Q1'!$P$2:$Q$2,'FY-(26-27)Q2'!$A$2:$BX$2,0),0),0)</f>
        <v>-2.0121000000000002</v>
      </c>
      <c r="R63" s="158"/>
      <c r="S63" s="152">
        <f>IFERROR(VLOOKUP($A$3:$A$144,'FY-(26-27)Q3'!$A$4:$ABW$117,MATCH('FY-(26-27)Q1'!$S$2:$T$2,'FY-(26-27)Q3'!$A$2:$BX$2,0),0),0)</f>
        <v>-191569</v>
      </c>
      <c r="T63" s="154">
        <f>IFERROR(VLOOKUP($A$3:$A$144,'FY-(26-27)Q3'!$A$4:$ABW$117,MATCH('FY-(26-27)Q1'!$S$2:$T$3,'FY-(26-27)Q3'!$A$2:$BX$2,0),0),0)</f>
        <v>0</v>
      </c>
      <c r="U63" s="158"/>
      <c r="V63" s="143"/>
      <c r="W63" s="149"/>
      <c r="Y63" s="153">
        <f t="shared" si="4"/>
        <v>-211690</v>
      </c>
      <c r="Z63" s="167">
        <f t="shared" si="5"/>
        <v>-2.0121000000000002</v>
      </c>
    </row>
    <row r="64" spans="1:34" s="131" customFormat="1" ht="15" customHeight="1" x14ac:dyDescent="0.25">
      <c r="A64" s="35" t="s">
        <v>132</v>
      </c>
      <c r="B64" s="36" t="s">
        <v>129</v>
      </c>
      <c r="C64" s="35" t="s">
        <v>17</v>
      </c>
      <c r="D64" s="141" t="s">
        <v>267</v>
      </c>
      <c r="E64" s="37" t="s">
        <v>256</v>
      </c>
      <c r="F64" s="116">
        <v>1</v>
      </c>
      <c r="G64" s="152">
        <f>IFERROR(VLOOKUP($A$3:$A$144,'APR-2026'!$A$4:$ABX$112,MATCH('FY-(26-27)Q1'!$G$2:$H$2,'APR-2026'!$A$2:$BY$2,0),0),0)</f>
        <v>38535</v>
      </c>
      <c r="H64" s="154">
        <f>IFERROR(VLOOKUP($A$3:$A$144,'APR-2026'!$A$4:$ABX$112,MATCH('FY-(26-27)Q1'!$G$2:$H$2,'APR-2026'!$A$2:$BY$2,0),0),0)</f>
        <v>0.38535000000000003</v>
      </c>
      <c r="I64" s="152">
        <f>IFERROR(VLOOKUP($A$3:$A$144,'MAY-2026'!$A$4:$ACP$113,MATCH('FY-(26-27)Q1'!$I$2:$J$2,'MAY-2026'!$A$2:$CQ$2,0),0),0)</f>
        <v>11519</v>
      </c>
      <c r="J64" s="154">
        <f>IFERROR(VLOOKUP($A$3:$A$144,'MAY-2026'!$A$4:$ACP$113,MATCH('FY-(26-27)Q1'!$I$2:$J$2,'MAY-2026'!$A$2:$CQ$2,0),0),0)</f>
        <v>7.6793333333333325E-2</v>
      </c>
      <c r="K64" s="152">
        <f>IFERROR(VLOOKUP($A$3:$A$144,'JUNE-2026'!$A$4:$ADJ$113,MATCH('FY-(26-27)Q1'!$K$2:$L$2,'JUNE-2026'!$A$2:$DK$2,0),0),0)</f>
        <v>-13331</v>
      </c>
      <c r="L64" s="154">
        <f>IFERROR(VLOOKUP($A$3:$A$144,'JUNE-2026'!$A$4:$ADJ$113,MATCH('FY-(26-27)Q1'!$K$2:$L$2,'JUNE-2026'!$A$2:$DK$2,0),0),0)</f>
        <v>-0.13331000000000001</v>
      </c>
      <c r="M64" s="71">
        <f t="shared" si="10"/>
        <v>36723</v>
      </c>
      <c r="N64" s="165">
        <f t="shared" si="11"/>
        <v>0.32883333333333331</v>
      </c>
      <c r="O64" s="214"/>
      <c r="P64" s="152">
        <f>IFERROR(VLOOKUP($A$3:$A$144,'FY-(26-27)Q2'!$A$4:$ABW$124,MATCH('FY-(26-27)Q1'!$P$2:$Q$2,'FY-(26-27)Q2'!$A$2:$BX$2,0),0),0)</f>
        <v>-4032</v>
      </c>
      <c r="Q64" s="154">
        <f>IFERROR(VLOOKUP($A$3:$A$144,'FY-(26-27)Q2'!$A$4:$ABW$124,MATCH('FY-(26-27)Q1'!$P$2:$Q$2,'FY-(26-27)Q2'!$A$2:$BX$2,0),0),0)</f>
        <v>-0.40123999999999999</v>
      </c>
      <c r="R64" s="158"/>
      <c r="S64" s="152">
        <f>IFERROR(VLOOKUP($A$3:$A$144,'FY-(26-27)Q3'!$A$4:$ABW$117,MATCH('FY-(26-27)Q1'!$S$2:$T$2,'FY-(26-27)Q3'!$A$2:$BX$2,0),0),0)</f>
        <v>75358</v>
      </c>
      <c r="T64" s="154">
        <f>IFERROR(VLOOKUP($A$3:$A$144,'FY-(26-27)Q3'!$A$4:$ABW$117,MATCH('FY-(26-27)Q1'!$S$2:$T$3,'FY-(26-27)Q3'!$A$2:$BX$2,0),0),0)</f>
        <v>0</v>
      </c>
      <c r="U64" s="158"/>
      <c r="V64" s="45"/>
      <c r="W64" s="72"/>
      <c r="X64" s="1"/>
      <c r="Y64" s="153">
        <f t="shared" si="4"/>
        <v>108049</v>
      </c>
      <c r="Z64" s="167">
        <f t="shared" si="5"/>
        <v>-7.2406666666666675E-2</v>
      </c>
      <c r="AB64" s="1"/>
      <c r="AC64" s="1"/>
      <c r="AD64" s="1"/>
      <c r="AE64" s="1"/>
      <c r="AF64" s="1"/>
      <c r="AG64" s="1"/>
      <c r="AH64" s="1"/>
    </row>
    <row r="65" spans="1:34" s="1" customFormat="1" ht="15" customHeight="1" x14ac:dyDescent="0.25">
      <c r="A65" s="35" t="s">
        <v>48</v>
      </c>
      <c r="B65" s="34" t="s">
        <v>95</v>
      </c>
      <c r="C65" s="35" t="s">
        <v>50</v>
      </c>
      <c r="D65" s="40" t="s">
        <v>107</v>
      </c>
      <c r="E65" s="40" t="s">
        <v>107</v>
      </c>
      <c r="F65" s="118">
        <v>1</v>
      </c>
      <c r="G65" s="152">
        <f>IFERROR(VLOOKUP($A$3:$A$144,'APR-2026'!$A$4:$ABX$112,MATCH('FY-(26-27)Q1'!$G$2:$H$2,'APR-2026'!$A$2:$BY$2,0),0),0)</f>
        <v>3123845</v>
      </c>
      <c r="H65" s="154">
        <f>IFERROR(VLOOKUP($A$3:$A$144,'APR-2026'!$A$4:$ABX$112,MATCH('FY-(26-27)Q1'!$G$2:$H$2,'APR-2026'!$A$2:$BY$2,0),0),0)</f>
        <v>31.23845</v>
      </c>
      <c r="I65" s="152">
        <f>IFERROR(VLOOKUP($A$3:$A$144,'MAY-2026'!$A$4:$ACP$113,MATCH('FY-(26-27)Q1'!$I$2:$J$2,'MAY-2026'!$A$2:$CQ$2,0),0),0)</f>
        <v>232568</v>
      </c>
      <c r="J65" s="154">
        <f>IFERROR(VLOOKUP($A$3:$A$144,'MAY-2026'!$A$4:$ACP$113,MATCH('FY-(26-27)Q1'!$I$2:$J$2,'MAY-2026'!$A$2:$CQ$2,0),0),0)</f>
        <v>2.3256800000000002</v>
      </c>
      <c r="K65" s="152">
        <f>IFERROR(VLOOKUP($A$3:$A$144,'JUNE-2026'!$A$4:$ADJ$113,MATCH('FY-(26-27)Q1'!$K$2:$L$2,'JUNE-2026'!$A$2:$DK$2,0),0),0)</f>
        <v>193656</v>
      </c>
      <c r="L65" s="154">
        <f>IFERROR(VLOOKUP($A$3:$A$144,'JUNE-2026'!$A$4:$ADJ$113,MATCH('FY-(26-27)Q1'!$K$2:$L$2,'JUNE-2026'!$A$2:$DK$2,0),0),0)</f>
        <v>1.9365600000000001</v>
      </c>
      <c r="M65" s="71">
        <f t="shared" si="10"/>
        <v>3550069</v>
      </c>
      <c r="N65" s="165">
        <f t="shared" si="11"/>
        <v>35.500689999999999</v>
      </c>
      <c r="O65" s="214"/>
      <c r="P65" s="152">
        <f>IFERROR(VLOOKUP($A$3:$A$144,'FY-(26-27)Q2'!$A$4:$ABW$124,MATCH('FY-(26-27)Q1'!$P$2:$Q$2,'FY-(26-27)Q2'!$A$2:$BX$2,0),0),0)</f>
        <v>129546</v>
      </c>
      <c r="Q65" s="154">
        <f>IFERROR(VLOOKUP($A$3:$A$144,'FY-(26-27)Q2'!$A$4:$ABW$124,MATCH('FY-(26-27)Q1'!$P$2:$Q$2,'FY-(26-27)Q2'!$A$2:$BX$2,0),0),0)</f>
        <v>1.2954599999999994</v>
      </c>
      <c r="R65" s="158"/>
      <c r="S65" s="152">
        <f>IFERROR(VLOOKUP($A$3:$A$144,'FY-(26-27)Q3'!$A$4:$ABW$117,MATCH('FY-(26-27)Q1'!$S$2:$T$2,'FY-(26-27)Q3'!$A$2:$BX$2,0),0),0)</f>
        <v>-747613</v>
      </c>
      <c r="T65" s="154">
        <f>IFERROR(VLOOKUP($A$3:$A$144,'FY-(26-27)Q3'!$A$4:$ABW$117,MATCH('FY-(26-27)Q1'!$S$2:$T$3,'FY-(26-27)Q3'!$A$2:$BX$2,0),0),0)</f>
        <v>0</v>
      </c>
      <c r="U65" s="158"/>
      <c r="V65" s="45"/>
      <c r="W65" s="72"/>
      <c r="Y65" s="153">
        <f t="shared" si="4"/>
        <v>2932002</v>
      </c>
      <c r="Z65" s="167">
        <f t="shared" si="5"/>
        <v>36.796149999999997</v>
      </c>
      <c r="AB65" s="131"/>
      <c r="AC65" s="131"/>
      <c r="AD65" s="131"/>
      <c r="AE65" s="131"/>
      <c r="AF65" s="131"/>
      <c r="AG65" s="131"/>
      <c r="AH65" s="131"/>
    </row>
    <row r="66" spans="1:34" s="131" customFormat="1" ht="15" customHeight="1" x14ac:dyDescent="0.25">
      <c r="A66" s="141" t="s">
        <v>336</v>
      </c>
      <c r="B66" s="140" t="s">
        <v>95</v>
      </c>
      <c r="C66" s="141" t="s">
        <v>337</v>
      </c>
      <c r="D66" s="162" t="s">
        <v>334</v>
      </c>
      <c r="E66" s="141" t="s">
        <v>256</v>
      </c>
      <c r="F66" s="163">
        <v>0.5</v>
      </c>
      <c r="G66" s="152">
        <f>IFERROR(VLOOKUP($A$3:$A$144,'APR-2026'!$A$4:$ABX$112,MATCH('FY-(26-27)Q1'!$G$2:$H$2,'APR-2026'!$A$2:$BY$2,0),0),0)</f>
        <v>0</v>
      </c>
      <c r="H66" s="154">
        <f>IFERROR(VLOOKUP($A$3:$A$144,'APR-2026'!$A$4:$ABX$112,MATCH('FY-(26-27)Q1'!$G$2:$H$2,'APR-2026'!$A$2:$BY$2,0),0),0)</f>
        <v>0</v>
      </c>
      <c r="I66" s="152">
        <f>IFERROR(VLOOKUP($A$3:$A$144,'MAY-2026'!$A$4:$ACP$113,MATCH('FY-(26-27)Q1'!$I$2:$J$2,'MAY-2026'!$A$2:$CQ$2,0),0),0)</f>
        <v>0</v>
      </c>
      <c r="J66" s="154">
        <f>IFERROR(VLOOKUP($A$3:$A$144,'MAY-2026'!$A$4:$ACP$113,MATCH('FY-(26-27)Q1'!$I$2:$J$2,'MAY-2026'!$A$2:$CQ$2,0),0),0)</f>
        <v>0</v>
      </c>
      <c r="K66" s="152">
        <f>IFERROR(VLOOKUP($A$3:$A$144,'JUNE-2026'!$A$4:$ADJ$113,MATCH('FY-(26-27)Q1'!$K$2:$L$2,'JUNE-2026'!$A$2:$DK$2,0),0),0)</f>
        <v>0</v>
      </c>
      <c r="L66" s="154">
        <f>IFERROR(VLOOKUP($A$3:$A$144,'JUNE-2026'!$A$4:$ADJ$113,MATCH('FY-(26-27)Q1'!$K$2:$L$2,'JUNE-2026'!$A$2:$DK$2,0),0),0)</f>
        <v>0</v>
      </c>
      <c r="M66" s="71">
        <f t="shared" si="10"/>
        <v>0</v>
      </c>
      <c r="N66" s="165">
        <f t="shared" si="11"/>
        <v>0</v>
      </c>
      <c r="O66" s="214"/>
      <c r="P66" s="152">
        <f>IFERROR(VLOOKUP($A$3:$A$144,'FY-(26-27)Q2'!$A$4:$ABW$124,MATCH('FY-(26-27)Q1'!$P$2:$Q$2,'FY-(26-27)Q2'!$A$2:$BX$2,0),0),0)</f>
        <v>0</v>
      </c>
      <c r="Q66" s="154">
        <f>IFERROR(VLOOKUP($A$3:$A$144,'FY-(26-27)Q2'!$A$4:$ABW$124,MATCH('FY-(26-27)Q1'!$P$2:$Q$2,'FY-(26-27)Q2'!$A$2:$BX$2,0),0),0)</f>
        <v>0</v>
      </c>
      <c r="R66" s="158"/>
      <c r="S66" s="152">
        <f>IFERROR(VLOOKUP($A$3:$A$144,'FY-(26-27)Q3'!$A$4:$ABW$117,MATCH('FY-(26-27)Q1'!$S$2:$T$2,'FY-(26-27)Q3'!$A$2:$BX$2,0),0),0)</f>
        <v>547590</v>
      </c>
      <c r="T66" s="154">
        <f>IFERROR(VLOOKUP($A$3:$A$144,'FY-(26-27)Q3'!$A$4:$ABW$117,MATCH('FY-(26-27)Q1'!$S$2:$T$3,'FY-(26-27)Q3'!$A$2:$BX$2,0),0),0)</f>
        <v>0</v>
      </c>
      <c r="U66" s="158"/>
      <c r="V66" s="143"/>
      <c r="W66" s="149"/>
      <c r="Y66" s="153">
        <f t="shared" si="4"/>
        <v>547590</v>
      </c>
      <c r="Z66" s="167">
        <f t="shared" si="5"/>
        <v>0</v>
      </c>
    </row>
    <row r="67" spans="1:34" s="131" customFormat="1" ht="15" customHeight="1" x14ac:dyDescent="0.25">
      <c r="A67" s="141" t="s">
        <v>301</v>
      </c>
      <c r="B67" s="140" t="s">
        <v>295</v>
      </c>
      <c r="C67" s="162" t="s">
        <v>296</v>
      </c>
      <c r="D67" s="162"/>
      <c r="E67" s="162" t="s">
        <v>256</v>
      </c>
      <c r="F67" s="163">
        <v>0.1</v>
      </c>
      <c r="G67" s="152">
        <f>IFERROR(VLOOKUP($A$3:$A$144,'APR-2026'!$A$4:$ABX$112,MATCH('FY-(26-27)Q1'!$G$2:$H$2,'APR-2026'!$A$2:$BY$2,0),0),0)</f>
        <v>0</v>
      </c>
      <c r="H67" s="154">
        <f>IFERROR(VLOOKUP($A$3:$A$144,'APR-2026'!$A$4:$ABX$112,MATCH('FY-(26-27)Q1'!$G$2:$H$2,'APR-2026'!$A$2:$BY$2,0),0),0)</f>
        <v>0</v>
      </c>
      <c r="I67" s="152">
        <f>IFERROR(VLOOKUP($A$3:$A$144,'MAY-2026'!$A$4:$ACP$113,MATCH('FY-(26-27)Q1'!$I$2:$J$2,'MAY-2026'!$A$2:$CQ$2,0),0),0)</f>
        <v>0</v>
      </c>
      <c r="J67" s="154">
        <f>IFERROR(VLOOKUP($A$3:$A$144,'MAY-2026'!$A$4:$ACP$113,MATCH('FY-(26-27)Q1'!$I$2:$J$2,'MAY-2026'!$A$2:$CQ$2,0),0),0)</f>
        <v>0</v>
      </c>
      <c r="K67" s="152">
        <f>IFERROR(VLOOKUP($A$3:$A$144,'JUNE-2026'!$A$4:$ADJ$113,MATCH('FY-(26-27)Q1'!$K$2:$L$2,'JUNE-2026'!$A$2:$DK$2,0),0),0)</f>
        <v>0</v>
      </c>
      <c r="L67" s="154">
        <f>IFERROR(VLOOKUP($A$3:$A$144,'JUNE-2026'!$A$4:$ADJ$113,MATCH('FY-(26-27)Q1'!$K$2:$L$2,'JUNE-2026'!$A$2:$DK$2,0),0),0)</f>
        <v>0</v>
      </c>
      <c r="M67" s="71">
        <f t="shared" si="10"/>
        <v>0</v>
      </c>
      <c r="N67" s="165">
        <f t="shared" si="11"/>
        <v>0</v>
      </c>
      <c r="O67" s="214"/>
      <c r="P67" s="152">
        <f>IFERROR(VLOOKUP($A$3:$A$144,'FY-(26-27)Q2'!$A$4:$ABW$124,MATCH('FY-(26-27)Q1'!$P$2:$Q$2,'FY-(26-27)Q2'!$A$2:$BX$2,0),0),0)</f>
        <v>13291</v>
      </c>
      <c r="Q67" s="154">
        <f>IFERROR(VLOOKUP($A$3:$A$144,'FY-(26-27)Q2'!$A$4:$ABW$124,MATCH('FY-(26-27)Q1'!$P$2:$Q$2,'FY-(26-27)Q2'!$A$2:$BX$2,0),0),0)</f>
        <v>1.3290999999999999</v>
      </c>
      <c r="R67" s="158"/>
      <c r="S67" s="152">
        <f>IFERROR(VLOOKUP($A$3:$A$144,'FY-(26-27)Q3'!$A$4:$ABW$117,MATCH('FY-(26-27)Q1'!$S$2:$T$2,'FY-(26-27)Q3'!$A$2:$BX$2,0),0),0)</f>
        <v>-30785</v>
      </c>
      <c r="T67" s="154">
        <f>IFERROR(VLOOKUP($A$3:$A$144,'FY-(26-27)Q3'!$A$4:$ABW$117,MATCH('FY-(26-27)Q1'!$S$2:$T$3,'FY-(26-27)Q3'!$A$2:$BX$2,0),0),0)</f>
        <v>0</v>
      </c>
      <c r="U67" s="158"/>
      <c r="V67" s="143"/>
      <c r="W67" s="149"/>
      <c r="Y67" s="153">
        <f t="shared" si="4"/>
        <v>-17494</v>
      </c>
      <c r="Z67" s="167">
        <f t="shared" si="5"/>
        <v>1.3290999999999999</v>
      </c>
    </row>
    <row r="68" spans="1:34" ht="15" customHeight="1" x14ac:dyDescent="0.25">
      <c r="A68" s="36" t="s">
        <v>33</v>
      </c>
      <c r="B68" s="34" t="s">
        <v>14</v>
      </c>
      <c r="C68" s="36" t="s">
        <v>13</v>
      </c>
      <c r="D68" s="140" t="s">
        <v>14</v>
      </c>
      <c r="E68" s="37" t="s">
        <v>256</v>
      </c>
      <c r="F68" s="118">
        <v>1</v>
      </c>
      <c r="G68" s="152">
        <f>IFERROR(VLOOKUP($A$3:$A$144,'APR-2026'!$A$4:$ABX$112,MATCH('FY-(26-27)Q1'!$G$2:$H$2,'APR-2026'!$A$2:$BY$2,0),0),0)</f>
        <v>633005</v>
      </c>
      <c r="H68" s="154">
        <f>IFERROR(VLOOKUP($A$3:$A$144,'APR-2026'!$A$4:$ABX$112,MATCH('FY-(26-27)Q1'!$G$2:$H$2,'APR-2026'!$A$2:$BY$2,0),0),0)</f>
        <v>2.1100166666666662</v>
      </c>
      <c r="I68" s="152">
        <f>IFERROR(VLOOKUP($A$3:$A$144,'MAY-2026'!$A$4:$ACP$113,MATCH('FY-(26-27)Q1'!$I$2:$J$2,'MAY-2026'!$A$2:$CQ$2,0),0),0)</f>
        <v>538474</v>
      </c>
      <c r="J68" s="154">
        <f>IFERROR(VLOOKUP($A$3:$A$144,'MAY-2026'!$A$4:$ACP$113,MATCH('FY-(26-27)Q1'!$I$2:$J$2,'MAY-2026'!$A$2:$CQ$2,0),0),0)</f>
        <v>1.7949133333333336</v>
      </c>
      <c r="K68" s="152">
        <f>IFERROR(VLOOKUP($A$3:$A$144,'JUNE-2026'!$A$4:$ADJ$113,MATCH('FY-(26-27)Q1'!$K$2:$L$2,'JUNE-2026'!$A$2:$DK$2,0),0),0)</f>
        <v>-498630</v>
      </c>
      <c r="L68" s="154">
        <f>IFERROR(VLOOKUP($A$3:$A$144,'JUNE-2026'!$A$4:$ADJ$113,MATCH('FY-(26-27)Q1'!$K$2:$L$2,'JUNE-2026'!$A$2:$DK$2,0),0),0)</f>
        <v>-1.6620999999999999</v>
      </c>
      <c r="M68" s="71">
        <f t="shared" si="10"/>
        <v>672849</v>
      </c>
      <c r="N68" s="165">
        <f t="shared" si="11"/>
        <v>2.2428299999999997</v>
      </c>
      <c r="O68" s="214"/>
      <c r="P68" s="152">
        <f>IFERROR(VLOOKUP($A$3:$A$144,'FY-(26-27)Q2'!$A$4:$ABW$124,MATCH('FY-(26-27)Q1'!$P$2:$Q$2,'FY-(26-27)Q2'!$A$2:$BX$2,0),0),0)</f>
        <v>170252</v>
      </c>
      <c r="Q68" s="154">
        <f>IFERROR(VLOOKUP($A$3:$A$144,'FY-(26-27)Q2'!$A$4:$ABW$124,MATCH('FY-(26-27)Q1'!$P$2:$Q$2,'FY-(26-27)Q2'!$A$2:$BX$2,0),0),0)</f>
        <v>0.5675066666666666</v>
      </c>
      <c r="R68" s="158"/>
      <c r="S68" s="152">
        <f>IFERROR(VLOOKUP($A$3:$A$144,'FY-(26-27)Q3'!$A$4:$ABW$117,MATCH('FY-(26-27)Q1'!$S$2:$T$2,'FY-(26-27)Q3'!$A$2:$BX$2,0),0),0)</f>
        <v>1105039</v>
      </c>
      <c r="T68" s="154">
        <f>IFERROR(VLOOKUP($A$3:$A$144,'FY-(26-27)Q3'!$A$4:$ABW$117,MATCH('FY-(26-27)Q1'!$S$2:$T$3,'FY-(26-27)Q3'!$A$2:$BX$2,0),0),0)</f>
        <v>0</v>
      </c>
      <c r="U68" s="158"/>
      <c r="V68" s="45"/>
      <c r="W68" s="72"/>
      <c r="Y68" s="153">
        <f t="shared" si="4"/>
        <v>1948140</v>
      </c>
      <c r="Z68" s="167">
        <f t="shared" si="5"/>
        <v>2.8103366666666663</v>
      </c>
      <c r="AB68" s="1"/>
      <c r="AC68" s="1"/>
      <c r="AD68" s="1"/>
      <c r="AE68" s="1"/>
      <c r="AF68" s="1"/>
      <c r="AG68" s="1"/>
      <c r="AH68" s="1"/>
    </row>
    <row r="69" spans="1:34" ht="15" customHeight="1" x14ac:dyDescent="0.25">
      <c r="A69" s="142" t="s">
        <v>168</v>
      </c>
      <c r="B69" s="140" t="s">
        <v>169</v>
      </c>
      <c r="C69" s="132" t="s">
        <v>255</v>
      </c>
      <c r="D69" s="162" t="s">
        <v>253</v>
      </c>
      <c r="E69" s="162" t="s">
        <v>253</v>
      </c>
      <c r="F69" s="114">
        <v>4</v>
      </c>
      <c r="G69" s="152">
        <f>IFERROR(VLOOKUP($A$3:$A$144,'APR-2026'!$A$4:$ABX$112,MATCH('FY-(26-27)Q1'!$G$2:$H$2,'APR-2026'!$A$2:$BY$2,0),0),0)</f>
        <v>343500</v>
      </c>
      <c r="H69" s="154">
        <f>IFERROR(VLOOKUP($A$3:$A$144,'APR-2026'!$A$4:$ABX$112,MATCH('FY-(26-27)Q1'!$G$2:$H$2,'APR-2026'!$A$2:$BY$2,0),0),0)</f>
        <v>0.85875000000000001</v>
      </c>
      <c r="I69" s="152">
        <f>IFERROR(VLOOKUP($A$3:$A$144,'MAY-2026'!$A$4:$ACP$113,MATCH('FY-(26-27)Q1'!$I$2:$J$2,'MAY-2026'!$A$2:$CQ$2,0),0),0)</f>
        <v>352000</v>
      </c>
      <c r="J69" s="154">
        <f>IFERROR(VLOOKUP($A$3:$A$144,'MAY-2026'!$A$4:$ACP$113,MATCH('FY-(26-27)Q1'!$I$2:$J$2,'MAY-2026'!$A$2:$CQ$2,0),0),0)</f>
        <v>0.88</v>
      </c>
      <c r="K69" s="152">
        <f>IFERROR(VLOOKUP($A$3:$A$144,'JUNE-2026'!$A$4:$ADJ$113,MATCH('FY-(26-27)Q1'!$K$2:$L$2,'JUNE-2026'!$A$2:$DK$2,0),0),0)</f>
        <v>-20500</v>
      </c>
      <c r="L69" s="154">
        <f>IFERROR(VLOOKUP($A$3:$A$144,'JUNE-2026'!$A$4:$ADJ$113,MATCH('FY-(26-27)Q1'!$K$2:$L$2,'JUNE-2026'!$A$2:$DK$2,0),0),0)</f>
        <v>-5.1249999999999997E-2</v>
      </c>
      <c r="M69" s="71">
        <f t="shared" si="10"/>
        <v>675000</v>
      </c>
      <c r="N69" s="165">
        <f t="shared" si="11"/>
        <v>1.6875</v>
      </c>
      <c r="O69" s="214"/>
      <c r="P69" s="152">
        <f>IFERROR(VLOOKUP($A$3:$A$144,'FY-(26-27)Q2'!$A$4:$ABW$124,MATCH('FY-(26-27)Q1'!$P$2:$Q$2,'FY-(26-27)Q2'!$A$2:$BX$2,0),0),0)</f>
        <v>289873</v>
      </c>
      <c r="Q69" s="154">
        <f>IFERROR(VLOOKUP($A$3:$A$144,'FY-(26-27)Q2'!$A$4:$ABW$124,MATCH('FY-(26-27)Q1'!$P$2:$Q$2,'FY-(26-27)Q2'!$A$2:$BX$2,0),0),0)</f>
        <v>0.7246824999999999</v>
      </c>
      <c r="R69" s="158"/>
      <c r="S69" s="152">
        <f>IFERROR(VLOOKUP($A$3:$A$144,'FY-(26-27)Q3'!$A$4:$ABW$117,MATCH('FY-(26-27)Q1'!$S$2:$T$2,'FY-(26-27)Q3'!$A$2:$BX$2,0),0),0)</f>
        <v>85710</v>
      </c>
      <c r="T69" s="154">
        <f>IFERROR(VLOOKUP($A$3:$A$144,'FY-(26-27)Q3'!$A$4:$ABW$117,MATCH('FY-(26-27)Q1'!$S$2:$T$3,'FY-(26-27)Q3'!$A$2:$BX$2,0),0),0)</f>
        <v>0</v>
      </c>
      <c r="U69" s="158"/>
      <c r="V69" s="45"/>
      <c r="W69" s="72"/>
      <c r="Y69" s="153">
        <f t="shared" si="4"/>
        <v>1050583</v>
      </c>
      <c r="Z69" s="167">
        <f t="shared" si="5"/>
        <v>2.4121825000000001</v>
      </c>
    </row>
    <row r="70" spans="1:34" ht="15" customHeight="1" x14ac:dyDescent="0.25">
      <c r="A70" s="142" t="s">
        <v>201</v>
      </c>
      <c r="B70" s="140" t="s">
        <v>169</v>
      </c>
      <c r="C70" s="59" t="s">
        <v>227</v>
      </c>
      <c r="D70" s="162" t="s">
        <v>254</v>
      </c>
      <c r="E70" s="162" t="s">
        <v>256</v>
      </c>
      <c r="F70" s="114">
        <v>0.5</v>
      </c>
      <c r="G70" s="152">
        <f>IFERROR(VLOOKUP($A$3:$A$144,'APR-2026'!$A$4:$ABX$112,MATCH('FY-(26-27)Q1'!$G$2:$H$2,'APR-2026'!$A$2:$BY$2,0),0),0)</f>
        <v>-159000</v>
      </c>
      <c r="H70" s="154">
        <f>IFERROR(VLOOKUP($A$3:$A$144,'APR-2026'!$A$4:$ABX$112,MATCH('FY-(26-27)Q1'!$G$2:$H$2,'APR-2026'!$A$2:$BY$2,0),0),0)</f>
        <v>-3.18</v>
      </c>
      <c r="I70" s="152">
        <f>IFERROR(VLOOKUP($A$3:$A$144,'MAY-2026'!$A$4:$ACP$113,MATCH('FY-(26-27)Q1'!$I$2:$J$2,'MAY-2026'!$A$2:$CQ$2,0),0),0)</f>
        <v>-106300</v>
      </c>
      <c r="J70" s="154">
        <f>IFERROR(VLOOKUP($A$3:$A$144,'MAY-2026'!$A$4:$ACP$113,MATCH('FY-(26-27)Q1'!$I$2:$J$2,'MAY-2026'!$A$2:$CQ$2,0),0),0)</f>
        <v>-2.1259999999999999</v>
      </c>
      <c r="K70" s="152">
        <f>IFERROR(VLOOKUP($A$3:$A$144,'JUNE-2026'!$A$4:$ADJ$113,MATCH('FY-(26-27)Q1'!$K$2:$L$2,'JUNE-2026'!$A$2:$DK$2,0),0),0)</f>
        <v>0</v>
      </c>
      <c r="L70" s="154">
        <f>IFERROR(VLOOKUP($A$3:$A$144,'JUNE-2026'!$A$4:$ADJ$113,MATCH('FY-(26-27)Q1'!$K$2:$L$2,'JUNE-2026'!$A$2:$DK$2,0),0),0)</f>
        <v>0</v>
      </c>
      <c r="M70" s="71">
        <f t="shared" si="10"/>
        <v>-265300</v>
      </c>
      <c r="N70" s="165">
        <f t="shared" si="11"/>
        <v>-5.306</v>
      </c>
      <c r="O70" s="214"/>
      <c r="P70" s="152">
        <f>IFERROR(VLOOKUP($A$3:$A$144,'FY-(26-27)Q2'!$A$4:$ABW$124,MATCH('FY-(26-27)Q1'!$P$2:$Q$2,'FY-(26-27)Q2'!$A$2:$BX$2,0),0),0)</f>
        <v>-20169</v>
      </c>
      <c r="Q70" s="154">
        <f>IFERROR(VLOOKUP($A$3:$A$144,'FY-(26-27)Q2'!$A$4:$ABW$124,MATCH('FY-(26-27)Q1'!$P$2:$Q$2,'FY-(26-27)Q2'!$A$2:$BX$2,0),0),0)</f>
        <v>-0.20168999999999998</v>
      </c>
      <c r="R70" s="158"/>
      <c r="S70" s="152">
        <f>IFERROR(VLOOKUP($A$3:$A$144,'FY-(26-27)Q3'!$A$4:$ABW$117,MATCH('FY-(26-27)Q1'!$S$2:$T$2,'FY-(26-27)Q3'!$A$2:$BX$2,0),0),0)</f>
        <v>0</v>
      </c>
      <c r="T70" s="154">
        <f>IFERROR(VLOOKUP($A$3:$A$144,'FY-(26-27)Q3'!$A$4:$ABW$117,MATCH('FY-(26-27)Q1'!$S$2:$T$3,'FY-(26-27)Q3'!$A$2:$BX$2,0),0),0)</f>
        <v>0</v>
      </c>
      <c r="U70" s="158"/>
      <c r="V70" s="143"/>
      <c r="W70" s="149"/>
      <c r="X70" s="131"/>
      <c r="Y70" s="153">
        <f t="shared" si="4"/>
        <v>-285469</v>
      </c>
      <c r="Z70" s="167">
        <f t="shared" si="5"/>
        <v>-5.5076900000000002</v>
      </c>
    </row>
    <row r="71" spans="1:34" ht="15" customHeight="1" x14ac:dyDescent="0.25">
      <c r="A71" s="142" t="s">
        <v>202</v>
      </c>
      <c r="B71" s="140" t="s">
        <v>169</v>
      </c>
      <c r="C71" s="59" t="s">
        <v>255</v>
      </c>
      <c r="D71" s="162" t="s">
        <v>116</v>
      </c>
      <c r="E71" s="162" t="s">
        <v>256</v>
      </c>
      <c r="F71" s="114">
        <v>4</v>
      </c>
      <c r="G71" s="152">
        <f>IFERROR(VLOOKUP($A$3:$A$144,'APR-2026'!$A$4:$ABX$112,MATCH('FY-(26-27)Q1'!$G$2:$H$2,'APR-2026'!$A$2:$BY$2,0),0),0)</f>
        <v>151712</v>
      </c>
      <c r="H71" s="154">
        <f>IFERROR(VLOOKUP($A$3:$A$144,'APR-2026'!$A$4:$ABX$112,MATCH('FY-(26-27)Q1'!$G$2:$H$2,'APR-2026'!$A$2:$BY$2,0),0),0)</f>
        <v>0.37928000000000001</v>
      </c>
      <c r="I71" s="152">
        <f>IFERROR(VLOOKUP($A$3:$A$144,'MAY-2026'!$A$4:$ACP$113,MATCH('FY-(26-27)Q1'!$I$2:$J$2,'MAY-2026'!$A$2:$CQ$2,0),0),0)</f>
        <v>145700</v>
      </c>
      <c r="J71" s="154">
        <f>IFERROR(VLOOKUP($A$3:$A$144,'MAY-2026'!$A$4:$ACP$113,MATCH('FY-(26-27)Q1'!$I$2:$J$2,'MAY-2026'!$A$2:$CQ$2,0),0),0)</f>
        <v>0.36425000000000002</v>
      </c>
      <c r="K71" s="152">
        <f>IFERROR(VLOOKUP($A$3:$A$144,'JUNE-2026'!$A$4:$ADJ$113,MATCH('FY-(26-27)Q1'!$K$2:$L$2,'JUNE-2026'!$A$2:$DK$2,0),0),0)</f>
        <v>227000</v>
      </c>
      <c r="L71" s="154">
        <f>IFERROR(VLOOKUP($A$3:$A$144,'JUNE-2026'!$A$4:$ADJ$113,MATCH('FY-(26-27)Q1'!$K$2:$L$2,'JUNE-2026'!$A$2:$DK$2,0),0),0)</f>
        <v>0.5675</v>
      </c>
      <c r="M71" s="71">
        <f t="shared" si="10"/>
        <v>524412</v>
      </c>
      <c r="N71" s="165">
        <f t="shared" si="11"/>
        <v>1.3110300000000001</v>
      </c>
      <c r="O71" s="214"/>
      <c r="P71" s="152">
        <f>IFERROR(VLOOKUP($A$3:$A$144,'FY-(26-27)Q2'!$A$4:$ABW$124,MATCH('FY-(26-27)Q1'!$P$2:$Q$2,'FY-(26-27)Q2'!$A$2:$BX$2,0),0),0)</f>
        <v>258369</v>
      </c>
      <c r="Q71" s="154">
        <f>IFERROR(VLOOKUP($A$3:$A$144,'FY-(26-27)Q2'!$A$4:$ABW$124,MATCH('FY-(26-27)Q1'!$P$2:$Q$2,'FY-(26-27)Q2'!$A$2:$BX$2,0),0),0)</f>
        <v>0.64592249999999996</v>
      </c>
      <c r="R71" s="158"/>
      <c r="S71" s="152">
        <f>IFERROR(VLOOKUP($A$3:$A$144,'FY-(26-27)Q3'!$A$4:$ABW$117,MATCH('FY-(26-27)Q1'!$S$2:$T$2,'FY-(26-27)Q3'!$A$2:$BX$2,0),0),0)</f>
        <v>204861</v>
      </c>
      <c r="T71" s="154">
        <f>IFERROR(VLOOKUP($A$3:$A$144,'FY-(26-27)Q3'!$A$4:$ABW$117,MATCH('FY-(26-27)Q1'!$S$2:$T$3,'FY-(26-27)Q3'!$A$2:$BX$2,0),0),0)</f>
        <v>0</v>
      </c>
      <c r="U71" s="158"/>
      <c r="V71" s="143"/>
      <c r="W71" s="149"/>
      <c r="X71" s="131"/>
      <c r="Y71" s="153">
        <f t="shared" ref="Y71:Y81" si="12">M71+P71+S71+V71</f>
        <v>987642</v>
      </c>
      <c r="Z71" s="167">
        <f t="shared" ref="Z71:Z81" si="13">(N71+Q71+T71+W71)</f>
        <v>1.9569525000000001</v>
      </c>
    </row>
    <row r="72" spans="1:34" ht="15" customHeight="1" x14ac:dyDescent="0.25">
      <c r="A72" s="36" t="s">
        <v>103</v>
      </c>
      <c r="B72" s="36" t="s">
        <v>0</v>
      </c>
      <c r="C72" s="59" t="s">
        <v>96</v>
      </c>
      <c r="D72" s="60" t="s">
        <v>57</v>
      </c>
      <c r="E72" s="60" t="s">
        <v>256</v>
      </c>
      <c r="F72" s="114">
        <v>1.5</v>
      </c>
      <c r="G72" s="152">
        <f>IFERROR(VLOOKUP($A$3:$A$144,'APR-2026'!$A$4:$ABX$112,MATCH('FY-(26-27)Q1'!$G$2:$H$2,'APR-2026'!$A$2:$BY$2,0),0),0)</f>
        <v>92278</v>
      </c>
      <c r="H72" s="154">
        <f>IFERROR(VLOOKUP($A$3:$A$144,'APR-2026'!$A$4:$ABX$112,MATCH('FY-(26-27)Q1'!$G$2:$H$2,'APR-2026'!$A$2:$BY$2,0),0),0)</f>
        <v>0.57673750000000001</v>
      </c>
      <c r="I72" s="152">
        <f>IFERROR(VLOOKUP($A$3:$A$144,'MAY-2026'!$A$4:$ACP$113,MATCH('FY-(26-27)Q1'!$I$2:$J$2,'MAY-2026'!$A$2:$CQ$2,0),0),0)</f>
        <v>35279</v>
      </c>
      <c r="J72" s="154">
        <f>IFERROR(VLOOKUP($A$3:$A$144,'MAY-2026'!$A$4:$ACP$113,MATCH('FY-(26-27)Q1'!$I$2:$J$2,'MAY-2026'!$A$2:$CQ$2,0),0),0)</f>
        <v>0.23519333333333331</v>
      </c>
      <c r="K72" s="152">
        <f>IFERROR(VLOOKUP($A$3:$A$144,'JUNE-2026'!$A$4:$ADJ$113,MATCH('FY-(26-27)Q1'!$K$2:$L$2,'JUNE-2026'!$A$2:$DK$2,0),0),0)</f>
        <v>0</v>
      </c>
      <c r="L72" s="154">
        <f>IFERROR(VLOOKUP($A$3:$A$144,'JUNE-2026'!$A$4:$ADJ$113,MATCH('FY-(26-27)Q1'!$K$2:$L$2,'JUNE-2026'!$A$2:$DK$2,0),0),0)</f>
        <v>0</v>
      </c>
      <c r="M72" s="71">
        <f t="shared" si="10"/>
        <v>127557</v>
      </c>
      <c r="N72" s="165">
        <f t="shared" si="11"/>
        <v>0.81193083333333327</v>
      </c>
      <c r="O72" s="214"/>
      <c r="P72" s="152">
        <f>IFERROR(VLOOKUP($A$3:$A$144,'FY-(26-27)Q2'!$A$4:$ABW$124,MATCH('FY-(26-27)Q1'!$P$2:$Q$2,'FY-(26-27)Q2'!$A$2:$BX$2,0),0),0)</f>
        <v>0</v>
      </c>
      <c r="Q72" s="154">
        <f>IFERROR(VLOOKUP($A$3:$A$144,'FY-(26-27)Q2'!$A$4:$ABW$124,MATCH('FY-(26-27)Q1'!$P$2:$Q$2,'FY-(26-27)Q2'!$A$2:$BX$2,0),0),0)</f>
        <v>0</v>
      </c>
      <c r="R72" s="158"/>
      <c r="S72" s="152">
        <f>IFERROR(VLOOKUP($A$3:$A$144,'FY-(26-27)Q3'!$A$4:$ABW$117,MATCH('FY-(26-27)Q1'!$S$2:$T$2,'FY-(26-27)Q3'!$A$2:$BX$2,0),0),0)</f>
        <v>0</v>
      </c>
      <c r="T72" s="154">
        <f>IFERROR(VLOOKUP($A$3:$A$144,'FY-(26-27)Q3'!$A$4:$ABW$117,MATCH('FY-(26-27)Q1'!$S$2:$T$3,'FY-(26-27)Q3'!$A$2:$BX$2,0),0),0)</f>
        <v>0</v>
      </c>
      <c r="U72" s="158"/>
      <c r="V72" s="45"/>
      <c r="W72" s="72"/>
      <c r="X72" s="131"/>
      <c r="Y72" s="153">
        <f t="shared" si="12"/>
        <v>127557</v>
      </c>
      <c r="Z72" s="167">
        <f t="shared" si="13"/>
        <v>0.81193083333333327</v>
      </c>
    </row>
    <row r="73" spans="1:34" s="131" customFormat="1" ht="15" customHeight="1" x14ac:dyDescent="0.25">
      <c r="A73" s="59" t="s">
        <v>306</v>
      </c>
      <c r="B73" s="62" t="s">
        <v>304</v>
      </c>
      <c r="C73" s="59" t="s">
        <v>128</v>
      </c>
      <c r="D73" s="140"/>
      <c r="E73" s="140" t="s">
        <v>256</v>
      </c>
      <c r="F73" s="114">
        <v>0.1</v>
      </c>
      <c r="G73" s="152">
        <f>IFERROR(VLOOKUP($A$3:$A$144,'APR-2026'!$A$4:$ABX$112,MATCH('FY-(26-27)Q1'!$G$2:$H$2,'APR-2026'!$A$2:$BY$2,0),0),0)</f>
        <v>0</v>
      </c>
      <c r="H73" s="154">
        <f>IFERROR(VLOOKUP($A$3:$A$144,'APR-2026'!$A$4:$ABX$112,MATCH('FY-(26-27)Q1'!$G$2:$H$2,'APR-2026'!$A$2:$BY$2,0),0),0)</f>
        <v>0</v>
      </c>
      <c r="I73" s="152">
        <f>IFERROR(VLOOKUP($A$3:$A$144,'MAY-2026'!$A$4:$ACP$113,MATCH('FY-(26-27)Q1'!$I$2:$J$2,'MAY-2026'!$A$2:$CQ$2,0),0),0)</f>
        <v>0</v>
      </c>
      <c r="J73" s="154">
        <f>IFERROR(VLOOKUP($A$3:$A$144,'MAY-2026'!$A$4:$ACP$113,MATCH('FY-(26-27)Q1'!$I$2:$J$2,'MAY-2026'!$A$2:$CQ$2,0),0),0)</f>
        <v>0</v>
      </c>
      <c r="K73" s="152">
        <f>IFERROR(VLOOKUP($A$3:$A$144,'JUNE-2026'!$A$4:$ADJ$113,MATCH('FY-(26-27)Q1'!$K$2:$L$2,'JUNE-2026'!$A$2:$DK$2,0),0),0)</f>
        <v>0</v>
      </c>
      <c r="L73" s="154">
        <f>IFERROR(VLOOKUP($A$3:$A$144,'JUNE-2026'!$A$4:$ADJ$113,MATCH('FY-(26-27)Q1'!$K$2:$L$2,'JUNE-2026'!$A$2:$DK$2,0),0),0)</f>
        <v>0</v>
      </c>
      <c r="M73" s="71">
        <f t="shared" si="10"/>
        <v>0</v>
      </c>
      <c r="N73" s="165">
        <f t="shared" si="11"/>
        <v>0</v>
      </c>
      <c r="O73" s="214"/>
      <c r="P73" s="152">
        <f>IFERROR(VLOOKUP($A$3:$A$144,'FY-(26-27)Q2'!$A$4:$ABW$124,MATCH('FY-(26-27)Q1'!$P$2:$Q$2,'FY-(26-27)Q2'!$A$2:$BX$2,0),0),0)</f>
        <v>-962829</v>
      </c>
      <c r="Q73" s="154">
        <f>IFERROR(VLOOKUP($A$3:$A$144,'FY-(26-27)Q2'!$A$4:$ABW$124,MATCH('FY-(26-27)Q1'!$P$2:$Q$2,'FY-(26-27)Q2'!$A$2:$BX$2,0),0),0)</f>
        <v>-0.96292900000000003</v>
      </c>
      <c r="R73" s="158"/>
      <c r="S73" s="152">
        <f>IFERROR(VLOOKUP($A$3:$A$144,'FY-(26-27)Q3'!$A$4:$ABW$117,MATCH('FY-(26-27)Q1'!$S$2:$T$2,'FY-(26-27)Q3'!$A$2:$BX$2,0),0),0)</f>
        <v>-2957840</v>
      </c>
      <c r="T73" s="154">
        <f>IFERROR(VLOOKUP($A$3:$A$144,'FY-(26-27)Q3'!$A$4:$ABW$117,MATCH('FY-(26-27)Q1'!$S$2:$T$3,'FY-(26-27)Q3'!$A$2:$BX$2,0),0),0)</f>
        <v>0</v>
      </c>
      <c r="U73" s="158"/>
      <c r="V73" s="143"/>
      <c r="W73" s="149"/>
      <c r="Y73" s="153">
        <f t="shared" si="12"/>
        <v>-3920669</v>
      </c>
      <c r="Z73" s="167">
        <f t="shared" si="13"/>
        <v>-0.96292900000000003</v>
      </c>
    </row>
    <row r="74" spans="1:34" s="131" customFormat="1" ht="15" customHeight="1" x14ac:dyDescent="0.25">
      <c r="A74" s="59"/>
      <c r="B74" s="62" t="s">
        <v>304</v>
      </c>
      <c r="C74" s="59" t="s">
        <v>274</v>
      </c>
      <c r="D74" s="140"/>
      <c r="E74" s="140" t="s">
        <v>256</v>
      </c>
      <c r="F74" s="114"/>
      <c r="G74" s="152">
        <f>IFERROR(VLOOKUP($A$3:$A$144,'APR-2026'!$A$4:$ABX$112,MATCH('FY-(26-27)Q1'!$G$2:$H$2,'APR-2026'!$A$2:$BY$2,0),0),0)</f>
        <v>0</v>
      </c>
      <c r="H74" s="154">
        <f>IFERROR(VLOOKUP($A$3:$A$144,'APR-2026'!$A$4:$ABX$112,MATCH('FY-(26-27)Q1'!$G$2:$H$2,'APR-2026'!$A$2:$BY$2,0),0),0)</f>
        <v>0</v>
      </c>
      <c r="I74" s="152">
        <f>IFERROR(VLOOKUP($A$3:$A$144,'MAY-2026'!$A$4:$ACP$113,MATCH('FY-(26-27)Q1'!$I$2:$J$2,'MAY-2026'!$A$2:$CQ$2,0),0),0)</f>
        <v>0</v>
      </c>
      <c r="J74" s="154">
        <f>IFERROR(VLOOKUP($A$3:$A$144,'MAY-2026'!$A$4:$ACP$113,MATCH('FY-(26-27)Q1'!$I$2:$J$2,'MAY-2026'!$A$2:$CQ$2,0),0),0)</f>
        <v>0</v>
      </c>
      <c r="K74" s="152">
        <f>IFERROR(VLOOKUP($A$3:$A$144,'JUNE-2026'!$A$4:$ADJ$113,MATCH('FY-(26-27)Q1'!$K$2:$L$2,'JUNE-2026'!$A$2:$DK$2,0),0),0)</f>
        <v>0</v>
      </c>
      <c r="L74" s="154">
        <f>IFERROR(VLOOKUP($A$3:$A$144,'JUNE-2026'!$A$4:$ADJ$113,MATCH('FY-(26-27)Q1'!$K$2:$L$2,'JUNE-2026'!$A$2:$DK$2,0),0),0)</f>
        <v>0</v>
      </c>
      <c r="M74" s="71">
        <f t="shared" si="10"/>
        <v>0</v>
      </c>
      <c r="N74" s="165">
        <f t="shared" si="11"/>
        <v>0</v>
      </c>
      <c r="O74" s="214"/>
      <c r="P74" s="152">
        <f>IFERROR(VLOOKUP($A$3:$A$144,'FY-(26-27)Q2'!$A$4:$ABW$124,MATCH('FY-(26-27)Q1'!$P$2:$Q$2,'FY-(26-27)Q2'!$A$2:$BX$2,0),0),0)</f>
        <v>0</v>
      </c>
      <c r="Q74" s="154">
        <f>IFERROR(VLOOKUP($A$3:$A$144,'FY-(26-27)Q2'!$A$4:$ABW$124,MATCH('FY-(26-27)Q1'!$P$2:$Q$2,'FY-(26-27)Q2'!$A$2:$BX$2,0),0),0)</f>
        <v>0</v>
      </c>
      <c r="R74" s="158"/>
      <c r="S74" s="152">
        <f>IFERROR(VLOOKUP($A$3:$A$144,'FY-(26-27)Q3'!$A$4:$ABW$117,MATCH('FY-(26-27)Q1'!$S$2:$T$2,'FY-(26-27)Q3'!$A$2:$BX$2,0),0),0)</f>
        <v>0</v>
      </c>
      <c r="T74" s="154">
        <f>IFERROR(VLOOKUP($A$3:$A$144,'FY-(26-27)Q3'!$A$4:$ABW$117,MATCH('FY-(26-27)Q1'!$S$2:$T$3,'FY-(26-27)Q3'!$A$2:$BX$2,0),0),0)</f>
        <v>0</v>
      </c>
      <c r="U74" s="158"/>
      <c r="V74" s="143"/>
      <c r="W74" s="149"/>
      <c r="Y74" s="153">
        <f t="shared" si="12"/>
        <v>0</v>
      </c>
      <c r="Z74" s="167">
        <f t="shared" si="13"/>
        <v>0</v>
      </c>
    </row>
    <row r="75" spans="1:34" x14ac:dyDescent="0.25">
      <c r="A75" s="59" t="s">
        <v>197</v>
      </c>
      <c r="B75" s="62" t="s">
        <v>195</v>
      </c>
      <c r="C75" s="59" t="s">
        <v>196</v>
      </c>
      <c r="D75" s="62" t="s">
        <v>195</v>
      </c>
      <c r="E75" s="162" t="s">
        <v>256</v>
      </c>
      <c r="F75" s="114">
        <v>0.5</v>
      </c>
      <c r="G75" s="152">
        <f>IFERROR(VLOOKUP($A$3:$A$144,'APR-2026'!$A$4:$ABX$112,MATCH('FY-(26-27)Q1'!$G$2:$H$2,'APR-2026'!$A$2:$BY$2,0),0),0)</f>
        <v>34594</v>
      </c>
      <c r="H75" s="154">
        <f>IFERROR(VLOOKUP($A$3:$A$144,'APR-2026'!$A$4:$ABX$112,MATCH('FY-(26-27)Q1'!$G$2:$H$2,'APR-2026'!$A$2:$BY$2,0),0),0)</f>
        <v>0.69188000000000005</v>
      </c>
      <c r="I75" s="152">
        <f>IFERROR(VLOOKUP($A$3:$A$144,'MAY-2026'!$A$4:$ACP$113,MATCH('FY-(26-27)Q1'!$I$2:$J$2,'MAY-2026'!$A$2:$CQ$2,0),0),0)</f>
        <v>-44456</v>
      </c>
      <c r="J75" s="154">
        <f>IFERROR(VLOOKUP($A$3:$A$144,'MAY-2026'!$A$4:$ACP$113,MATCH('FY-(26-27)Q1'!$I$2:$J$2,'MAY-2026'!$A$2:$CQ$2,0),0),0)</f>
        <v>-0.88912000000000002</v>
      </c>
      <c r="K75" s="152">
        <f>IFERROR(VLOOKUP($A$3:$A$144,'JUNE-2026'!$A$4:$ADJ$113,MATCH('FY-(26-27)Q1'!$K$2:$L$2,'JUNE-2026'!$A$2:$DK$2,0),0),0)</f>
        <v>-36792</v>
      </c>
      <c r="L75" s="154">
        <f>IFERROR(VLOOKUP($A$3:$A$144,'JUNE-2026'!$A$4:$ADJ$113,MATCH('FY-(26-27)Q1'!$K$2:$L$2,'JUNE-2026'!$A$2:$DK$2,0),0),0)</f>
        <v>-0.73584000000000005</v>
      </c>
      <c r="M75" s="71">
        <f t="shared" si="10"/>
        <v>-46654</v>
      </c>
      <c r="N75" s="165">
        <f t="shared" si="11"/>
        <v>-0.93308000000000002</v>
      </c>
      <c r="O75" s="214"/>
      <c r="P75" s="152">
        <f>IFERROR(VLOOKUP($A$3:$A$144,'FY-(26-27)Q2'!$A$4:$ABW$124,MATCH('FY-(26-27)Q1'!$P$2:$Q$2,'FY-(26-27)Q2'!$A$2:$BX$2,0),0),0)</f>
        <v>-23231</v>
      </c>
      <c r="Q75" s="154">
        <f>IFERROR(VLOOKUP($A$3:$A$144,'FY-(26-27)Q2'!$A$4:$ABW$124,MATCH('FY-(26-27)Q1'!$P$2:$Q$2,'FY-(26-27)Q2'!$A$2:$BX$2,0),0),0)</f>
        <v>-0.46461999999999992</v>
      </c>
      <c r="R75" s="158"/>
      <c r="S75" s="152">
        <f>IFERROR(VLOOKUP($A$3:$A$144,'FY-(26-27)Q3'!$A$4:$ABW$117,MATCH('FY-(26-27)Q1'!$S$2:$T$2,'FY-(26-27)Q3'!$A$2:$BX$2,0),0),0)</f>
        <v>61459</v>
      </c>
      <c r="T75" s="154">
        <f>IFERROR(VLOOKUP($A$3:$A$144,'FY-(26-27)Q3'!$A$4:$ABW$117,MATCH('FY-(26-27)Q1'!$S$2:$T$3,'FY-(26-27)Q3'!$A$2:$BX$2,0),0),0)</f>
        <v>0</v>
      </c>
      <c r="U75" s="158"/>
      <c r="V75" s="143"/>
      <c r="W75" s="149"/>
      <c r="Y75" s="153">
        <f t="shared" si="12"/>
        <v>-8426</v>
      </c>
      <c r="Z75" s="167">
        <f t="shared" si="13"/>
        <v>-1.3976999999999999</v>
      </c>
    </row>
    <row r="76" spans="1:34" x14ac:dyDescent="0.25">
      <c r="A76" s="59" t="s">
        <v>213</v>
      </c>
      <c r="B76" s="62" t="s">
        <v>209</v>
      </c>
      <c r="C76" s="59" t="s">
        <v>210</v>
      </c>
      <c r="D76" s="62" t="s">
        <v>209</v>
      </c>
      <c r="E76" s="162" t="s">
        <v>256</v>
      </c>
      <c r="F76" s="114">
        <v>4</v>
      </c>
      <c r="G76" s="152">
        <f>IFERROR(VLOOKUP($A$3:$A$144,'APR-2026'!$A$4:$ABX$112,MATCH('FY-(26-27)Q1'!$G$2:$H$2,'APR-2026'!$A$2:$BY$2,0),0),0)</f>
        <v>0</v>
      </c>
      <c r="H76" s="154">
        <f>IFERROR(VLOOKUP($A$3:$A$144,'APR-2026'!$A$4:$ABX$112,MATCH('FY-(26-27)Q1'!$G$2:$H$2,'APR-2026'!$A$2:$BY$2,0),0),0)</f>
        <v>0</v>
      </c>
      <c r="I76" s="152">
        <f>IFERROR(VLOOKUP($A$3:$A$144,'MAY-2026'!$A$4:$ACP$113,MATCH('FY-(26-27)Q1'!$I$2:$J$2,'MAY-2026'!$A$2:$CQ$2,0),0),0)</f>
        <v>-206359</v>
      </c>
      <c r="J76" s="154">
        <f>IFERROR(VLOOKUP($A$3:$A$144,'MAY-2026'!$A$4:$ACP$113,MATCH('FY-(26-27)Q1'!$I$2:$J$2,'MAY-2026'!$A$2:$CQ$2,0),0),0)</f>
        <v>-0.51589750000000001</v>
      </c>
      <c r="K76" s="152">
        <f>IFERROR(VLOOKUP($A$3:$A$144,'JUNE-2026'!$A$4:$ADJ$113,MATCH('FY-(26-27)Q1'!$K$2:$L$2,'JUNE-2026'!$A$2:$DK$2,0),0),0)</f>
        <v>-201593</v>
      </c>
      <c r="L76" s="154">
        <f>IFERROR(VLOOKUP($A$3:$A$144,'JUNE-2026'!$A$4:$ADJ$113,MATCH('FY-(26-27)Q1'!$K$2:$L$2,'JUNE-2026'!$A$2:$DK$2,0),0),0)</f>
        <v>-0.5039825</v>
      </c>
      <c r="M76" s="71">
        <f t="shared" ref="M76:M81" si="14">G76+I76+K76</f>
        <v>-407952</v>
      </c>
      <c r="N76" s="165">
        <f t="shared" ref="N76:N81" si="15">H76+J76+L76</f>
        <v>-1.0198800000000001</v>
      </c>
      <c r="O76" s="214"/>
      <c r="P76" s="152">
        <f>IFERROR(VLOOKUP($A$3:$A$144,'FY-(26-27)Q2'!$A$4:$ABW$124,MATCH('FY-(26-27)Q1'!$P$2:$Q$2,'FY-(26-27)Q2'!$A$2:$BX$2,0),0),0)</f>
        <v>47121</v>
      </c>
      <c r="Q76" s="154">
        <f>IFERROR(VLOOKUP($A$3:$A$144,'FY-(26-27)Q2'!$A$4:$ABW$124,MATCH('FY-(26-27)Q1'!$P$2:$Q$2,'FY-(26-27)Q2'!$A$2:$BX$2,0),0),0)</f>
        <v>0.91588326923076946</v>
      </c>
      <c r="R76" s="158"/>
      <c r="S76" s="152">
        <f>IFERROR(VLOOKUP($A$3:$A$144,'FY-(26-27)Q3'!$A$4:$ABW$117,MATCH('FY-(26-27)Q1'!$S$2:$T$2,'FY-(26-27)Q3'!$A$2:$BX$2,0),0),0)</f>
        <v>369643</v>
      </c>
      <c r="T76" s="154">
        <f>IFERROR(VLOOKUP($A$3:$A$144,'FY-(26-27)Q3'!$A$4:$ABW$117,MATCH('FY-(26-27)Q1'!$S$2:$T$3,'FY-(26-27)Q3'!$A$2:$BX$2,0),0),0)</f>
        <v>0</v>
      </c>
      <c r="U76" s="158"/>
      <c r="V76" s="143"/>
      <c r="W76" s="149"/>
      <c r="Y76" s="153">
        <f t="shared" si="12"/>
        <v>8812</v>
      </c>
      <c r="Z76" s="167">
        <f t="shared" si="13"/>
        <v>-0.10399673076923066</v>
      </c>
    </row>
    <row r="77" spans="1:34" x14ac:dyDescent="0.25">
      <c r="A77" s="59" t="s">
        <v>214</v>
      </c>
      <c r="B77" s="62" t="s">
        <v>209</v>
      </c>
      <c r="C77" s="59" t="s">
        <v>211</v>
      </c>
      <c r="D77" s="62" t="s">
        <v>209</v>
      </c>
      <c r="E77" s="162" t="s">
        <v>256</v>
      </c>
      <c r="F77" s="114">
        <v>1</v>
      </c>
      <c r="G77" s="152">
        <f>IFERROR(VLOOKUP($A$3:$A$144,'APR-2026'!$A$4:$ABX$112,MATCH('FY-(26-27)Q1'!$G$2:$H$2,'APR-2026'!$A$2:$BY$2,0),0),0)</f>
        <v>0</v>
      </c>
      <c r="H77" s="154">
        <f>IFERROR(VLOOKUP($A$3:$A$144,'APR-2026'!$A$4:$ABX$112,MATCH('FY-(26-27)Q1'!$G$2:$H$2,'APR-2026'!$A$2:$BY$2,0),0),0)</f>
        <v>0</v>
      </c>
      <c r="I77" s="152">
        <f>IFERROR(VLOOKUP($A$3:$A$144,'MAY-2026'!$A$4:$ACP$113,MATCH('FY-(26-27)Q1'!$I$2:$J$2,'MAY-2026'!$A$2:$CQ$2,0),0),0)</f>
        <v>-52710</v>
      </c>
      <c r="J77" s="154">
        <f>IFERROR(VLOOKUP($A$3:$A$144,'MAY-2026'!$A$4:$ACP$113,MATCH('FY-(26-27)Q1'!$I$2:$J$2,'MAY-2026'!$A$2:$CQ$2,0),0),0)</f>
        <v>-0.52710000000000001</v>
      </c>
      <c r="K77" s="152">
        <f>IFERROR(VLOOKUP($A$3:$A$144,'JUNE-2026'!$A$4:$ADJ$113,MATCH('FY-(26-27)Q1'!$K$2:$L$2,'JUNE-2026'!$A$2:$DK$2,0),0),0)</f>
        <v>29428</v>
      </c>
      <c r="L77" s="154">
        <f>IFERROR(VLOOKUP($A$3:$A$144,'JUNE-2026'!$A$4:$ADJ$113,MATCH('FY-(26-27)Q1'!$K$2:$L$2,'JUNE-2026'!$A$2:$DK$2,0),0),0)</f>
        <v>0.29427999999999999</v>
      </c>
      <c r="M77" s="71">
        <f t="shared" si="14"/>
        <v>-23282</v>
      </c>
      <c r="N77" s="165">
        <f t="shared" si="15"/>
        <v>-0.23282000000000003</v>
      </c>
      <c r="O77" s="214"/>
      <c r="P77" s="152">
        <f>IFERROR(VLOOKUP($A$3:$A$144,'FY-(26-27)Q2'!$A$4:$ABW$124,MATCH('FY-(26-27)Q1'!$P$2:$Q$2,'FY-(26-27)Q2'!$A$2:$BX$2,0),0),0)</f>
        <v>24982</v>
      </c>
      <c r="Q77" s="154">
        <f>IFERROR(VLOOKUP($A$3:$A$144,'FY-(26-27)Q2'!$A$4:$ABW$124,MATCH('FY-(26-27)Q1'!$P$2:$Q$2,'FY-(26-27)Q2'!$A$2:$BX$2,0),0),0)</f>
        <v>0.19985600000000003</v>
      </c>
      <c r="R77" s="158"/>
      <c r="S77" s="152">
        <f>IFERROR(VLOOKUP($A$3:$A$144,'FY-(26-27)Q3'!$A$4:$ABW$117,MATCH('FY-(26-27)Q1'!$S$2:$T$2,'FY-(26-27)Q3'!$A$2:$BX$2,0),0),0)</f>
        <v>0</v>
      </c>
      <c r="T77" s="154">
        <f>IFERROR(VLOOKUP($A$3:$A$144,'FY-(26-27)Q3'!$A$4:$ABW$117,MATCH('FY-(26-27)Q1'!$S$2:$T$3,'FY-(26-27)Q3'!$A$2:$BX$2,0),0),0)</f>
        <v>0</v>
      </c>
      <c r="U77" s="158"/>
      <c r="V77" s="143"/>
      <c r="W77" s="149"/>
      <c r="Y77" s="153">
        <f t="shared" si="12"/>
        <v>1700</v>
      </c>
      <c r="Z77" s="167">
        <f t="shared" si="13"/>
        <v>-3.2963999999999993E-2</v>
      </c>
    </row>
    <row r="78" spans="1:34" x14ac:dyDescent="0.25">
      <c r="A78" s="59" t="s">
        <v>49</v>
      </c>
      <c r="B78" s="59" t="s">
        <v>99</v>
      </c>
      <c r="C78" s="59" t="s">
        <v>100</v>
      </c>
      <c r="D78" s="59" t="s">
        <v>99</v>
      </c>
      <c r="E78" s="59" t="s">
        <v>256</v>
      </c>
      <c r="F78" s="114">
        <v>2.5</v>
      </c>
      <c r="G78" s="152">
        <f>IFERROR(VLOOKUP($A$3:$A$144,'APR-2026'!$A$4:$ABX$112,MATCH('FY-(26-27)Q1'!$G$2:$H$2,'APR-2026'!$A$2:$BY$2,0),0),0)</f>
        <v>251440</v>
      </c>
      <c r="H78" s="154">
        <f>IFERROR(VLOOKUP($A$3:$A$144,'APR-2026'!$A$4:$ABX$112,MATCH('FY-(26-27)Q1'!$G$2:$H$2,'APR-2026'!$A$2:$BY$2,0),0),0)</f>
        <v>0.83813333333333329</v>
      </c>
      <c r="I78" s="152">
        <f>IFERROR(VLOOKUP($A$3:$A$144,'MAY-2026'!$A$4:$ACP$113,MATCH('FY-(26-27)Q1'!$I$2:$J$2,'MAY-2026'!$A$2:$CQ$2,0),0),0)</f>
        <v>-173423</v>
      </c>
      <c r="J78" s="154">
        <f>IFERROR(VLOOKUP($A$3:$A$144,'MAY-2026'!$A$4:$ACP$113,MATCH('FY-(26-27)Q1'!$I$2:$J$2,'MAY-2026'!$A$2:$CQ$2,0),0),0)</f>
        <v>-0.57807666666666657</v>
      </c>
      <c r="K78" s="152">
        <f>IFERROR(VLOOKUP($A$3:$A$144,'JUNE-2026'!$A$4:$ADJ$113,MATCH('FY-(26-27)Q1'!$K$2:$L$2,'JUNE-2026'!$A$2:$DK$2,0),0),0)</f>
        <v>-245399</v>
      </c>
      <c r="L78" s="154">
        <f>IFERROR(VLOOKUP($A$3:$A$144,'JUNE-2026'!$A$4:$ADJ$113,MATCH('FY-(26-27)Q1'!$K$2:$L$2,'JUNE-2026'!$A$2:$DK$2,0),0),0)</f>
        <v>-0.81799666666666671</v>
      </c>
      <c r="M78" s="71">
        <f t="shared" si="14"/>
        <v>-167382</v>
      </c>
      <c r="N78" s="165">
        <f t="shared" si="15"/>
        <v>-0.55793999999999999</v>
      </c>
      <c r="O78" s="214"/>
      <c r="P78" s="152">
        <f>IFERROR(VLOOKUP($A$3:$A$144,'FY-(26-27)Q2'!$A$4:$ABW$124,MATCH('FY-(26-27)Q1'!$P$2:$Q$2,'FY-(26-27)Q2'!$A$2:$BX$2,0),0),0)</f>
        <v>539686</v>
      </c>
      <c r="Q78" s="154">
        <f>IFERROR(VLOOKUP($A$3:$A$144,'FY-(26-27)Q2'!$A$4:$ABW$124,MATCH('FY-(26-27)Q1'!$P$2:$Q$2,'FY-(26-27)Q2'!$A$2:$BX$2,0),0),0)</f>
        <v>1.7989533333333336</v>
      </c>
      <c r="R78" s="158"/>
      <c r="S78" s="152">
        <f>IFERROR(VLOOKUP($A$3:$A$144,'FY-(26-27)Q3'!$A$4:$ABW$117,MATCH('FY-(26-27)Q1'!$S$2:$T$2,'FY-(26-27)Q3'!$A$2:$BX$2,0),0),0)</f>
        <v>311687</v>
      </c>
      <c r="T78" s="154">
        <f>IFERROR(VLOOKUP($A$3:$A$144,'FY-(26-27)Q3'!$A$4:$ABW$117,MATCH('FY-(26-27)Q1'!$S$2:$T$3,'FY-(26-27)Q3'!$A$2:$BX$2,0),0),0)</f>
        <v>0</v>
      </c>
      <c r="U78" s="158"/>
      <c r="V78" s="45"/>
      <c r="W78" s="72"/>
      <c r="Y78" s="153">
        <f t="shared" si="12"/>
        <v>683991</v>
      </c>
      <c r="Z78" s="167">
        <f t="shared" si="13"/>
        <v>1.2410133333333335</v>
      </c>
    </row>
    <row r="79" spans="1:34" x14ac:dyDescent="0.25">
      <c r="A79" s="59" t="s">
        <v>41</v>
      </c>
      <c r="B79" s="59" t="s">
        <v>86</v>
      </c>
      <c r="C79" s="59" t="s">
        <v>173</v>
      </c>
      <c r="D79" s="59" t="s">
        <v>86</v>
      </c>
      <c r="E79" s="59" t="s">
        <v>256</v>
      </c>
      <c r="F79" s="114">
        <v>1.5</v>
      </c>
      <c r="G79" s="152">
        <f>IFERROR(VLOOKUP($A$3:$A$144,'APR-2026'!$A$4:$ABX$112,MATCH('FY-(26-27)Q1'!$G$2:$H$2,'APR-2026'!$A$2:$BY$2,0),0),0)</f>
        <v>-37267</v>
      </c>
      <c r="H79" s="154">
        <f>IFERROR(VLOOKUP($A$3:$A$144,'APR-2026'!$A$4:$ABX$112,MATCH('FY-(26-27)Q1'!$G$2:$H$2,'APR-2026'!$A$2:$BY$2,0),0),0)</f>
        <v>-0.14906800000000001</v>
      </c>
      <c r="I79" s="152">
        <f>IFERROR(VLOOKUP($A$3:$A$144,'MAY-2026'!$A$4:$ACP$113,MATCH('FY-(26-27)Q1'!$I$2:$J$2,'MAY-2026'!$A$2:$CQ$2,0),0),0)</f>
        <v>-50171</v>
      </c>
      <c r="J79" s="154">
        <f>IFERROR(VLOOKUP($A$3:$A$144,'MAY-2026'!$A$4:$ACP$113,MATCH('FY-(26-27)Q1'!$I$2:$J$2,'MAY-2026'!$A$2:$CQ$2,0),0),0)</f>
        <v>-0.20068400000000003</v>
      </c>
      <c r="K79" s="152">
        <f>IFERROR(VLOOKUP($A$3:$A$144,'JUNE-2026'!$A$4:$ADJ$113,MATCH('FY-(26-27)Q1'!$K$2:$L$2,'JUNE-2026'!$A$2:$DK$2,0),0),0)</f>
        <v>-184314</v>
      </c>
      <c r="L79" s="154">
        <f>IFERROR(VLOOKUP($A$3:$A$144,'JUNE-2026'!$A$4:$ADJ$113,MATCH('FY-(26-27)Q1'!$K$2:$L$2,'JUNE-2026'!$A$2:$DK$2,0),0),0)</f>
        <v>-0.73725600000000013</v>
      </c>
      <c r="M79" s="71">
        <f t="shared" si="14"/>
        <v>-271752</v>
      </c>
      <c r="N79" s="165">
        <f t="shared" si="15"/>
        <v>-1.0870080000000002</v>
      </c>
      <c r="O79" s="214"/>
      <c r="P79" s="152">
        <f>IFERROR(VLOOKUP($A$3:$A$144,'FY-(26-27)Q2'!$A$4:$ABW$124,MATCH('FY-(26-27)Q1'!$P$2:$Q$2,'FY-(26-27)Q2'!$A$2:$BX$2,0),0),0)</f>
        <v>-113136</v>
      </c>
      <c r="Q79" s="154">
        <f>IFERROR(VLOOKUP($A$3:$A$144,'FY-(26-27)Q2'!$A$4:$ABW$124,MATCH('FY-(26-27)Q1'!$P$2:$Q$2,'FY-(26-27)Q2'!$A$2:$BX$2,0),0),0)</f>
        <v>-0.452544</v>
      </c>
      <c r="R79" s="158"/>
      <c r="S79" s="152">
        <f>IFERROR(VLOOKUP($A$3:$A$144,'FY-(26-27)Q3'!$A$4:$ABW$117,MATCH('FY-(26-27)Q1'!$S$2:$T$2,'FY-(26-27)Q3'!$A$2:$BX$2,0),0),0)</f>
        <v>0</v>
      </c>
      <c r="T79" s="154">
        <f>IFERROR(VLOOKUP($A$3:$A$144,'FY-(26-27)Q3'!$A$4:$ABW$117,MATCH('FY-(26-27)Q1'!$S$2:$T$3,'FY-(26-27)Q3'!$A$2:$BX$2,0),0),0)</f>
        <v>0</v>
      </c>
      <c r="U79" s="158"/>
      <c r="V79" s="45"/>
      <c r="W79" s="72"/>
      <c r="Y79" s="153">
        <f t="shared" si="12"/>
        <v>-384888</v>
      </c>
      <c r="Z79" s="167">
        <f t="shared" si="13"/>
        <v>-1.5395520000000003</v>
      </c>
    </row>
    <row r="80" spans="1:34" s="131" customFormat="1" x14ac:dyDescent="0.25">
      <c r="A80" s="59" t="s">
        <v>331</v>
      </c>
      <c r="B80" s="59" t="s">
        <v>286</v>
      </c>
      <c r="C80" s="59" t="s">
        <v>299</v>
      </c>
      <c r="D80" s="59"/>
      <c r="E80" s="59" t="s">
        <v>256</v>
      </c>
      <c r="F80" s="114">
        <v>1.5</v>
      </c>
      <c r="G80" s="152">
        <f>IFERROR(VLOOKUP($A$3:$A$144,'APR-2026'!$A$4:$ABX$112,MATCH('FY-(26-27)Q1'!$G$2:$H$2,'APR-2026'!$A$2:$BY$2,0),0),0)</f>
        <v>0</v>
      </c>
      <c r="H80" s="154">
        <f>IFERROR(VLOOKUP($A$3:$A$144,'APR-2026'!$A$4:$ABX$112,MATCH('FY-(26-27)Q1'!$G$2:$H$2,'APR-2026'!$A$2:$BY$2,0),0),0)</f>
        <v>0</v>
      </c>
      <c r="I80" s="152">
        <f>IFERROR(VLOOKUP($A$3:$A$144,'MAY-2026'!$A$4:$ACP$113,MATCH('FY-(26-27)Q1'!$I$2:$J$2,'MAY-2026'!$A$2:$CQ$2,0),0),0)</f>
        <v>0</v>
      </c>
      <c r="J80" s="154">
        <f>IFERROR(VLOOKUP($A$3:$A$144,'MAY-2026'!$A$4:$ACP$113,MATCH('FY-(26-27)Q1'!$I$2:$J$2,'MAY-2026'!$A$2:$CQ$2,0),0),0)</f>
        <v>0</v>
      </c>
      <c r="K80" s="152">
        <f>IFERROR(VLOOKUP($A$3:$A$144,'JUNE-2026'!$A$4:$ADJ$113,MATCH('FY-(26-27)Q1'!$K$2:$L$2,'JUNE-2026'!$A$2:$DK$2,0),0),0)</f>
        <v>0</v>
      </c>
      <c r="L80" s="154">
        <f>IFERROR(VLOOKUP($A$3:$A$144,'JUNE-2026'!$A$4:$ADJ$113,MATCH('FY-(26-27)Q1'!$K$2:$L$2,'JUNE-2026'!$A$2:$DK$2,0),0),0)</f>
        <v>0</v>
      </c>
      <c r="M80" s="71">
        <f t="shared" si="14"/>
        <v>0</v>
      </c>
      <c r="N80" s="165">
        <f t="shared" si="15"/>
        <v>0</v>
      </c>
      <c r="O80" s="214"/>
      <c r="P80" s="152">
        <f>IFERROR(VLOOKUP($A$3:$A$144,'FY-(26-27)Q2'!$A$4:$ABW$124,MATCH('FY-(26-27)Q1'!$P$2:$Q$2,'FY-(26-27)Q2'!$A$2:$BX$2,0),0),0)</f>
        <v>0</v>
      </c>
      <c r="Q80" s="154">
        <f>IFERROR(VLOOKUP($A$3:$A$144,'FY-(26-27)Q2'!$A$4:$ABW$124,MATCH('FY-(26-27)Q1'!$P$2:$Q$2,'FY-(26-27)Q2'!$A$2:$BX$2,0),0),0)</f>
        <v>0</v>
      </c>
      <c r="R80" s="158"/>
      <c r="S80" s="152">
        <f>IFERROR(VLOOKUP($A$3:$A$144,'FY-(26-27)Q3'!$A$4:$ABW$117,MATCH('FY-(26-27)Q1'!$S$2:$T$2,'FY-(26-27)Q3'!$A$2:$BX$2,0),0),0)</f>
        <v>51734</v>
      </c>
      <c r="T80" s="154">
        <f>IFERROR(VLOOKUP($A$3:$A$144,'FY-(26-27)Q3'!$A$4:$ABW$117,MATCH('FY-(26-27)Q1'!$S$2:$T$3,'FY-(26-27)Q3'!$A$2:$BX$2,0),0),0)</f>
        <v>0</v>
      </c>
      <c r="U80" s="158"/>
      <c r="V80" s="143"/>
      <c r="W80" s="149"/>
      <c r="Y80" s="153">
        <f t="shared" si="12"/>
        <v>51734</v>
      </c>
      <c r="Z80" s="167">
        <f t="shared" si="13"/>
        <v>0</v>
      </c>
    </row>
    <row r="81" spans="1:28" s="131" customFormat="1" x14ac:dyDescent="0.25">
      <c r="A81" s="59" t="s">
        <v>288</v>
      </c>
      <c r="B81" s="59" t="s">
        <v>286</v>
      </c>
      <c r="C81" s="59" t="s">
        <v>285</v>
      </c>
      <c r="D81" s="59"/>
      <c r="E81" s="59" t="s">
        <v>287</v>
      </c>
      <c r="F81" s="114">
        <v>5</v>
      </c>
      <c r="G81" s="152">
        <f>IFERROR(VLOOKUP($A$3:$A$144,'APR-2026'!$A$4:$ABX$112,MATCH('FY-(26-27)Q1'!$G$2:$H$2,'APR-2026'!$A$2:$BY$2,0),0),0)</f>
        <v>0</v>
      </c>
      <c r="H81" s="154">
        <f>IFERROR(VLOOKUP($A$3:$A$144,'APR-2026'!$A$4:$ABX$112,MATCH('FY-(26-27)Q1'!$G$2:$H$2,'APR-2026'!$A$2:$BY$2,0),0),0)</f>
        <v>0</v>
      </c>
      <c r="I81" s="152">
        <f>IFERROR(VLOOKUP($A$3:$A$144,'MAY-2026'!$A$4:$ACP$113,MATCH('FY-(26-27)Q1'!$I$2:$J$2,'MAY-2026'!$A$2:$CQ$2,0),0),0)</f>
        <v>0</v>
      </c>
      <c r="J81" s="154">
        <f>IFERROR(VLOOKUP($A$3:$A$144,'MAY-2026'!$A$4:$ACP$113,MATCH('FY-(26-27)Q1'!$I$2:$J$2,'MAY-2026'!$A$2:$CQ$2,0),0),0)</f>
        <v>0</v>
      </c>
      <c r="K81" s="152">
        <f>IFERROR(VLOOKUP($A$3:$A$144,'JUNE-2026'!$A$4:$ADJ$113,MATCH('FY-(26-27)Q1'!$K$2:$L$2,'JUNE-2026'!$A$2:$DK$2,0),0),0)</f>
        <v>0</v>
      </c>
      <c r="L81" s="154">
        <f>IFERROR(VLOOKUP($A$3:$A$144,'JUNE-2026'!$A$4:$ADJ$113,MATCH('FY-(26-27)Q1'!$K$2:$L$2,'JUNE-2026'!$A$2:$DK$2,0),0),0)</f>
        <v>0</v>
      </c>
      <c r="M81" s="71">
        <f t="shared" si="14"/>
        <v>0</v>
      </c>
      <c r="N81" s="165">
        <f t="shared" si="15"/>
        <v>0</v>
      </c>
      <c r="O81" s="214"/>
      <c r="P81" s="152">
        <f>IFERROR(VLOOKUP($A$3:$A$144,'FY-(26-27)Q2'!$A$4:$ABW$124,MATCH('FY-(26-27)Q1'!$P$2:$Q$2,'FY-(26-27)Q2'!$A$2:$BX$2,0),0),0)</f>
        <v>490853</v>
      </c>
      <c r="Q81" s="154">
        <f>IFERROR(VLOOKUP($A$3:$A$144,'FY-(26-27)Q2'!$A$4:$ABW$124,MATCH('FY-(26-27)Q1'!$P$2:$Q$2,'FY-(26-27)Q2'!$A$2:$BX$2,0),0),0)</f>
        <v>0.98170599999999997</v>
      </c>
      <c r="R81" s="158"/>
      <c r="S81" s="152">
        <f>IFERROR(VLOOKUP($A$3:$A$144,'FY-(26-27)Q3'!$A$4:$ABW$117,MATCH('FY-(26-27)Q1'!$S$2:$T$2,'FY-(26-27)Q3'!$A$2:$BX$2,0),0),0)</f>
        <v>1067523</v>
      </c>
      <c r="T81" s="154">
        <f>IFERROR(VLOOKUP($A$3:$A$144,'FY-(26-27)Q3'!$A$4:$ABW$117,MATCH('FY-(26-27)Q1'!$S$2:$T$3,'FY-(26-27)Q3'!$A$2:$BX$2,0),0),0)</f>
        <v>0</v>
      </c>
      <c r="U81" s="158"/>
      <c r="V81" s="143"/>
      <c r="W81" s="149"/>
      <c r="Y81" s="153">
        <f t="shared" si="12"/>
        <v>1558376</v>
      </c>
      <c r="Z81" s="167">
        <f t="shared" si="13"/>
        <v>0.98170599999999997</v>
      </c>
    </row>
    <row r="82" spans="1:28" x14ac:dyDescent="0.25">
      <c r="A82" s="20"/>
      <c r="B82" s="21"/>
      <c r="C82" s="20"/>
      <c r="D82" s="22"/>
      <c r="E82" s="207"/>
      <c r="F82" s="1"/>
      <c r="G82" s="89">
        <f>SUM(G4:G81)</f>
        <v>18164639</v>
      </c>
      <c r="H82" s="90"/>
      <c r="I82" s="153">
        <f>SUM(I4:I81)</f>
        <v>-608314</v>
      </c>
      <c r="J82" s="100"/>
      <c r="K82" s="153">
        <f>SUM(K4:K81)</f>
        <v>1801210</v>
      </c>
      <c r="L82" s="109"/>
      <c r="M82" s="153">
        <f>SUM(M4:M81)</f>
        <v>19357535</v>
      </c>
      <c r="N82" s="122"/>
      <c r="O82" s="122"/>
      <c r="P82" s="153">
        <f>SUM(P4:P81)</f>
        <v>3911995</v>
      </c>
      <c r="Q82" s="122"/>
      <c r="R82" s="122"/>
      <c r="S82" s="153">
        <f>SUM(S4:S81)</f>
        <v>7106588</v>
      </c>
      <c r="T82" s="122"/>
      <c r="U82" s="122"/>
      <c r="V82" s="56"/>
      <c r="W82" s="50"/>
      <c r="Y82" s="153">
        <f>SUM(Y4:Y81)</f>
        <v>30376118</v>
      </c>
      <c r="Z82" s="160"/>
    </row>
    <row r="83" spans="1:28" ht="15.75" thickBot="1" x14ac:dyDescent="0.3">
      <c r="A83" s="1"/>
      <c r="B83" s="1"/>
      <c r="C83" s="1"/>
      <c r="D83" s="1"/>
      <c r="F83" s="1"/>
      <c r="G83" s="91"/>
      <c r="H83" s="92"/>
      <c r="I83" s="101"/>
      <c r="J83" s="102"/>
      <c r="K83" s="110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51"/>
      <c r="W83" s="54"/>
    </row>
    <row r="84" spans="1:28" ht="16.5" thickBot="1" x14ac:dyDescent="0.3">
      <c r="A84" s="1"/>
      <c r="B84" s="1"/>
      <c r="C84" s="1"/>
      <c r="D84" s="1"/>
      <c r="F84" s="1"/>
      <c r="G84" s="84" t="s">
        <v>149</v>
      </c>
      <c r="H84" s="85" t="s">
        <v>150</v>
      </c>
      <c r="I84" s="95" t="s">
        <v>159</v>
      </c>
      <c r="J84" s="96" t="s">
        <v>160</v>
      </c>
      <c r="K84" s="105" t="s">
        <v>161</v>
      </c>
      <c r="L84" s="106" t="s">
        <v>162</v>
      </c>
      <c r="M84" s="67" t="s">
        <v>90</v>
      </c>
      <c r="N84" s="68" t="s">
        <v>125</v>
      </c>
      <c r="O84" s="212"/>
      <c r="P84" s="67" t="s">
        <v>89</v>
      </c>
      <c r="Q84" s="68" t="s">
        <v>126</v>
      </c>
      <c r="R84" s="212"/>
      <c r="S84" s="67" t="s">
        <v>101</v>
      </c>
      <c r="T84" s="68" t="s">
        <v>127</v>
      </c>
      <c r="U84" s="212"/>
      <c r="V84" s="67" t="s">
        <v>119</v>
      </c>
      <c r="W84" s="68" t="s">
        <v>78</v>
      </c>
      <c r="Y84" s="126" t="s">
        <v>163</v>
      </c>
      <c r="Z84" s="127" t="s">
        <v>78</v>
      </c>
    </row>
    <row r="85" spans="1:28" x14ac:dyDescent="0.25">
      <c r="A85" s="75" t="s">
        <v>36</v>
      </c>
      <c r="B85" s="76" t="s">
        <v>71</v>
      </c>
      <c r="C85" s="77" t="s">
        <v>57</v>
      </c>
      <c r="D85" s="77" t="s">
        <v>87</v>
      </c>
      <c r="E85" s="77" t="s">
        <v>256</v>
      </c>
      <c r="F85" s="240">
        <v>30</v>
      </c>
      <c r="G85" s="238">
        <f>IFERROR(VLOOKUP($A$3:$A$144,'APR-2026'!$A$4:$ABX$112,MATCH('FY-(26-27)Q1'!$G$2:$H$2,'APR-2026'!$A$2:$BY$2,0),0),0)</f>
        <v>3718000</v>
      </c>
      <c r="H85" s="158">
        <f>IFERROR(VLOOKUP($A$3:$A$144,'APR-2026'!$A$4:$ABX$112,MATCH('FY-(26-27)Q1'!$G$2:$H$2,'APR-2026'!$A$2:$BY$2,0),0),0)</f>
        <v>1.2393333333333332</v>
      </c>
      <c r="I85" s="152">
        <f>IFERROR(VLOOKUP($A$3:$A$144,'MAY-2026'!$A$4:$ACP$113,MATCH('FY-(26-27)Q1'!$I$2:$J$2,'MAY-2026'!$A$2:$CQ$2,0),0),0)</f>
        <v>-191500</v>
      </c>
      <c r="J85" s="154">
        <f>IFERROR(VLOOKUP($A$3:$A$144,'MAY-2026'!$A$4:$ACP$113,MATCH('FY-(26-27)Q1'!$I$2:$J$2,'MAY-2026'!$A$2:$CQ$2,0),0),0)</f>
        <v>-6.3833333333333325E-2</v>
      </c>
      <c r="K85" s="152">
        <f>IFERROR(VLOOKUP($A$3:$A$144,'JUNE-2026'!$A$4:$ADJ$113,MATCH('FY-(26-27)Q1'!$K$2:$L$2,'JUNE-2026'!$A$2:$DK$2,0),0),0)</f>
        <v>269000</v>
      </c>
      <c r="L85" s="154">
        <f>IFERROR(VLOOKUP($A$3:$A$144,'JUNE-2026'!$A$4:$ADJ$113,MATCH('FY-(26-27)Q1'!$K$2:$L$2,'JUNE-2026'!$A$2:$DK$2,0),0),0)</f>
        <v>8.9666666666666658E-2</v>
      </c>
      <c r="M85" s="88">
        <f t="shared" ref="M85:N87" si="16">G85+I85+K85</f>
        <v>3795500</v>
      </c>
      <c r="N85" s="166">
        <f t="shared" si="16"/>
        <v>1.2651666666666663</v>
      </c>
      <c r="O85" s="166"/>
      <c r="P85" s="152">
        <f>IFERROR(VLOOKUP($A$3:$A$144,'FY-(26-27)Q2'!$A$4:$ABW$124,MATCH('FY-(26-27)Q1'!$P$2:$Q$2,'FY-(26-27)Q2'!$A$2:$BX$2,0),0),0)</f>
        <v>0</v>
      </c>
      <c r="Q85" s="154">
        <f>IFERROR(VLOOKUP($A$3:$A$144,'FY-(26-27)Q2'!$A$4:$ABW$124,MATCH('FY-(26-27)Q1'!$P$2:$Q$2,'FY-(26-27)Q2'!$A$2:$BX$2,0),0),0)</f>
        <v>0</v>
      </c>
      <c r="R85" s="158"/>
      <c r="S85" s="152">
        <f>IFERROR(VLOOKUP($A$4:$A$79,#REF!,MATCH('FY-(26-27)Q1'!$S$2:$T$2,#REF!,0),0),0)</f>
        <v>0</v>
      </c>
      <c r="T85" s="158">
        <f>IFERROR(VLOOKUP($A$4:$A$79,#REF!,MATCH('FY-(26-27)Q1'!$S$2:$T$2,#REF!,0),0),0)</f>
        <v>0</v>
      </c>
      <c r="U85" s="218"/>
      <c r="V85" s="52"/>
      <c r="W85" s="53"/>
      <c r="Y85" s="52">
        <f t="shared" ref="Y85:Z87" si="17">M85+P85+S85+V85</f>
        <v>3795500</v>
      </c>
      <c r="Z85" s="53">
        <f t="shared" si="17"/>
        <v>1.2651666666666663</v>
      </c>
    </row>
    <row r="86" spans="1:28" x14ac:dyDescent="0.25">
      <c r="A86" s="79" t="s">
        <v>37</v>
      </c>
      <c r="B86" s="140" t="s">
        <v>77</v>
      </c>
      <c r="C86" s="41" t="s">
        <v>57</v>
      </c>
      <c r="D86" s="41" t="s">
        <v>87</v>
      </c>
      <c r="E86" s="41" t="s">
        <v>107</v>
      </c>
      <c r="F86" s="241">
        <v>2</v>
      </c>
      <c r="G86" s="238">
        <f>IFERROR(VLOOKUP($A$3:$A$144,'APR-2026'!$A$4:$ABX$112,MATCH('FY-(26-27)Q1'!$G$2:$H$2,'APR-2026'!$A$2:$BY$2,0),0),0)</f>
        <v>3262972</v>
      </c>
      <c r="H86" s="158">
        <f>IFERROR(VLOOKUP($A$3:$A$144,'APR-2026'!$A$4:$ABX$112,MATCH('FY-(26-27)Q1'!$G$2:$H$2,'APR-2026'!$A$2:$BY$2,0),0),0)</f>
        <v>16.314859999999999</v>
      </c>
      <c r="I86" s="152">
        <f>IFERROR(VLOOKUP($A$3:$A$144,'MAY-2026'!$A$4:$ACP$113,MATCH('FY-(26-27)Q1'!$I$2:$J$2,'MAY-2026'!$A$2:$CQ$2,0),0),0)</f>
        <v>0</v>
      </c>
      <c r="J86" s="154">
        <f>IFERROR(VLOOKUP($A$3:$A$144,'MAY-2026'!$A$4:$ACP$113,MATCH('FY-(26-27)Q1'!$I$2:$J$2,'MAY-2026'!$A$2:$CQ$2,0),0),0)</f>
        <v>0</v>
      </c>
      <c r="K86" s="152">
        <f>IFERROR(VLOOKUP($A$3:$A$144,'JUNE-2026'!$A$4:$ADJ$113,MATCH('FY-(26-27)Q1'!$K$2:$L$2,'JUNE-2026'!$A$2:$DK$2,0),0),0)</f>
        <v>0</v>
      </c>
      <c r="L86" s="154">
        <f>IFERROR(VLOOKUP($A$3:$A$144,'JUNE-2026'!$A$4:$ADJ$113,MATCH('FY-(26-27)Q1'!$K$2:$L$2,'JUNE-2026'!$A$2:$DK$2,0),0),0)</f>
        <v>0</v>
      </c>
      <c r="M86" s="152">
        <f t="shared" si="16"/>
        <v>3262972</v>
      </c>
      <c r="N86" s="166">
        <f t="shared" si="16"/>
        <v>16.314859999999999</v>
      </c>
      <c r="O86" s="166"/>
      <c r="P86" s="152">
        <f>IFERROR(VLOOKUP($A$3:$A$144,'FY-(26-27)Q2'!$A$4:$ABW$124,MATCH('FY-(26-27)Q1'!$P$2:$Q$2,'FY-(26-27)Q2'!$A$2:$BX$2,0),0),0)</f>
        <v>0</v>
      </c>
      <c r="Q86" s="154">
        <f>IFERROR(VLOOKUP($A$3:$A$144,'FY-(26-27)Q2'!$A$4:$ABW$124,MATCH('FY-(26-27)Q1'!$P$2:$Q$2,'FY-(26-27)Q2'!$A$2:$BX$2,0),0),0)</f>
        <v>0</v>
      </c>
      <c r="R86" s="158"/>
      <c r="S86" s="152">
        <f>IFERROR(VLOOKUP($A$4:$A$79,#REF!,MATCH('FY-(26-27)Q1'!$S$2:$T$2,#REF!,0),0),0)</f>
        <v>0</v>
      </c>
      <c r="T86" s="158">
        <f>IFERROR(VLOOKUP($A$4:$A$79,#REF!,MATCH('FY-(26-27)Q1'!$S$2:$T$2,#REF!,0),0),0)</f>
        <v>0</v>
      </c>
      <c r="U86" s="218"/>
      <c r="V86" s="52"/>
      <c r="W86" s="53"/>
      <c r="Y86" s="52">
        <f t="shared" si="17"/>
        <v>3262972</v>
      </c>
      <c r="Z86" s="53">
        <f t="shared" si="17"/>
        <v>16.314859999999999</v>
      </c>
    </row>
    <row r="87" spans="1:28" x14ac:dyDescent="0.25">
      <c r="A87" s="79" t="s">
        <v>241</v>
      </c>
      <c r="B87" s="140" t="s">
        <v>240</v>
      </c>
      <c r="C87" s="140" t="s">
        <v>57</v>
      </c>
      <c r="D87" s="140"/>
      <c r="E87" s="140"/>
      <c r="F87" s="206"/>
      <c r="G87" s="238">
        <f>IFERROR(VLOOKUP($A$3:$A$144,'APR-2026'!$A$4:$ABX$112,MATCH('FY-(26-27)Q1'!$G$2:$H$2,'APR-2026'!$A$2:$BY$2,0),0),0)</f>
        <v>0</v>
      </c>
      <c r="H87" s="158">
        <f>IFERROR(VLOOKUP($A$3:$A$144,'APR-2026'!$A$4:$ABX$112,MATCH('FY-(26-27)Q1'!$G$2:$H$2,'APR-2026'!$A$2:$BY$2,0),0),0)</f>
        <v>0</v>
      </c>
      <c r="I87" s="152">
        <f>IFERROR(VLOOKUP($A$3:$A$144,'MAY-2026'!$A$4:$ACP$113,MATCH('FY-(26-27)Q1'!$I$2:$J$2,'MAY-2026'!$A$2:$CQ$2,0),0),0)</f>
        <v>212000</v>
      </c>
      <c r="J87" s="154">
        <f>IFERROR(VLOOKUP($A$3:$A$144,'MAY-2026'!$A$4:$ACP$113,MATCH('FY-(26-27)Q1'!$I$2:$J$2,'MAY-2026'!$A$2:$CQ$2,0),0),0)</f>
        <v>0</v>
      </c>
      <c r="K87" s="152">
        <f>IFERROR(VLOOKUP($A$3:$A$144,'JUNE-2026'!$A$4:$ADJ$113,MATCH('FY-(26-27)Q1'!$K$2:$L$2,'JUNE-2026'!$A$2:$DK$2,0),0),0)</f>
        <v>-500</v>
      </c>
      <c r="L87" s="154">
        <f>IFERROR(VLOOKUP($A$3:$A$144,'JUNE-2026'!$A$4:$ADJ$113,MATCH('FY-(26-27)Q1'!$K$2:$L$2,'JUNE-2026'!$A$2:$DK$2,0),0),0)</f>
        <v>0</v>
      </c>
      <c r="M87" s="152">
        <f t="shared" si="16"/>
        <v>211500</v>
      </c>
      <c r="N87" s="166">
        <f t="shared" si="16"/>
        <v>0</v>
      </c>
      <c r="O87" s="166"/>
      <c r="P87" s="152">
        <f>IFERROR(VLOOKUP($A$3:$A$144,'FY-(26-27)Q2'!$A$4:$ABW$124,MATCH('FY-(26-27)Q1'!$P$2:$Q$2,'FY-(26-27)Q2'!$A$2:$BX$2,0),0),0)</f>
        <v>-292171</v>
      </c>
      <c r="Q87" s="154">
        <f>IFERROR(VLOOKUP($A$3:$A$144,'FY-(26-27)Q2'!$A$4:$ABW$124,MATCH('FY-(26-27)Q1'!$P$2:$Q$2,'FY-(26-27)Q2'!$A$2:$BX$2,0),0),0)</f>
        <v>-0.9739033333333329</v>
      </c>
      <c r="R87" s="158"/>
      <c r="S87" s="152">
        <f>IFERROR(VLOOKUP($A$4:$A$79,#REF!,MATCH('FY-(26-27)Q1'!$S$2:$T$2,#REF!,0),0),0)</f>
        <v>0</v>
      </c>
      <c r="T87" s="158">
        <f>IFERROR(VLOOKUP($A$4:$A$79,#REF!,MATCH('FY-(26-27)Q1'!$S$2:$T$2,#REF!,0),0),0)</f>
        <v>0</v>
      </c>
      <c r="U87" s="218"/>
      <c r="V87" s="52"/>
      <c r="W87" s="53"/>
      <c r="X87" s="131"/>
      <c r="Y87" s="52">
        <f t="shared" si="17"/>
        <v>-80671</v>
      </c>
      <c r="Z87" s="53">
        <f t="shared" si="17"/>
        <v>-0.9739033333333329</v>
      </c>
      <c r="AA87" s="131"/>
    </row>
    <row r="88" spans="1:28" s="131" customFormat="1" x14ac:dyDescent="0.25">
      <c r="A88" s="79" t="s">
        <v>273</v>
      </c>
      <c r="B88" s="140" t="s">
        <v>272</v>
      </c>
      <c r="C88" s="140" t="s">
        <v>57</v>
      </c>
      <c r="D88" s="140" t="s">
        <v>87</v>
      </c>
      <c r="E88" s="140" t="s">
        <v>256</v>
      </c>
      <c r="F88" s="206"/>
      <c r="G88" s="238">
        <f>IFERROR(VLOOKUP($A$3:$A$144,'APR-2026'!$A$4:$ABX$112,MATCH('FY-(26-27)Q1'!$G$2:$H$2,'APR-2026'!$A$2:$BY$2,0),0),0)</f>
        <v>0</v>
      </c>
      <c r="H88" s="158">
        <f>IFERROR(VLOOKUP($A$3:$A$144,'APR-2026'!$A$4:$ABX$112,MATCH('FY-(26-27)Q1'!$G$2:$H$2,'APR-2026'!$A$2:$BY$2,0),0),0)</f>
        <v>0</v>
      </c>
      <c r="I88" s="152">
        <f>IFERROR(VLOOKUP($A$3:$A$144,'MAY-2026'!$A$4:$ACP$113,MATCH('FY-(26-27)Q1'!$I$2:$J$2,'MAY-2026'!$A$2:$CQ$2,0),0),0)</f>
        <v>0</v>
      </c>
      <c r="J88" s="154">
        <f>IFERROR(VLOOKUP($A$3:$A$144,'MAY-2026'!$A$4:$ACP$113,MATCH('FY-(26-27)Q1'!$I$2:$J$2,'MAY-2026'!$A$2:$CQ$2,0),0),0)</f>
        <v>0</v>
      </c>
      <c r="K88" s="152">
        <f>IFERROR(VLOOKUP($A$3:$A$144,'JUNE-2026'!$A$4:$ADJ$113,MATCH('FY-(26-27)Q1'!$K$2:$L$2,'JUNE-2026'!$A$2:$DK$2,0),0),0)</f>
        <v>-410000</v>
      </c>
      <c r="L88" s="154">
        <f>IFERROR(VLOOKUP($A$3:$A$144,'JUNE-2026'!$A$4:$ADJ$113,MATCH('FY-(26-27)Q1'!$K$2:$L$2,'JUNE-2026'!$A$2:$DK$2,0),0),0)</f>
        <v>0</v>
      </c>
      <c r="M88" s="152">
        <f t="shared" ref="M88" si="18">G88+I88+K88</f>
        <v>-410000</v>
      </c>
      <c r="N88" s="166">
        <f t="shared" ref="N88" si="19">H88+J88+L88</f>
        <v>0</v>
      </c>
      <c r="O88" s="166"/>
      <c r="P88" s="152">
        <f>IFERROR(VLOOKUP($A$3:$A$144,'FY-(26-27)Q2'!$A$4:$ABW$124,MATCH('FY-(26-27)Q1'!$P$2:$Q$2,'FY-(26-27)Q2'!$A$2:$BX$2,0),0),0)</f>
        <v>1019091</v>
      </c>
      <c r="Q88" s="154">
        <f>IFERROR(VLOOKUP($A$3:$A$144,'FY-(26-27)Q2'!$A$4:$ABW$124,MATCH('FY-(26-27)Q1'!$P$2:$Q$2,'FY-(26-27)Q2'!$A$2:$BX$2,0),0),0)</f>
        <v>0</v>
      </c>
      <c r="R88" s="158"/>
      <c r="S88" s="152">
        <f>IFERROR(VLOOKUP($A$4:$A$79,#REF!,MATCH('FY-(26-27)Q1'!$S$2:$T$2,#REF!,0),0),0)</f>
        <v>0</v>
      </c>
      <c r="T88" s="158">
        <f>IFERROR(VLOOKUP($A$4:$A$79,#REF!,MATCH('FY-(26-27)Q1'!$S$2:$T$2,#REF!,0),0),0)</f>
        <v>0</v>
      </c>
      <c r="U88" s="218"/>
      <c r="V88" s="52"/>
      <c r="W88" s="53"/>
      <c r="Y88" s="52">
        <f t="shared" ref="Y88" si="20">M88+P88+S88+V88</f>
        <v>609091</v>
      </c>
      <c r="Z88" s="53">
        <f t="shared" ref="Z88" si="21">N88+Q88+T88+W88</f>
        <v>0</v>
      </c>
    </row>
    <row r="89" spans="1:28" ht="15.75" thickBot="1" x14ac:dyDescent="0.3">
      <c r="A89" s="242"/>
      <c r="B89" s="243"/>
      <c r="C89" s="243"/>
      <c r="D89" s="243"/>
      <c r="E89" s="243"/>
      <c r="F89" s="244"/>
      <c r="G89" s="239">
        <f>SUM(G85:G86)</f>
        <v>6980972</v>
      </c>
      <c r="H89" s="94"/>
      <c r="I89" s="103">
        <f>SUM(I85:I86)</f>
        <v>-191500</v>
      </c>
      <c r="J89" s="104"/>
      <c r="K89" s="112">
        <f>SUM(K85:K86)</f>
        <v>269000</v>
      </c>
      <c r="L89" s="113"/>
      <c r="M89" s="123"/>
      <c r="N89" s="123"/>
      <c r="O89" s="123"/>
      <c r="P89" s="112">
        <f>SUM(P85:P88)</f>
        <v>726920</v>
      </c>
      <c r="Q89" s="123"/>
      <c r="R89" s="123"/>
      <c r="S89" s="112">
        <f>SUM(S85:S88)</f>
        <v>0</v>
      </c>
      <c r="T89" s="123"/>
      <c r="U89" s="123"/>
      <c r="V89" s="57"/>
      <c r="W89" s="58"/>
      <c r="Y89" s="57">
        <f>SUM(Y85:Y86)</f>
        <v>7058472</v>
      </c>
      <c r="Z89" s="58">
        <f>SUM(Z85:Z86)</f>
        <v>17.580026666666665</v>
      </c>
      <c r="AB89" s="131"/>
    </row>
    <row r="90" spans="1:28" x14ac:dyDescent="0.25">
      <c r="A90" s="1"/>
    </row>
  </sheetData>
  <conditionalFormatting sqref="A60:C60 V4:W4 A29:F31 V22:W23 A15:C15 W52:W53 A3:F4 L2:L3 A52:F53 A56:C56 W24:W32 A85:F86 C18 W49:W50 W45 A45:F45 F18 F15 W62:W66 A72:F72 F57 F60 W56:W57 H4:O4 O5 A22:F26 D5:F5 A47:F47 A78:C78 A79:E79 A49:F50 E56:F56 A65:F65 M85:O87 A36:F38 R36:R39 R15:R19 R24:R32 R52:R57 U85:U87 A82:E82 A41:F42 A68:F68 R41:R50 O41:O57 W41:W42 W72:W74 A9 F9 O15:O20 R59:R66 O59:O66 W59:W60 O22:O34 A33:A34 A7:F8 U59:U66 U68:U77 U41:U46 U52:U57 U24:U32 U19 U49:U50 U36:W39 U15:W18 U47:W48 G89:W89 F76:F79 O68:O79 R68:R79 U78:W79 E78 O7:O13 O36:O39 R7:R11 U7:W11 S4:T81 G82:W83 Y4:Z82 H5:N81">
    <cfRule type="expression" dxfId="236" priority="456">
      <formula>MOD(ROW(),2)=0</formula>
    </cfRule>
  </conditionalFormatting>
  <conditionalFormatting sqref="V41:V42 V25:V26 V64 V52:V53 V60 V49:V50 V29:V31 G2:I3 V56 G4:H81">
    <cfRule type="expression" dxfId="235" priority="455">
      <formula>MOD(ROW(),2)=0</formula>
    </cfRule>
  </conditionalFormatting>
  <conditionalFormatting sqref="J2:J3">
    <cfRule type="expression" dxfId="234" priority="452">
      <formula>MOD(ROW(),2)=0</formula>
    </cfRule>
  </conditionalFormatting>
  <conditionalFormatting sqref="V85:W86">
    <cfRule type="expression" dxfId="233" priority="449">
      <formula>MOD(ROW(),2)=0</formula>
    </cfRule>
  </conditionalFormatting>
  <conditionalFormatting sqref="K2:K3">
    <cfRule type="expression" dxfId="232" priority="450">
      <formula>MOD(ROW(),2)=0</formula>
    </cfRule>
  </conditionalFormatting>
  <conditionalFormatting sqref="V65:V66">
    <cfRule type="expression" dxfId="231" priority="440">
      <formula>MOD(ROW(),2)=0</formula>
    </cfRule>
  </conditionalFormatting>
  <conditionalFormatting sqref="V24">
    <cfRule type="expression" dxfId="230" priority="441">
      <formula>MOD(ROW(),2)=0</formula>
    </cfRule>
  </conditionalFormatting>
  <conditionalFormatting sqref="A57:C57 E57">
    <cfRule type="expression" dxfId="229" priority="430">
      <formula>MOD(ROW(),2)=0</formula>
    </cfRule>
  </conditionalFormatting>
  <conditionalFormatting sqref="V57 V59">
    <cfRule type="expression" dxfId="228" priority="428">
      <formula>MOD(ROW(),2)=0</formula>
    </cfRule>
  </conditionalFormatting>
  <conditionalFormatting sqref="E60">
    <cfRule type="expression" dxfId="227" priority="426">
      <formula>MOD(ROW(),2)=0</formula>
    </cfRule>
  </conditionalFormatting>
  <conditionalFormatting sqref="V45">
    <cfRule type="expression" dxfId="226" priority="417">
      <formula>MOD(ROW(),2)=0</formula>
    </cfRule>
  </conditionalFormatting>
  <conditionalFormatting sqref="A32:F32">
    <cfRule type="expression" dxfId="225" priority="416">
      <formula>MOD(ROW(),2)=0</formula>
    </cfRule>
  </conditionalFormatting>
  <conditionalFormatting sqref="V32">
    <cfRule type="expression" dxfId="224" priority="414">
      <formula>MOD(ROW(),2)=0</formula>
    </cfRule>
  </conditionalFormatting>
  <conditionalFormatting sqref="A28:E28">
    <cfRule type="expression" dxfId="223" priority="413">
      <formula>MOD(ROW(),2)=0</formula>
    </cfRule>
  </conditionalFormatting>
  <conditionalFormatting sqref="V28">
    <cfRule type="expression" dxfId="222" priority="411">
      <formula>MOD(ROW(),2)=0</formula>
    </cfRule>
  </conditionalFormatting>
  <conditionalFormatting sqref="A27:E27">
    <cfRule type="expression" dxfId="221" priority="410">
      <formula>MOD(ROW(),2)=0</formula>
    </cfRule>
  </conditionalFormatting>
  <conditionalFormatting sqref="V27">
    <cfRule type="expression" dxfId="220" priority="408">
      <formula>MOD(ROW(),2)=0</formula>
    </cfRule>
  </conditionalFormatting>
  <conditionalFormatting sqref="A62:C62 E62:F62">
    <cfRule type="expression" dxfId="219" priority="395">
      <formula>MOD(ROW(),2)=0</formula>
    </cfRule>
  </conditionalFormatting>
  <conditionalFormatting sqref="U4 U22:U23">
    <cfRule type="expression" dxfId="218" priority="339">
      <formula>MOD(ROW(),2)=0</formula>
    </cfRule>
  </conditionalFormatting>
  <conditionalFormatting sqref="U4 U22:U23">
    <cfRule type="expression" dxfId="217" priority="338">
      <formula>MOD(ROW(),2)=0</formula>
    </cfRule>
  </conditionalFormatting>
  <conditionalFormatting sqref="V62:V63">
    <cfRule type="expression" dxfId="216" priority="391">
      <formula>MOD(ROW(),2)=0</formula>
    </cfRule>
  </conditionalFormatting>
  <conditionalFormatting sqref="F27">
    <cfRule type="expression" dxfId="215" priority="357">
      <formula>MOD(ROW(),2)=0</formula>
    </cfRule>
  </conditionalFormatting>
  <conditionalFormatting sqref="O22:O23 O36">
    <cfRule type="expression" dxfId="214" priority="355">
      <formula>MOD(ROW(),2)=0</formula>
    </cfRule>
  </conditionalFormatting>
  <conditionalFormatting sqref="A19:F19 A20:C20 E20:F20">
    <cfRule type="expression" dxfId="213" priority="363">
      <formula>MOD(ROW(),2)=0</formula>
    </cfRule>
  </conditionalFormatting>
  <conditionalFormatting sqref="V19:W19">
    <cfRule type="expression" dxfId="212" priority="362">
      <formula>MOD(ROW(),2)=0</formula>
    </cfRule>
  </conditionalFormatting>
  <conditionalFormatting sqref="R4 R22:R23">
    <cfRule type="expression" dxfId="211" priority="347">
      <formula>MOD(ROW(),2)=0</formula>
    </cfRule>
  </conditionalFormatting>
  <conditionalFormatting sqref="R4 R22:R23">
    <cfRule type="expression" dxfId="210" priority="346">
      <formula>MOD(ROW(),2)=0</formula>
    </cfRule>
  </conditionalFormatting>
  <conditionalFormatting sqref="V72:V74">
    <cfRule type="expression" dxfId="209" priority="377">
      <formula>MOD(ROW(),2)=0</formula>
    </cfRule>
  </conditionalFormatting>
  <conditionalFormatting sqref="W68">
    <cfRule type="expression" dxfId="208" priority="337">
      <formula>MOD(ROW(),2)=0</formula>
    </cfRule>
  </conditionalFormatting>
  <conditionalFormatting sqref="O37">
    <cfRule type="expression" dxfId="207" priority="348">
      <formula>MOD(ROW(),2)=0</formula>
    </cfRule>
  </conditionalFormatting>
  <conditionalFormatting sqref="F28">
    <cfRule type="expression" dxfId="206" priority="358">
      <formula>MOD(ROW(),2)=0</formula>
    </cfRule>
  </conditionalFormatting>
  <conditionalFormatting sqref="O22:O23 O36">
    <cfRule type="expression" dxfId="205" priority="356">
      <formula>MOD(ROW(),2)=0</formula>
    </cfRule>
  </conditionalFormatting>
  <conditionalFormatting sqref="O37">
    <cfRule type="expression" dxfId="204" priority="349">
      <formula>MOD(ROW(),2)=0</formula>
    </cfRule>
  </conditionalFormatting>
  <conditionalFormatting sqref="V68">
    <cfRule type="expression" dxfId="203" priority="336">
      <formula>MOD(ROW(),2)=0</formula>
    </cfRule>
  </conditionalFormatting>
  <conditionalFormatting sqref="O20">
    <cfRule type="expression" dxfId="202" priority="294">
      <formula>MOD(ROW(),2)=0</formula>
    </cfRule>
  </conditionalFormatting>
  <conditionalFormatting sqref="R20">
    <cfRule type="expression" dxfId="201" priority="293">
      <formula>MOD(ROW(),2)=0</formula>
    </cfRule>
  </conditionalFormatting>
  <conditionalFormatting sqref="U20">
    <cfRule type="expression" dxfId="200" priority="291">
      <formula>MOD(ROW(),2)=0</formula>
    </cfRule>
  </conditionalFormatting>
  <conditionalFormatting sqref="B33:F33 B34:C34 E34:F34">
    <cfRule type="expression" dxfId="199" priority="283">
      <formula>MOD(ROW(),2)=0</formula>
    </cfRule>
  </conditionalFormatting>
  <conditionalFormatting sqref="W33">
    <cfRule type="expression" dxfId="198" priority="282">
      <formula>MOD(ROW(),2)=0</formula>
    </cfRule>
  </conditionalFormatting>
  <conditionalFormatting sqref="V20:W20">
    <cfRule type="expression" dxfId="197" priority="296">
      <formula>MOD(ROW(),2)=0</formula>
    </cfRule>
  </conditionalFormatting>
  <conditionalFormatting sqref="O20">
    <cfRule type="expression" dxfId="196" priority="295">
      <formula>MOD(ROW(),2)=0</formula>
    </cfRule>
  </conditionalFormatting>
  <conditionalFormatting sqref="R20">
    <cfRule type="expression" dxfId="195" priority="292">
      <formula>MOD(ROW(),2)=0</formula>
    </cfRule>
  </conditionalFormatting>
  <conditionalFormatting sqref="U20">
    <cfRule type="expression" dxfId="194" priority="290">
      <formula>MOD(ROW(),2)=0</formula>
    </cfRule>
  </conditionalFormatting>
  <conditionalFormatting sqref="V33">
    <cfRule type="expression" dxfId="193" priority="281">
      <formula>MOD(ROW(),2)=0</formula>
    </cfRule>
  </conditionalFormatting>
  <conditionalFormatting sqref="U33">
    <cfRule type="expression" dxfId="192" priority="275">
      <formula>MOD(ROW(),2)=0</formula>
    </cfRule>
  </conditionalFormatting>
  <conditionalFormatting sqref="O33">
    <cfRule type="expression" dxfId="191" priority="280">
      <formula>MOD(ROW(),2)=0</formula>
    </cfRule>
  </conditionalFormatting>
  <conditionalFormatting sqref="O33">
    <cfRule type="expression" dxfId="190" priority="279">
      <formula>MOD(ROW(),2)=0</formula>
    </cfRule>
  </conditionalFormatting>
  <conditionalFormatting sqref="U33">
    <cfRule type="expression" dxfId="189" priority="276">
      <formula>MOD(ROW(),2)=0</formula>
    </cfRule>
  </conditionalFormatting>
  <conditionalFormatting sqref="R33">
    <cfRule type="expression" dxfId="188" priority="278">
      <formula>MOD(ROW(),2)=0</formula>
    </cfRule>
  </conditionalFormatting>
  <conditionalFormatting sqref="R33">
    <cfRule type="expression" dxfId="187" priority="277">
      <formula>MOD(ROW(),2)=0</formula>
    </cfRule>
  </conditionalFormatting>
  <conditionalFormatting sqref="A13:F13 A12:C12 E12:F12 F14">
    <cfRule type="expression" dxfId="186" priority="268">
      <formula>MOD(ROW(),2)=0</formula>
    </cfRule>
  </conditionalFormatting>
  <conditionalFormatting sqref="V12:W13">
    <cfRule type="expression" dxfId="185" priority="267">
      <formula>MOD(ROW(),2)=0</formula>
    </cfRule>
  </conditionalFormatting>
  <conditionalFormatting sqref="R12:R13">
    <cfRule type="expression" dxfId="184" priority="264">
      <formula>MOD(ROW(),2)=0</formula>
    </cfRule>
  </conditionalFormatting>
  <conditionalFormatting sqref="R12:R13">
    <cfRule type="expression" dxfId="183" priority="263">
      <formula>MOD(ROW(),2)=0</formula>
    </cfRule>
  </conditionalFormatting>
  <conditionalFormatting sqref="U12:U13">
    <cfRule type="expression" dxfId="182" priority="261">
      <formula>MOD(ROW(),2)=0</formula>
    </cfRule>
  </conditionalFormatting>
  <conditionalFormatting sqref="O12:O13">
    <cfRule type="expression" dxfId="181" priority="266">
      <formula>MOD(ROW(),2)=0</formula>
    </cfRule>
  </conditionalFormatting>
  <conditionalFormatting sqref="O12:O13">
    <cfRule type="expression" dxfId="180" priority="265">
      <formula>MOD(ROW(),2)=0</formula>
    </cfRule>
  </conditionalFormatting>
  <conditionalFormatting sqref="U12:U13">
    <cfRule type="expression" dxfId="179" priority="262">
      <formula>MOD(ROW(),2)=0</formula>
    </cfRule>
  </conditionalFormatting>
  <conditionalFormatting sqref="A51:C51 E51:F51">
    <cfRule type="expression" dxfId="178" priority="254">
      <formula>MOD(ROW(),2)=0</formula>
    </cfRule>
  </conditionalFormatting>
  <conditionalFormatting sqref="W51">
    <cfRule type="expression" dxfId="177" priority="253">
      <formula>MOD(ROW(),2)=0</formula>
    </cfRule>
  </conditionalFormatting>
  <conditionalFormatting sqref="V51">
    <cfRule type="expression" dxfId="176" priority="252">
      <formula>MOD(ROW(),2)=0</formula>
    </cfRule>
  </conditionalFormatting>
  <conditionalFormatting sqref="U51">
    <cfRule type="expression" dxfId="175" priority="247">
      <formula>MOD(ROW(),2)=0</formula>
    </cfRule>
  </conditionalFormatting>
  <conditionalFormatting sqref="U51">
    <cfRule type="expression" dxfId="174" priority="246">
      <formula>MOD(ROW(),2)=0</formula>
    </cfRule>
  </conditionalFormatting>
  <conditionalFormatting sqref="O51">
    <cfRule type="expression" dxfId="173" priority="250">
      <formula>MOD(ROW(),2)=0</formula>
    </cfRule>
  </conditionalFormatting>
  <conditionalFormatting sqref="R51">
    <cfRule type="expression" dxfId="172" priority="249">
      <formula>MOD(ROW(),2)=0</formula>
    </cfRule>
  </conditionalFormatting>
  <conditionalFormatting sqref="R51">
    <cfRule type="expression" dxfId="171" priority="248">
      <formula>MOD(ROW(),2)=0</formula>
    </cfRule>
  </conditionalFormatting>
  <conditionalFormatting sqref="O51">
    <cfRule type="expression" dxfId="170" priority="251">
      <formula>MOD(ROW(),2)=0</formula>
    </cfRule>
  </conditionalFormatting>
  <conditionalFormatting sqref="A64:C64 E64:F64">
    <cfRule type="expression" dxfId="169" priority="239">
      <formula>MOD(ROW(),2)=0</formula>
    </cfRule>
  </conditionalFormatting>
  <conditionalFormatting sqref="A5:C5">
    <cfRule type="expression" dxfId="168" priority="235">
      <formula>MOD(ROW(),2)=0</formula>
    </cfRule>
  </conditionalFormatting>
  <conditionalFormatting sqref="V5:W5">
    <cfRule type="expression" dxfId="167" priority="234">
      <formula>MOD(ROW(),2)=0</formula>
    </cfRule>
  </conditionalFormatting>
  <conditionalFormatting sqref="U5">
    <cfRule type="expression" dxfId="166" priority="228">
      <formula>MOD(ROW(),2)=0</formula>
    </cfRule>
  </conditionalFormatting>
  <conditionalFormatting sqref="U5">
    <cfRule type="expression" dxfId="165" priority="227">
      <formula>MOD(ROW(),2)=0</formula>
    </cfRule>
  </conditionalFormatting>
  <conditionalFormatting sqref="O5">
    <cfRule type="expression" dxfId="164" priority="231">
      <formula>MOD(ROW(),2)=0</formula>
    </cfRule>
  </conditionalFormatting>
  <conditionalFormatting sqref="R5">
    <cfRule type="expression" dxfId="163" priority="230">
      <formula>MOD(ROW(),2)=0</formula>
    </cfRule>
  </conditionalFormatting>
  <conditionalFormatting sqref="R5">
    <cfRule type="expression" dxfId="162" priority="229">
      <formula>MOD(ROW(),2)=0</formula>
    </cfRule>
  </conditionalFormatting>
  <conditionalFormatting sqref="O5">
    <cfRule type="expression" dxfId="161" priority="232">
      <formula>MOD(ROW(),2)=0</formula>
    </cfRule>
  </conditionalFormatting>
  <conditionalFormatting sqref="A54:F55">
    <cfRule type="expression" dxfId="160" priority="216">
      <formula>MOD(ROW(),2)=0</formula>
    </cfRule>
  </conditionalFormatting>
  <conditionalFormatting sqref="W54:W55">
    <cfRule type="expression" dxfId="159" priority="215">
      <formula>MOD(ROW(),2)=0</formula>
    </cfRule>
  </conditionalFormatting>
  <conditionalFormatting sqref="V54:V55">
    <cfRule type="expression" dxfId="158" priority="214">
      <formula>MOD(ROW(),2)=0</formula>
    </cfRule>
  </conditionalFormatting>
  <conditionalFormatting sqref="W34">
    <cfRule type="expression" dxfId="157" priority="208">
      <formula>MOD(ROW(),2)=0</formula>
    </cfRule>
  </conditionalFormatting>
  <conditionalFormatting sqref="V34">
    <cfRule type="expression" dxfId="156" priority="207">
      <formula>MOD(ROW(),2)=0</formula>
    </cfRule>
  </conditionalFormatting>
  <conditionalFormatting sqref="U34">
    <cfRule type="expression" dxfId="155" priority="201">
      <formula>MOD(ROW(),2)=0</formula>
    </cfRule>
  </conditionalFormatting>
  <conditionalFormatting sqref="O34">
    <cfRule type="expression" dxfId="154" priority="206">
      <formula>MOD(ROW(),2)=0</formula>
    </cfRule>
  </conditionalFormatting>
  <conditionalFormatting sqref="O34">
    <cfRule type="expression" dxfId="153" priority="205">
      <formula>MOD(ROW(),2)=0</formula>
    </cfRule>
  </conditionalFormatting>
  <conditionalFormatting sqref="U34">
    <cfRule type="expression" dxfId="152" priority="202">
      <formula>MOD(ROW(),2)=0</formula>
    </cfRule>
  </conditionalFormatting>
  <conditionalFormatting sqref="R34">
    <cfRule type="expression" dxfId="151" priority="204">
      <formula>MOD(ROW(),2)=0</formula>
    </cfRule>
  </conditionalFormatting>
  <conditionalFormatting sqref="R34">
    <cfRule type="expression" dxfId="150" priority="203">
      <formula>MOD(ROW(),2)=0</formula>
    </cfRule>
  </conditionalFormatting>
  <conditionalFormatting sqref="W69">
    <cfRule type="expression" dxfId="149" priority="199">
      <formula>MOD(ROW(),2)=0</formula>
    </cfRule>
  </conditionalFormatting>
  <conditionalFormatting sqref="V69">
    <cfRule type="expression" dxfId="148" priority="198">
      <formula>MOD(ROW(),2)=0</formula>
    </cfRule>
  </conditionalFormatting>
  <conditionalFormatting sqref="A16:F16">
    <cfRule type="expression" dxfId="147" priority="185">
      <formula>MOD(ROW(),2)=0</formula>
    </cfRule>
  </conditionalFormatting>
  <conditionalFormatting sqref="W44">
    <cfRule type="expression" dxfId="146" priority="194">
      <formula>MOD(ROW(),2)=0</formula>
    </cfRule>
  </conditionalFormatting>
  <conditionalFormatting sqref="V44">
    <cfRule type="expression" dxfId="145" priority="193">
      <formula>MOD(ROW(),2)=0</formula>
    </cfRule>
  </conditionalFormatting>
  <conditionalFormatting sqref="A75:C75 E75:F75">
    <cfRule type="expression" dxfId="144" priority="183">
      <formula>MOD(ROW(),2)=0</formula>
    </cfRule>
  </conditionalFormatting>
  <conditionalFormatting sqref="W75">
    <cfRule type="expression" dxfId="143" priority="182">
      <formula>MOD(ROW(),2)=0</formula>
    </cfRule>
  </conditionalFormatting>
  <conditionalFormatting sqref="V75">
    <cfRule type="expression" dxfId="142" priority="181">
      <formula>MOD(ROW(),2)=0</formula>
    </cfRule>
  </conditionalFormatting>
  <conditionalFormatting sqref="G85:G86">
    <cfRule type="expression" dxfId="141" priority="176">
      <formula>MOD(ROW(),2)=0</formula>
    </cfRule>
  </conditionalFormatting>
  <conditionalFormatting sqref="H85">
    <cfRule type="expression" dxfId="140" priority="173">
      <formula>MOD(ROW(),2)=0</formula>
    </cfRule>
  </conditionalFormatting>
  <conditionalFormatting sqref="H86">
    <cfRule type="expression" dxfId="139" priority="172">
      <formula>MOD(ROW(),2)=0</formula>
    </cfRule>
  </conditionalFormatting>
  <conditionalFormatting sqref="L84">
    <cfRule type="expression" dxfId="138" priority="171">
      <formula>MOD(ROW(),2)=0</formula>
    </cfRule>
  </conditionalFormatting>
  <conditionalFormatting sqref="G84:I84">
    <cfRule type="expression" dxfId="137" priority="170">
      <formula>MOD(ROW(),2)=0</formula>
    </cfRule>
  </conditionalFormatting>
  <conditionalFormatting sqref="J84">
    <cfRule type="expression" dxfId="136" priority="169">
      <formula>MOD(ROW(),2)=0</formula>
    </cfRule>
  </conditionalFormatting>
  <conditionalFormatting sqref="K84">
    <cfRule type="expression" dxfId="135" priority="168">
      <formula>MOD(ROW(),2)=0</formula>
    </cfRule>
  </conditionalFormatting>
  <conditionalFormatting sqref="Y85:Z86">
    <cfRule type="expression" dxfId="134" priority="155">
      <formula>MOD(ROW(),2)=0</formula>
    </cfRule>
  </conditionalFormatting>
  <conditionalFormatting sqref="A43:F43">
    <cfRule type="expression" dxfId="133" priority="165">
      <formula>MOD(ROW(),2)=0</formula>
    </cfRule>
  </conditionalFormatting>
  <conditionalFormatting sqref="A44:F44">
    <cfRule type="expression" dxfId="132" priority="164">
      <formula>MOD(ROW(),2)=0</formula>
    </cfRule>
  </conditionalFormatting>
  <conditionalFormatting sqref="A46:F46">
    <cfRule type="expression" dxfId="131" priority="163">
      <formula>MOD(ROW(),2)=0</formula>
    </cfRule>
  </conditionalFormatting>
  <conditionalFormatting sqref="W46">
    <cfRule type="expression" dxfId="130" priority="162">
      <formula>MOD(ROW(),2)=0</formula>
    </cfRule>
  </conditionalFormatting>
  <conditionalFormatting sqref="V46">
    <cfRule type="expression" dxfId="129" priority="161">
      <formula>MOD(ROW(),2)=0</formula>
    </cfRule>
  </conditionalFormatting>
  <conditionalFormatting sqref="W43">
    <cfRule type="expression" dxfId="128" priority="160">
      <formula>MOD(ROW(),2)=0</formula>
    </cfRule>
  </conditionalFormatting>
  <conditionalFormatting sqref="V43">
    <cfRule type="expression" dxfId="127" priority="159">
      <formula>MOD(ROW(),2)=0</formula>
    </cfRule>
  </conditionalFormatting>
  <conditionalFormatting sqref="D15:E15">
    <cfRule type="expression" dxfId="126" priority="150">
      <formula>MOD(ROW(),2)=0</formula>
    </cfRule>
  </conditionalFormatting>
  <conditionalFormatting sqref="Y89:Z89">
    <cfRule type="expression" dxfId="125" priority="156">
      <formula>MOD(ROW(),2)=0</formula>
    </cfRule>
  </conditionalFormatting>
  <conditionalFormatting sqref="A17:B18">
    <cfRule type="expression" dxfId="124" priority="154">
      <formula>MOD(ROW(),2)=0</formula>
    </cfRule>
  </conditionalFormatting>
  <conditionalFormatting sqref="C17">
    <cfRule type="expression" dxfId="123" priority="153">
      <formula>MOD(ROW(),2)=0</formula>
    </cfRule>
  </conditionalFormatting>
  <conditionalFormatting sqref="F17">
    <cfRule type="expression" dxfId="122" priority="152">
      <formula>MOD(ROW(),2)=0</formula>
    </cfRule>
  </conditionalFormatting>
  <conditionalFormatting sqref="D17:E18">
    <cfRule type="expression" dxfId="121" priority="151">
      <formula>MOD(ROW(),2)=0</formula>
    </cfRule>
  </conditionalFormatting>
  <conditionalFormatting sqref="J85:J86">
    <cfRule type="expression" dxfId="120" priority="146">
      <formula>MOD(ROW(),2)=0</formula>
    </cfRule>
  </conditionalFormatting>
  <conditionalFormatting sqref="I85:J86">
    <cfRule type="expression" dxfId="119" priority="145">
      <formula>MOD(ROW(),2)=0</formula>
    </cfRule>
  </conditionalFormatting>
  <conditionalFormatting sqref="A76:C77 E76:E77">
    <cfRule type="expression" dxfId="118" priority="144">
      <formula>MOD(ROW(),2)=0</formula>
    </cfRule>
  </conditionalFormatting>
  <conditionalFormatting sqref="O76:O77">
    <cfRule type="expression" dxfId="117" priority="143">
      <formula>MOD(ROW(),2)=0</formula>
    </cfRule>
  </conditionalFormatting>
  <conditionalFormatting sqref="W76:W77">
    <cfRule type="expression" dxfId="116" priority="142">
      <formula>MOD(ROW(),2)=0</formula>
    </cfRule>
  </conditionalFormatting>
  <conditionalFormatting sqref="V76:V77">
    <cfRule type="expression" dxfId="115" priority="141">
      <formula>MOD(ROW(),2)=0</formula>
    </cfRule>
  </conditionalFormatting>
  <conditionalFormatting sqref="V61">
    <cfRule type="expression" dxfId="114" priority="138">
      <formula>MOD(ROW(),2)=0</formula>
    </cfRule>
  </conditionalFormatting>
  <conditionalFormatting sqref="A61:C61 E61:F61">
    <cfRule type="expression" dxfId="113" priority="140">
      <formula>MOD(ROW(),2)=0</formula>
    </cfRule>
  </conditionalFormatting>
  <conditionalFormatting sqref="W61">
    <cfRule type="expression" dxfId="112" priority="139">
      <formula>MOD(ROW(),2)=0</formula>
    </cfRule>
  </conditionalFormatting>
  <conditionalFormatting sqref="A70:A71">
    <cfRule type="expression" dxfId="111" priority="137">
      <formula>MOD(ROW(),2)=0</formula>
    </cfRule>
  </conditionalFormatting>
  <conditionalFormatting sqref="A69:B69">
    <cfRule type="expression" dxfId="110" priority="136">
      <formula>MOD(ROW(),2)=0</formula>
    </cfRule>
  </conditionalFormatting>
  <conditionalFormatting sqref="B70:B71">
    <cfRule type="expression" dxfId="109" priority="135">
      <formula>MOD(ROW(),2)=0</formula>
    </cfRule>
  </conditionalFormatting>
  <conditionalFormatting sqref="O70:O71">
    <cfRule type="expression" dxfId="108" priority="134">
      <formula>MOD(ROW(),2)=0</formula>
    </cfRule>
  </conditionalFormatting>
  <conditionalFormatting sqref="W70:W71">
    <cfRule type="expression" dxfId="107" priority="132">
      <formula>MOD(ROW(),2)=0</formula>
    </cfRule>
  </conditionalFormatting>
  <conditionalFormatting sqref="V70:V71">
    <cfRule type="expression" dxfId="106" priority="131">
      <formula>MOD(ROW(),2)=0</formula>
    </cfRule>
  </conditionalFormatting>
  <conditionalFormatting sqref="A6:C6 E6:F6">
    <cfRule type="expression" dxfId="105" priority="130">
      <formula>MOD(ROW(),2)=0</formula>
    </cfRule>
  </conditionalFormatting>
  <conditionalFormatting sqref="O6">
    <cfRule type="expression" dxfId="104" priority="129">
      <formula>MOD(ROW(),2)=0</formula>
    </cfRule>
  </conditionalFormatting>
  <conditionalFormatting sqref="V6:W6">
    <cfRule type="expression" dxfId="103" priority="128">
      <formula>MOD(ROW(),2)=0</formula>
    </cfRule>
  </conditionalFormatting>
  <conditionalFormatting sqref="U6">
    <cfRule type="expression" dxfId="102" priority="123">
      <formula>MOD(ROW(),2)=0</formula>
    </cfRule>
  </conditionalFormatting>
  <conditionalFormatting sqref="U6">
    <cfRule type="expression" dxfId="101" priority="122">
      <formula>MOD(ROW(),2)=0</formula>
    </cfRule>
  </conditionalFormatting>
  <conditionalFormatting sqref="O6">
    <cfRule type="expression" dxfId="100" priority="126">
      <formula>MOD(ROW(),2)=0</formula>
    </cfRule>
  </conditionalFormatting>
  <conditionalFormatting sqref="R6">
    <cfRule type="expression" dxfId="99" priority="125">
      <formula>MOD(ROW(),2)=0</formula>
    </cfRule>
  </conditionalFormatting>
  <conditionalFormatting sqref="R6">
    <cfRule type="expression" dxfId="98" priority="124">
      <formula>MOD(ROW(),2)=0</formula>
    </cfRule>
  </conditionalFormatting>
  <conditionalFormatting sqref="O6">
    <cfRule type="expression" dxfId="97" priority="127">
      <formula>MOD(ROW(),2)=0</formula>
    </cfRule>
  </conditionalFormatting>
  <conditionalFormatting sqref="A59:C59 E59:F59">
    <cfRule type="expression" dxfId="96" priority="121">
      <formula>MOD(ROW(),2)=0</formula>
    </cfRule>
  </conditionalFormatting>
  <conditionalFormatting sqref="A87:F87">
    <cfRule type="expression" dxfId="95" priority="119">
      <formula>MOD(ROW(),2)=0</formula>
    </cfRule>
  </conditionalFormatting>
  <conditionalFormatting sqref="V87:W87">
    <cfRule type="expression" dxfId="94" priority="117">
      <formula>MOD(ROW(),2)=0</formula>
    </cfRule>
  </conditionalFormatting>
  <conditionalFormatting sqref="G87">
    <cfRule type="expression" dxfId="93" priority="116">
      <formula>MOD(ROW(),2)=0</formula>
    </cfRule>
  </conditionalFormatting>
  <conditionalFormatting sqref="H87">
    <cfRule type="expression" dxfId="92" priority="115">
      <formula>MOD(ROW(),2)=0</formula>
    </cfRule>
  </conditionalFormatting>
  <conditionalFormatting sqref="Y87:Z87">
    <cfRule type="expression" dxfId="91" priority="114">
      <formula>MOD(ROW(),2)=0</formula>
    </cfRule>
  </conditionalFormatting>
  <conditionalFormatting sqref="J87">
    <cfRule type="expression" dxfId="90" priority="113">
      <formula>MOD(ROW(),2)=0</formula>
    </cfRule>
  </conditionalFormatting>
  <conditionalFormatting sqref="I87:J87">
    <cfRule type="expression" dxfId="89" priority="112">
      <formula>MOD(ROW(),2)=0</formula>
    </cfRule>
  </conditionalFormatting>
  <conditionalFormatting sqref="K85:L87">
    <cfRule type="expression" dxfId="88" priority="110">
      <formula>MOD(ROW(),2)=0</formula>
    </cfRule>
  </conditionalFormatting>
  <conditionalFormatting sqref="U21">
    <cfRule type="expression" dxfId="87" priority="100">
      <formula>MOD(ROW(),2)=0</formula>
    </cfRule>
  </conditionalFormatting>
  <conditionalFormatting sqref="A21:F21">
    <cfRule type="expression" dxfId="86" priority="108">
      <formula>MOD(ROW(),2)=0</formula>
    </cfRule>
  </conditionalFormatting>
  <conditionalFormatting sqref="O21">
    <cfRule type="expression" dxfId="85" priority="107">
      <formula>MOD(ROW(),2)=0</formula>
    </cfRule>
  </conditionalFormatting>
  <conditionalFormatting sqref="O21">
    <cfRule type="expression" dxfId="84" priority="104">
      <formula>MOD(ROW(),2)=0</formula>
    </cfRule>
  </conditionalFormatting>
  <conditionalFormatting sqref="R21">
    <cfRule type="expression" dxfId="83" priority="103">
      <formula>MOD(ROW(),2)=0</formula>
    </cfRule>
  </conditionalFormatting>
  <conditionalFormatting sqref="U21">
    <cfRule type="expression" dxfId="82" priority="101">
      <formula>MOD(ROW(),2)=0</formula>
    </cfRule>
  </conditionalFormatting>
  <conditionalFormatting sqref="V21:W21">
    <cfRule type="expression" dxfId="81" priority="106">
      <formula>MOD(ROW(),2)=0</formula>
    </cfRule>
  </conditionalFormatting>
  <conditionalFormatting sqref="O21">
    <cfRule type="expression" dxfId="80" priority="105">
      <formula>MOD(ROW(),2)=0</formula>
    </cfRule>
  </conditionalFormatting>
  <conditionalFormatting sqref="R21">
    <cfRule type="expression" dxfId="79" priority="102">
      <formula>MOD(ROW(),2)=0</formula>
    </cfRule>
  </conditionalFormatting>
  <conditionalFormatting sqref="F70:F71">
    <cfRule type="expression" dxfId="78" priority="98">
      <formula>MOD(ROW(),2)=0</formula>
    </cfRule>
  </conditionalFormatting>
  <conditionalFormatting sqref="F69">
    <cfRule type="expression" dxfId="77" priority="97">
      <formula>MOD(ROW(),2)=0</formula>
    </cfRule>
  </conditionalFormatting>
  <conditionalFormatting sqref="D69:E69 C70:E71">
    <cfRule type="expression" dxfId="76" priority="96">
      <formula>MOD(ROW(),2)=0</formula>
    </cfRule>
  </conditionalFormatting>
  <conditionalFormatting sqref="D12">
    <cfRule type="expression" dxfId="75" priority="95">
      <formula>MOD(ROW(),2)=0</formula>
    </cfRule>
  </conditionalFormatting>
  <conditionalFormatting sqref="D6">
    <cfRule type="expression" dxfId="74" priority="94">
      <formula>MOD(ROW(),2)=0</formula>
    </cfRule>
  </conditionalFormatting>
  <conditionalFormatting sqref="D20">
    <cfRule type="expression" dxfId="73" priority="93">
      <formula>MOD(ROW(),2)=0</formula>
    </cfRule>
  </conditionalFormatting>
  <conditionalFormatting sqref="D34">
    <cfRule type="expression" dxfId="72" priority="92">
      <formula>MOD(ROW(),2)=0</formula>
    </cfRule>
  </conditionalFormatting>
  <conditionalFormatting sqref="D76:D77">
    <cfRule type="expression" dxfId="71" priority="80">
      <formula>MOD(ROW(),2)=0</formula>
    </cfRule>
  </conditionalFormatting>
  <conditionalFormatting sqref="D51">
    <cfRule type="expression" dxfId="70" priority="90">
      <formula>MOD(ROW(),2)=0</formula>
    </cfRule>
  </conditionalFormatting>
  <conditionalFormatting sqref="D57 D59">
    <cfRule type="expression" dxfId="69" priority="89">
      <formula>MOD(ROW(),2)=0</formula>
    </cfRule>
  </conditionalFormatting>
  <conditionalFormatting sqref="D56">
    <cfRule type="expression" dxfId="68" priority="88">
      <formula>MOD(ROW(),2)=0</formula>
    </cfRule>
  </conditionalFormatting>
  <conditionalFormatting sqref="D60">
    <cfRule type="expression" dxfId="67" priority="87">
      <formula>MOD(ROW(),2)=0</formula>
    </cfRule>
  </conditionalFormatting>
  <conditionalFormatting sqref="D61">
    <cfRule type="expression" dxfId="66" priority="86">
      <formula>MOD(ROW(),2)=0</formula>
    </cfRule>
  </conditionalFormatting>
  <conditionalFormatting sqref="D62">
    <cfRule type="expression" dxfId="65" priority="85">
      <formula>MOD(ROW(),2)=0</formula>
    </cfRule>
  </conditionalFormatting>
  <conditionalFormatting sqref="D64">
    <cfRule type="expression" dxfId="64" priority="84">
      <formula>MOD(ROW(),2)=0</formula>
    </cfRule>
  </conditionalFormatting>
  <conditionalFormatting sqref="D78">
    <cfRule type="expression" dxfId="63" priority="83">
      <formula>MOD(ROW(),2)=0</formula>
    </cfRule>
  </conditionalFormatting>
  <conditionalFormatting sqref="D75">
    <cfRule type="expression" dxfId="62" priority="81">
      <formula>MOD(ROW(),2)=0</formula>
    </cfRule>
  </conditionalFormatting>
  <conditionalFormatting sqref="A35:F35">
    <cfRule type="expression" dxfId="61" priority="79">
      <formula>MOD(ROW(),2)=0</formula>
    </cfRule>
  </conditionalFormatting>
  <conditionalFormatting sqref="O35">
    <cfRule type="expression" dxfId="60" priority="78">
      <formula>MOD(ROW(),2)=0</formula>
    </cfRule>
  </conditionalFormatting>
  <conditionalFormatting sqref="W35">
    <cfRule type="expression" dxfId="59" priority="77">
      <formula>MOD(ROW(),2)=0</formula>
    </cfRule>
  </conditionalFormatting>
  <conditionalFormatting sqref="V35">
    <cfRule type="expression" dxfId="58" priority="76">
      <formula>MOD(ROW(),2)=0</formula>
    </cfRule>
  </conditionalFormatting>
  <conditionalFormatting sqref="U35">
    <cfRule type="expression" dxfId="57" priority="70">
      <formula>MOD(ROW(),2)=0</formula>
    </cfRule>
  </conditionalFormatting>
  <conditionalFormatting sqref="O35">
    <cfRule type="expression" dxfId="56" priority="75">
      <formula>MOD(ROW(),2)=0</formula>
    </cfRule>
  </conditionalFormatting>
  <conditionalFormatting sqref="O35">
    <cfRule type="expression" dxfId="55" priority="74">
      <formula>MOD(ROW(),2)=0</formula>
    </cfRule>
  </conditionalFormatting>
  <conditionalFormatting sqref="U35">
    <cfRule type="expression" dxfId="54" priority="71">
      <formula>MOD(ROW(),2)=0</formula>
    </cfRule>
  </conditionalFormatting>
  <conditionalFormatting sqref="R35">
    <cfRule type="expression" dxfId="53" priority="73">
      <formula>MOD(ROW(),2)=0</formula>
    </cfRule>
  </conditionalFormatting>
  <conditionalFormatting sqref="R35">
    <cfRule type="expression" dxfId="52" priority="72">
      <formula>MOD(ROW(),2)=0</formula>
    </cfRule>
  </conditionalFormatting>
  <conditionalFormatting sqref="Q4:Q81">
    <cfRule type="expression" dxfId="51" priority="67">
      <formula>MOD(ROW(),2)=0</formula>
    </cfRule>
  </conditionalFormatting>
  <conditionalFormatting sqref="P4:Q81">
    <cfRule type="expression" dxfId="50" priority="66">
      <formula>MOD(ROW(),2)=0</formula>
    </cfRule>
  </conditionalFormatting>
  <conditionalFormatting sqref="R85:T87">
    <cfRule type="expression" dxfId="49" priority="65">
      <formula>MOD(ROW(),2)=0</formula>
    </cfRule>
  </conditionalFormatting>
  <conditionalFormatting sqref="Q85:Q87">
    <cfRule type="expression" dxfId="48" priority="64">
      <formula>MOD(ROW(),2)=0</formula>
    </cfRule>
  </conditionalFormatting>
  <conditionalFormatting sqref="P85:Q87">
    <cfRule type="expression" dxfId="47" priority="63">
      <formula>MOD(ROW(),2)=0</formula>
    </cfRule>
  </conditionalFormatting>
  <conditionalFormatting sqref="A81:F81">
    <cfRule type="expression" dxfId="46" priority="62">
      <formula>MOD(ROW(),2)=0</formula>
    </cfRule>
  </conditionalFormatting>
  <conditionalFormatting sqref="A80:F80">
    <cfRule type="expression" dxfId="45" priority="61">
      <formula>MOD(ROW(),2)=0</formula>
    </cfRule>
  </conditionalFormatting>
  <conditionalFormatting sqref="O80:O81 R80:R81 U80:W81">
    <cfRule type="expression" dxfId="44" priority="60">
      <formula>MOD(ROW(),2)=0</formula>
    </cfRule>
  </conditionalFormatting>
  <conditionalFormatting sqref="A40:F40">
    <cfRule type="expression" dxfId="43" priority="56">
      <formula>MOD(ROW(),2)=0</formula>
    </cfRule>
  </conditionalFormatting>
  <conditionalFormatting sqref="P88:Q88">
    <cfRule type="expression" dxfId="42" priority="32">
      <formula>MOD(ROW(),2)=0</formula>
    </cfRule>
  </conditionalFormatting>
  <conditionalFormatting sqref="A67:F67">
    <cfRule type="expression" dxfId="41" priority="54">
      <formula>MOD(ROW(),2)=0</formula>
    </cfRule>
  </conditionalFormatting>
  <conditionalFormatting sqref="W67 O67 R67 U67">
    <cfRule type="expression" dxfId="40" priority="53">
      <formula>MOD(ROW(),2)=0</formula>
    </cfRule>
  </conditionalFormatting>
  <conditionalFormatting sqref="V67">
    <cfRule type="expression" dxfId="39" priority="52">
      <formula>MOD(ROW(),2)=0</formula>
    </cfRule>
  </conditionalFormatting>
  <conditionalFormatting sqref="O40 R40 U40:W40">
    <cfRule type="expression" dxfId="38" priority="49">
      <formula>MOD(ROW(),2)=0</formula>
    </cfRule>
  </conditionalFormatting>
  <conditionalFormatting sqref="Q88">
    <cfRule type="expression" dxfId="37" priority="33">
      <formula>MOD(ROW(),2)=0</formula>
    </cfRule>
  </conditionalFormatting>
  <conditionalFormatting sqref="F88">
    <cfRule type="expression" dxfId="36" priority="44">
      <formula>MOD(ROW(),2)=0</formula>
    </cfRule>
  </conditionalFormatting>
  <conditionalFormatting sqref="A88:E88">
    <cfRule type="expression" dxfId="35" priority="43">
      <formula>MOD(ROW(),2)=0</formula>
    </cfRule>
  </conditionalFormatting>
  <conditionalFormatting sqref="M88:O88 U88">
    <cfRule type="expression" dxfId="34" priority="42">
      <formula>MOD(ROW(),2)=0</formula>
    </cfRule>
  </conditionalFormatting>
  <conditionalFormatting sqref="V88:W88">
    <cfRule type="expression" dxfId="33" priority="41">
      <formula>MOD(ROW(),2)=0</formula>
    </cfRule>
  </conditionalFormatting>
  <conditionalFormatting sqref="G88">
    <cfRule type="expression" dxfId="32" priority="40">
      <formula>MOD(ROW(),2)=0</formula>
    </cfRule>
  </conditionalFormatting>
  <conditionalFormatting sqref="H88">
    <cfRule type="expression" dxfId="31" priority="39">
      <formula>MOD(ROW(),2)=0</formula>
    </cfRule>
  </conditionalFormatting>
  <conditionalFormatting sqref="Y88:Z88">
    <cfRule type="expression" dxfId="30" priority="38">
      <formula>MOD(ROW(),2)=0</formula>
    </cfRule>
  </conditionalFormatting>
  <conditionalFormatting sqref="J88">
    <cfRule type="expression" dxfId="29" priority="37">
      <formula>MOD(ROW(),2)=0</formula>
    </cfRule>
  </conditionalFormatting>
  <conditionalFormatting sqref="I88:J88">
    <cfRule type="expression" dxfId="28" priority="36">
      <formula>MOD(ROW(),2)=0</formula>
    </cfRule>
  </conditionalFormatting>
  <conditionalFormatting sqref="K88:L88">
    <cfRule type="expression" dxfId="27" priority="35">
      <formula>MOD(ROW(),2)=0</formula>
    </cfRule>
  </conditionalFormatting>
  <conditionalFormatting sqref="R88:T88">
    <cfRule type="expression" dxfId="26" priority="34">
      <formula>MOD(ROW(),2)=0</formula>
    </cfRule>
  </conditionalFormatting>
  <conditionalFormatting sqref="F73:F74">
    <cfRule type="expression" dxfId="25" priority="31">
      <formula>MOD(ROW(),2)=0</formula>
    </cfRule>
  </conditionalFormatting>
  <conditionalFormatting sqref="A73:E73 A74">
    <cfRule type="expression" dxfId="24" priority="30">
      <formula>MOD(ROW(),2)=0</formula>
    </cfRule>
  </conditionalFormatting>
  <conditionalFormatting sqref="B74:E74">
    <cfRule type="expression" dxfId="23" priority="29">
      <formula>MOD(ROW(),2)=0</formula>
    </cfRule>
  </conditionalFormatting>
  <conditionalFormatting sqref="B9:E9">
    <cfRule type="expression" dxfId="22" priority="28">
      <formula>MOD(ROW(),2)=0</formula>
    </cfRule>
  </conditionalFormatting>
  <conditionalFormatting sqref="A14:B14 D14:E14">
    <cfRule type="expression" dxfId="21" priority="27">
      <formula>MOD(ROW(),2)=0</formula>
    </cfRule>
  </conditionalFormatting>
  <conditionalFormatting sqref="C14">
    <cfRule type="expression" dxfId="20" priority="26">
      <formula>MOD(ROW(),2)=0</formula>
    </cfRule>
  </conditionalFormatting>
  <conditionalFormatting sqref="O14">
    <cfRule type="expression" dxfId="19" priority="25">
      <formula>MOD(ROW(),2)=0</formula>
    </cfRule>
  </conditionalFormatting>
  <conditionalFormatting sqref="V14:W14">
    <cfRule type="expression" dxfId="18" priority="24">
      <formula>MOD(ROW(),2)=0</formula>
    </cfRule>
  </conditionalFormatting>
  <conditionalFormatting sqref="R14">
    <cfRule type="expression" dxfId="17" priority="21">
      <formula>MOD(ROW(),2)=0</formula>
    </cfRule>
  </conditionalFormatting>
  <conditionalFormatting sqref="R14">
    <cfRule type="expression" dxfId="16" priority="20">
      <formula>MOD(ROW(),2)=0</formula>
    </cfRule>
  </conditionalFormatting>
  <conditionalFormatting sqref="U14">
    <cfRule type="expression" dxfId="15" priority="18">
      <formula>MOD(ROW(),2)=0</formula>
    </cfRule>
  </conditionalFormatting>
  <conditionalFormatting sqref="O14">
    <cfRule type="expression" dxfId="14" priority="23">
      <formula>MOD(ROW(),2)=0</formula>
    </cfRule>
  </conditionalFormatting>
  <conditionalFormatting sqref="O14">
    <cfRule type="expression" dxfId="13" priority="22">
      <formula>MOD(ROW(),2)=0</formula>
    </cfRule>
  </conditionalFormatting>
  <conditionalFormatting sqref="U14">
    <cfRule type="expression" dxfId="12" priority="19">
      <formula>MOD(ROW(),2)=0</formula>
    </cfRule>
  </conditionalFormatting>
  <conditionalFormatting sqref="A58:C58 E58:F58">
    <cfRule type="expression" dxfId="11" priority="15">
      <formula>MOD(ROW(),2)=0</formula>
    </cfRule>
  </conditionalFormatting>
  <conditionalFormatting sqref="D58">
    <cfRule type="expression" dxfId="10" priority="13">
      <formula>MOD(ROW(),2)=0</formula>
    </cfRule>
  </conditionalFormatting>
  <conditionalFormatting sqref="W58 R58 O58 U58">
    <cfRule type="expression" dxfId="9" priority="12">
      <formula>MOD(ROW(),2)=0</formula>
    </cfRule>
  </conditionalFormatting>
  <conditionalFormatting sqref="V58">
    <cfRule type="expression" dxfId="8" priority="11">
      <formula>MOD(ROW(),2)=0</formula>
    </cfRule>
  </conditionalFormatting>
  <conditionalFormatting sqref="A39:F39">
    <cfRule type="expression" dxfId="7" priority="6">
      <formula>MOD(ROW(),2)=0</formula>
    </cfRule>
  </conditionalFormatting>
  <conditionalFormatting sqref="A48:F48">
    <cfRule type="expression" dxfId="6" priority="5">
      <formula>MOD(ROW(),2)=0</formula>
    </cfRule>
  </conditionalFormatting>
  <conditionalFormatting sqref="A63:F63">
    <cfRule type="expression" dxfId="5" priority="4">
      <formula>MOD(ROW(),2)=0</formula>
    </cfRule>
  </conditionalFormatting>
  <conditionalFormatting sqref="A66:F66">
    <cfRule type="expression" dxfId="4" priority="3">
      <formula>MOD(ROW(),2)=0</formula>
    </cfRule>
  </conditionalFormatting>
  <conditionalFormatting sqref="D10:F11">
    <cfRule type="expression" dxfId="3" priority="2">
      <formula>MOD(ROW(),2)=0</formula>
    </cfRule>
  </conditionalFormatting>
  <conditionalFormatting sqref="A10:C11">
    <cfRule type="expression" dxfId="2" priority="1">
      <formula>MOD(ROW(),2)=0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OCT-2026</vt:lpstr>
      <vt:lpstr>FY-(26-27)Q3</vt:lpstr>
      <vt:lpstr>SEP-2026</vt:lpstr>
      <vt:lpstr>AUG-2026</vt:lpstr>
      <vt:lpstr>JULY-2026</vt:lpstr>
      <vt:lpstr>FY-(26-27)Q2</vt:lpstr>
      <vt:lpstr>JUNE-2026</vt:lpstr>
      <vt:lpstr>MAY-2026</vt:lpstr>
      <vt:lpstr>APR-2026</vt:lpstr>
      <vt:lpstr>FY-(26-27)Q1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2026-05-14T10:04:33Z</cp:lastPrinted>
  <dcterms:created xsi:type="dcterms:W3CDTF">2023-12-05T04:35:05Z</dcterms:created>
  <dcterms:modified xsi:type="dcterms:W3CDTF">2026-10-27T11:47:03Z</dcterms:modified>
</cp:coreProperties>
</file>