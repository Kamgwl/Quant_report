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W60" i="44" l="1"/>
  <c r="W54" i="44"/>
  <c r="V60" i="44" l="1"/>
  <c r="V54" i="44"/>
  <c r="M10" i="32" l="1"/>
  <c r="N10" i="32"/>
  <c r="M11" i="32"/>
  <c r="N11" i="32"/>
  <c r="P82" i="32"/>
  <c r="M82" i="32"/>
  <c r="K82" i="32"/>
  <c r="I82" i="32"/>
  <c r="G82" i="32"/>
  <c r="U60" i="44"/>
  <c r="U54" i="44"/>
  <c r="Y5" i="44"/>
  <c r="Z5" i="44" s="1"/>
  <c r="H5" i="45" s="1"/>
  <c r="Y6" i="44"/>
  <c r="Z6" i="44" s="1"/>
  <c r="H6" i="45" s="1"/>
  <c r="Y7" i="44"/>
  <c r="Z7" i="44" s="1"/>
  <c r="H7" i="45" s="1"/>
  <c r="Y8" i="44"/>
  <c r="Z8" i="44" s="1"/>
  <c r="H8" i="45" s="1"/>
  <c r="Y9" i="44"/>
  <c r="Z9" i="44" s="1"/>
  <c r="H9" i="45" s="1"/>
  <c r="Y10" i="44"/>
  <c r="Z10" i="44" s="1"/>
  <c r="Y11" i="44"/>
  <c r="Z11" i="44" s="1"/>
  <c r="Y12" i="44"/>
  <c r="Z12" i="44" s="1"/>
  <c r="H12" i="45" s="1"/>
  <c r="Y13" i="44"/>
  <c r="Z13" i="44" s="1"/>
  <c r="Y14" i="44"/>
  <c r="Z14" i="44" s="1"/>
  <c r="Y15" i="44"/>
  <c r="Z15" i="44" s="1"/>
  <c r="H14" i="45" s="1"/>
  <c r="Y16" i="44"/>
  <c r="Z16" i="44" s="1"/>
  <c r="Y17" i="44"/>
  <c r="Z17" i="44" s="1"/>
  <c r="H17" i="45" s="1"/>
  <c r="Y18" i="44"/>
  <c r="Z18" i="44" s="1"/>
  <c r="H21" i="45" s="1"/>
  <c r="Y19" i="44"/>
  <c r="Z19" i="44" s="1"/>
  <c r="Y20" i="44"/>
  <c r="Z20" i="44" s="1"/>
  <c r="Y21" i="44"/>
  <c r="Z21" i="44" s="1"/>
  <c r="Y22" i="44"/>
  <c r="Z22" i="44" s="1"/>
  <c r="Y23" i="44"/>
  <c r="Z23" i="44" s="1"/>
  <c r="H22" i="45" s="1"/>
  <c r="Y24" i="44"/>
  <c r="Z24" i="44" s="1"/>
  <c r="H23" i="45" s="1"/>
  <c r="Y25" i="44"/>
  <c r="Z25" i="44" s="1"/>
  <c r="H24" i="45" s="1"/>
  <c r="Y26" i="44"/>
  <c r="Z26" i="44" s="1"/>
  <c r="H25" i="45" s="1"/>
  <c r="Y27" i="44"/>
  <c r="Z27" i="44" s="1"/>
  <c r="H26" i="45" s="1"/>
  <c r="Y28" i="44"/>
  <c r="Z28" i="44" s="1"/>
  <c r="Y29" i="44"/>
  <c r="Z29" i="44" s="1"/>
  <c r="H28" i="45" s="1"/>
  <c r="Y30" i="44"/>
  <c r="Z30" i="44" s="1"/>
  <c r="H29" i="45" s="1"/>
  <c r="Y31" i="44"/>
  <c r="Z31" i="44" s="1"/>
  <c r="H30" i="45" s="1"/>
  <c r="Y32" i="44"/>
  <c r="Z32" i="44" s="1"/>
  <c r="H31" i="45" s="1"/>
  <c r="Y33" i="44"/>
  <c r="Z33" i="44" s="1"/>
  <c r="H32" i="45" s="1"/>
  <c r="Y34" i="44"/>
  <c r="Z34" i="44" s="1"/>
  <c r="H33" i="45" s="1"/>
  <c r="Y35" i="44"/>
  <c r="Z35" i="44" s="1"/>
  <c r="H34" i="45" s="1"/>
  <c r="Y36" i="44"/>
  <c r="Z36" i="44" s="1"/>
  <c r="H35" i="45" s="1"/>
  <c r="Y37" i="44"/>
  <c r="Z37" i="44" s="1"/>
  <c r="H36" i="45" s="1"/>
  <c r="Y38" i="44"/>
  <c r="Z38" i="44" s="1"/>
  <c r="Y39" i="44"/>
  <c r="Z39" i="44" s="1"/>
  <c r="Y40" i="44"/>
  <c r="Z40" i="44" s="1"/>
  <c r="Y41" i="44"/>
  <c r="Z41" i="44" s="1"/>
  <c r="Y42" i="44"/>
  <c r="Z42" i="44" s="1"/>
  <c r="H41" i="45" s="1"/>
  <c r="Y43" i="44"/>
  <c r="Z43" i="44" s="1"/>
  <c r="Y44" i="44"/>
  <c r="Z44" i="44" s="1"/>
  <c r="Y45" i="44"/>
  <c r="Z45" i="44" s="1"/>
  <c r="Y46" i="44"/>
  <c r="Z46" i="44" s="1"/>
  <c r="Y47" i="44"/>
  <c r="Z47" i="44" s="1"/>
  <c r="Y48" i="44"/>
  <c r="Z48" i="44" s="1"/>
  <c r="Y49" i="44"/>
  <c r="Z49" i="44" s="1"/>
  <c r="Y50" i="44"/>
  <c r="Z50" i="44" s="1"/>
  <c r="Y51" i="44"/>
  <c r="Z51" i="44" s="1"/>
  <c r="Y52" i="44"/>
  <c r="Z52" i="44" s="1"/>
  <c r="Y53" i="44"/>
  <c r="Z53" i="44" s="1"/>
  <c r="P10" i="32"/>
  <c r="Q10" i="32"/>
  <c r="T10" i="32"/>
  <c r="Z10" i="32" s="1"/>
  <c r="P11" i="32"/>
  <c r="Q11" i="32"/>
  <c r="T11" i="32"/>
  <c r="I54" i="44"/>
  <c r="J54" i="44"/>
  <c r="K54" i="44"/>
  <c r="L54" i="44"/>
  <c r="M54" i="44"/>
  <c r="N54" i="44"/>
  <c r="O54" i="44"/>
  <c r="P54" i="44"/>
  <c r="Q54" i="44"/>
  <c r="R54" i="44"/>
  <c r="S54" i="44"/>
  <c r="T54" i="44"/>
  <c r="T7" i="32"/>
  <c r="S8" i="32"/>
  <c r="T8" i="32"/>
  <c r="T9" i="32"/>
  <c r="T12" i="32"/>
  <c r="T13" i="32"/>
  <c r="T14" i="32"/>
  <c r="T15" i="32"/>
  <c r="S16" i="32"/>
  <c r="T16" i="32"/>
  <c r="S17" i="32"/>
  <c r="T17" i="32"/>
  <c r="S18" i="32"/>
  <c r="T18" i="32"/>
  <c r="S19" i="32"/>
  <c r="T19" i="32"/>
  <c r="T20" i="32"/>
  <c r="T21" i="32"/>
  <c r="S22" i="32"/>
  <c r="T22" i="32"/>
  <c r="T23" i="32"/>
  <c r="T24" i="32"/>
  <c r="S25" i="32"/>
  <c r="T25" i="32"/>
  <c r="T26" i="32"/>
  <c r="S27" i="32"/>
  <c r="T27" i="32"/>
  <c r="S28" i="32"/>
  <c r="T28" i="32"/>
  <c r="S29" i="32"/>
  <c r="T29" i="32"/>
  <c r="T30" i="32"/>
  <c r="T31" i="32"/>
  <c r="T32" i="32"/>
  <c r="S33" i="32"/>
  <c r="T33" i="32"/>
  <c r="T34" i="32"/>
  <c r="S35" i="32"/>
  <c r="T35" i="32"/>
  <c r="T36" i="32"/>
  <c r="S37" i="32"/>
  <c r="T37" i="32"/>
  <c r="T38" i="32"/>
  <c r="T39" i="32"/>
  <c r="T40" i="32"/>
  <c r="T41" i="32"/>
  <c r="T42" i="32"/>
  <c r="S43" i="32"/>
  <c r="T43" i="32"/>
  <c r="S44" i="32"/>
  <c r="T44" i="32"/>
  <c r="S45" i="32"/>
  <c r="T45" i="32"/>
  <c r="S46" i="32"/>
  <c r="T46" i="32"/>
  <c r="S47" i="32"/>
  <c r="T47" i="32"/>
  <c r="T48" i="32"/>
  <c r="T49" i="32"/>
  <c r="T50" i="32"/>
  <c r="T51" i="32"/>
  <c r="S52" i="32"/>
  <c r="T52" i="32"/>
  <c r="T53" i="32"/>
  <c r="S54" i="32"/>
  <c r="T54" i="32"/>
  <c r="S55" i="32"/>
  <c r="T55" i="32"/>
  <c r="T56" i="32"/>
  <c r="T57" i="32"/>
  <c r="T58" i="32"/>
  <c r="T59" i="32"/>
  <c r="T60" i="32"/>
  <c r="S61" i="32"/>
  <c r="T61" i="32"/>
  <c r="S62" i="32"/>
  <c r="T62" i="32"/>
  <c r="T63" i="32"/>
  <c r="T64" i="32"/>
  <c r="T65" i="32"/>
  <c r="T66" i="32"/>
  <c r="T67" i="32"/>
  <c r="T68" i="32"/>
  <c r="T69" i="32"/>
  <c r="T70" i="32"/>
  <c r="T71" i="32"/>
  <c r="S72" i="32"/>
  <c r="T72" i="32"/>
  <c r="T73" i="32"/>
  <c r="S74" i="32"/>
  <c r="T74" i="32"/>
  <c r="T75" i="32"/>
  <c r="T76" i="32"/>
  <c r="T77" i="32"/>
  <c r="T78" i="32"/>
  <c r="S79" i="32"/>
  <c r="T79" i="32"/>
  <c r="T80" i="32"/>
  <c r="T81" i="32"/>
  <c r="G6" i="45"/>
  <c r="G7" i="45"/>
  <c r="G8" i="45"/>
  <c r="G12" i="45"/>
  <c r="G14" i="45"/>
  <c r="G17" i="45"/>
  <c r="G21" i="45"/>
  <c r="G22" i="45"/>
  <c r="G25" i="45"/>
  <c r="G29" i="45"/>
  <c r="G30" i="45"/>
  <c r="G34" i="45"/>
  <c r="G35" i="45"/>
  <c r="G41" i="45"/>
  <c r="M41" i="45" s="1"/>
  <c r="G44" i="45"/>
  <c r="H44" i="45"/>
  <c r="G48" i="45"/>
  <c r="H48" i="45"/>
  <c r="I41" i="45"/>
  <c r="J41" i="45"/>
  <c r="K41" i="45"/>
  <c r="L41" i="45"/>
  <c r="S5" i="32"/>
  <c r="T5" i="32"/>
  <c r="T6" i="32"/>
  <c r="P5" i="32"/>
  <c r="Q5" i="32"/>
  <c r="P6" i="32"/>
  <c r="Q6" i="32"/>
  <c r="P7" i="32"/>
  <c r="Q7" i="32"/>
  <c r="P8" i="32"/>
  <c r="Q8" i="32"/>
  <c r="P9" i="32"/>
  <c r="Q9" i="32"/>
  <c r="P12" i="32"/>
  <c r="Q12" i="32"/>
  <c r="P13" i="32"/>
  <c r="Q13" i="32"/>
  <c r="P14" i="32"/>
  <c r="Q14" i="32"/>
  <c r="P15" i="32"/>
  <c r="Q15" i="32"/>
  <c r="P16" i="32"/>
  <c r="Q16" i="32"/>
  <c r="P17" i="32"/>
  <c r="Q17" i="32"/>
  <c r="P18" i="32"/>
  <c r="Q18" i="32"/>
  <c r="P19" i="32"/>
  <c r="Q19" i="32"/>
  <c r="P20" i="32"/>
  <c r="Q20" i="32"/>
  <c r="P21" i="32"/>
  <c r="Q21" i="32"/>
  <c r="P22" i="32"/>
  <c r="Q22" i="32"/>
  <c r="P23" i="32"/>
  <c r="Q23" i="32"/>
  <c r="P24" i="32"/>
  <c r="Q24" i="32"/>
  <c r="P25" i="32"/>
  <c r="Q25" i="32"/>
  <c r="P26" i="32"/>
  <c r="Q26" i="32"/>
  <c r="P27" i="32"/>
  <c r="Q27" i="32"/>
  <c r="P28" i="32"/>
  <c r="Q28" i="32"/>
  <c r="P29" i="32"/>
  <c r="Q29" i="32"/>
  <c r="P30" i="32"/>
  <c r="Q30" i="32"/>
  <c r="P31" i="32"/>
  <c r="Q31" i="32"/>
  <c r="P32" i="32"/>
  <c r="Q32" i="32"/>
  <c r="P33" i="32"/>
  <c r="Q33" i="32"/>
  <c r="P34" i="32"/>
  <c r="Q34" i="32"/>
  <c r="P35" i="32"/>
  <c r="Q35" i="32"/>
  <c r="P36" i="32"/>
  <c r="Q36" i="32"/>
  <c r="P37" i="32"/>
  <c r="Q37" i="32"/>
  <c r="P38" i="32"/>
  <c r="Q38" i="32"/>
  <c r="P39" i="32"/>
  <c r="Q39" i="32"/>
  <c r="P40" i="32"/>
  <c r="Q40" i="32"/>
  <c r="P41" i="32"/>
  <c r="Q41" i="32"/>
  <c r="P42" i="32"/>
  <c r="Q42" i="32"/>
  <c r="P43" i="32"/>
  <c r="Q43" i="32"/>
  <c r="P44" i="32"/>
  <c r="Q44" i="32"/>
  <c r="P45" i="32"/>
  <c r="Q45" i="32"/>
  <c r="P46" i="32"/>
  <c r="Q46" i="32"/>
  <c r="P47" i="32"/>
  <c r="Q47" i="32"/>
  <c r="P48" i="32"/>
  <c r="Q48" i="32"/>
  <c r="P49" i="32"/>
  <c r="Q49" i="32"/>
  <c r="P50" i="32"/>
  <c r="Q50" i="32"/>
  <c r="P51" i="32"/>
  <c r="Q51" i="32"/>
  <c r="P52" i="32"/>
  <c r="Q52" i="32"/>
  <c r="P53" i="32"/>
  <c r="Q53" i="32"/>
  <c r="P54" i="32"/>
  <c r="Q54" i="32"/>
  <c r="P55" i="32"/>
  <c r="Q55" i="32"/>
  <c r="P56" i="32"/>
  <c r="Q56" i="32"/>
  <c r="P57" i="32"/>
  <c r="Q57" i="32"/>
  <c r="P58" i="32"/>
  <c r="Q58" i="32"/>
  <c r="P59" i="32"/>
  <c r="Q59" i="32"/>
  <c r="P60" i="32"/>
  <c r="Q60" i="32"/>
  <c r="P61" i="32"/>
  <c r="Q61" i="32"/>
  <c r="P62" i="32"/>
  <c r="Q62" i="32"/>
  <c r="P63" i="32"/>
  <c r="Q63" i="32"/>
  <c r="P64" i="32"/>
  <c r="Q64" i="32"/>
  <c r="P65" i="32"/>
  <c r="Q65" i="32"/>
  <c r="P66" i="32"/>
  <c r="Q66" i="32"/>
  <c r="P67" i="32"/>
  <c r="Q67" i="32"/>
  <c r="P68" i="32"/>
  <c r="Q68" i="32"/>
  <c r="P69" i="32"/>
  <c r="Q69" i="32"/>
  <c r="P70" i="32"/>
  <c r="Q70" i="32"/>
  <c r="P71" i="32"/>
  <c r="Q71" i="32"/>
  <c r="P72" i="32"/>
  <c r="Q72" i="32"/>
  <c r="P73" i="32"/>
  <c r="Q73" i="32"/>
  <c r="P74" i="32"/>
  <c r="Q74" i="32"/>
  <c r="P75" i="32"/>
  <c r="Q75" i="32"/>
  <c r="P76" i="32"/>
  <c r="Q76" i="32"/>
  <c r="P77" i="32"/>
  <c r="Q77" i="32"/>
  <c r="P78" i="32"/>
  <c r="Q78" i="32"/>
  <c r="P79" i="32"/>
  <c r="Q79" i="32"/>
  <c r="P80" i="32"/>
  <c r="Q80" i="32"/>
  <c r="P81" i="32"/>
  <c r="Q81" i="32"/>
  <c r="G9" i="32"/>
  <c r="H9" i="32"/>
  <c r="I9" i="32"/>
  <c r="J9" i="32"/>
  <c r="K9" i="32"/>
  <c r="L9" i="32"/>
  <c r="G12" i="32"/>
  <c r="H12" i="32"/>
  <c r="I12" i="32"/>
  <c r="J12" i="32"/>
  <c r="K12" i="32"/>
  <c r="L12" i="32"/>
  <c r="G13" i="32"/>
  <c r="H13" i="32"/>
  <c r="I13" i="32"/>
  <c r="J13" i="32"/>
  <c r="K13" i="32"/>
  <c r="L13" i="32"/>
  <c r="G14" i="32"/>
  <c r="H14" i="32"/>
  <c r="I14" i="32"/>
  <c r="J14" i="32"/>
  <c r="K14" i="32"/>
  <c r="L14" i="32"/>
  <c r="G15" i="32"/>
  <c r="H15" i="32"/>
  <c r="I15" i="32"/>
  <c r="J15" i="32"/>
  <c r="K15" i="32"/>
  <c r="L15" i="32"/>
  <c r="G16" i="32"/>
  <c r="H16" i="32"/>
  <c r="I16" i="32"/>
  <c r="J16" i="32"/>
  <c r="K16" i="32"/>
  <c r="L16" i="32"/>
  <c r="G17" i="32"/>
  <c r="H17" i="32"/>
  <c r="I17" i="32"/>
  <c r="J17" i="32"/>
  <c r="K17" i="32"/>
  <c r="L17" i="32"/>
  <c r="G18" i="32"/>
  <c r="H18" i="32"/>
  <c r="I18" i="32"/>
  <c r="J18" i="32"/>
  <c r="K18" i="32"/>
  <c r="L18" i="32"/>
  <c r="G19" i="32"/>
  <c r="H19" i="32"/>
  <c r="I19" i="32"/>
  <c r="J19" i="32"/>
  <c r="K19" i="32"/>
  <c r="L19" i="32"/>
  <c r="G20" i="32"/>
  <c r="H20" i="32"/>
  <c r="I20" i="32"/>
  <c r="J20" i="32"/>
  <c r="K20" i="32"/>
  <c r="L20" i="32"/>
  <c r="G21" i="32"/>
  <c r="H21" i="32"/>
  <c r="I21" i="32"/>
  <c r="J21" i="32"/>
  <c r="K21" i="32"/>
  <c r="L21" i="32"/>
  <c r="G22" i="32"/>
  <c r="H22" i="32"/>
  <c r="I22" i="32"/>
  <c r="J22" i="32"/>
  <c r="K22" i="32"/>
  <c r="L22" i="32"/>
  <c r="G23" i="32"/>
  <c r="H23" i="32"/>
  <c r="I23" i="32"/>
  <c r="J23" i="32"/>
  <c r="K23" i="32"/>
  <c r="L23" i="32"/>
  <c r="G24" i="32"/>
  <c r="H24" i="32"/>
  <c r="I24" i="32"/>
  <c r="J24" i="32"/>
  <c r="K24" i="32"/>
  <c r="L24" i="32"/>
  <c r="G25" i="32"/>
  <c r="H25" i="32"/>
  <c r="I25" i="32"/>
  <c r="J25" i="32"/>
  <c r="K25" i="32"/>
  <c r="L25" i="32"/>
  <c r="G26" i="32"/>
  <c r="H26" i="32"/>
  <c r="I26" i="32"/>
  <c r="J26" i="32"/>
  <c r="K26" i="32"/>
  <c r="L26" i="32"/>
  <c r="G27" i="32"/>
  <c r="H27" i="32"/>
  <c r="I27" i="32"/>
  <c r="J27" i="32"/>
  <c r="K27" i="32"/>
  <c r="L27" i="32"/>
  <c r="G28" i="32"/>
  <c r="H28" i="32"/>
  <c r="I28" i="32"/>
  <c r="J28" i="32"/>
  <c r="K28" i="32"/>
  <c r="L28" i="32"/>
  <c r="G29" i="32"/>
  <c r="H29" i="32"/>
  <c r="I29" i="32"/>
  <c r="J29" i="32"/>
  <c r="K29" i="32"/>
  <c r="L29" i="32"/>
  <c r="G30" i="32"/>
  <c r="H30" i="32"/>
  <c r="I30" i="32"/>
  <c r="J30" i="32"/>
  <c r="K30" i="32"/>
  <c r="L30" i="32"/>
  <c r="G31" i="32"/>
  <c r="H31" i="32"/>
  <c r="I31" i="32"/>
  <c r="J31" i="32"/>
  <c r="K31" i="32"/>
  <c r="L31" i="32"/>
  <c r="G32" i="32"/>
  <c r="H32" i="32"/>
  <c r="I32" i="32"/>
  <c r="J32" i="32"/>
  <c r="K32" i="32"/>
  <c r="L32" i="32"/>
  <c r="G33" i="32"/>
  <c r="H33" i="32"/>
  <c r="I33" i="32"/>
  <c r="J33" i="32"/>
  <c r="K33" i="32"/>
  <c r="L33" i="32"/>
  <c r="G34" i="32"/>
  <c r="H34" i="32"/>
  <c r="I34" i="32"/>
  <c r="J34" i="32"/>
  <c r="K34" i="32"/>
  <c r="L34" i="32"/>
  <c r="G35" i="32"/>
  <c r="H35" i="32"/>
  <c r="I35" i="32"/>
  <c r="J35" i="32"/>
  <c r="K35" i="32"/>
  <c r="L35" i="32"/>
  <c r="G36" i="32"/>
  <c r="H36" i="32"/>
  <c r="I36" i="32"/>
  <c r="J36" i="32"/>
  <c r="K36" i="32"/>
  <c r="L36" i="32"/>
  <c r="G37" i="32"/>
  <c r="H37" i="32"/>
  <c r="I37" i="32"/>
  <c r="J37" i="32"/>
  <c r="K37" i="32"/>
  <c r="L37" i="32"/>
  <c r="G38" i="32"/>
  <c r="H38" i="32"/>
  <c r="I38" i="32"/>
  <c r="J38" i="32"/>
  <c r="K38" i="32"/>
  <c r="L38" i="32"/>
  <c r="G39" i="32"/>
  <c r="H39" i="32"/>
  <c r="I39" i="32"/>
  <c r="J39" i="32"/>
  <c r="K39" i="32"/>
  <c r="L39" i="32"/>
  <c r="G40" i="32"/>
  <c r="H40" i="32"/>
  <c r="I40" i="32"/>
  <c r="J40" i="32"/>
  <c r="K40" i="32"/>
  <c r="L40" i="32"/>
  <c r="G41" i="32"/>
  <c r="H41" i="32"/>
  <c r="I41" i="32"/>
  <c r="J41" i="32"/>
  <c r="K41" i="32"/>
  <c r="L41" i="32"/>
  <c r="G42" i="32"/>
  <c r="H42" i="32"/>
  <c r="I42" i="32"/>
  <c r="J42" i="32"/>
  <c r="K42" i="32"/>
  <c r="L42" i="32"/>
  <c r="G43" i="32"/>
  <c r="H43" i="32"/>
  <c r="I43" i="32"/>
  <c r="J43" i="32"/>
  <c r="K43" i="32"/>
  <c r="L43" i="32"/>
  <c r="G44" i="32"/>
  <c r="H44" i="32"/>
  <c r="I44" i="32"/>
  <c r="J44" i="32"/>
  <c r="K44" i="32"/>
  <c r="L44" i="32"/>
  <c r="G45" i="32"/>
  <c r="H45" i="32"/>
  <c r="I45" i="32"/>
  <c r="J45" i="32"/>
  <c r="K45" i="32"/>
  <c r="L45" i="32"/>
  <c r="G46" i="32"/>
  <c r="H46" i="32"/>
  <c r="I46" i="32"/>
  <c r="J46" i="32"/>
  <c r="K46" i="32"/>
  <c r="L46" i="32"/>
  <c r="G47" i="32"/>
  <c r="H47" i="32"/>
  <c r="I47" i="32"/>
  <c r="J47" i="32"/>
  <c r="K47" i="32"/>
  <c r="L47" i="32"/>
  <c r="G48" i="32"/>
  <c r="H48" i="32"/>
  <c r="I48" i="32"/>
  <c r="J48" i="32"/>
  <c r="K48" i="32"/>
  <c r="L48" i="32"/>
  <c r="G49" i="32"/>
  <c r="H49" i="32"/>
  <c r="I49" i="32"/>
  <c r="J49" i="32"/>
  <c r="K49" i="32"/>
  <c r="L49" i="32"/>
  <c r="G50" i="32"/>
  <c r="H50" i="32"/>
  <c r="I50" i="32"/>
  <c r="J50" i="32"/>
  <c r="K50" i="32"/>
  <c r="L50" i="32"/>
  <c r="G51" i="32"/>
  <c r="H51" i="32"/>
  <c r="I51" i="32"/>
  <c r="J51" i="32"/>
  <c r="K51" i="32"/>
  <c r="L51" i="32"/>
  <c r="G52" i="32"/>
  <c r="H52" i="32"/>
  <c r="I52" i="32"/>
  <c r="J52" i="32"/>
  <c r="K52" i="32"/>
  <c r="L52" i="32"/>
  <c r="G53" i="32"/>
  <c r="H53" i="32"/>
  <c r="I53" i="32"/>
  <c r="J53" i="32"/>
  <c r="K53" i="32"/>
  <c r="L53" i="32"/>
  <c r="G54" i="32"/>
  <c r="H54" i="32"/>
  <c r="I54" i="32"/>
  <c r="J54" i="32"/>
  <c r="K54" i="32"/>
  <c r="L54" i="32"/>
  <c r="G55" i="32"/>
  <c r="H55" i="32"/>
  <c r="I55" i="32"/>
  <c r="J55" i="32"/>
  <c r="K55" i="32"/>
  <c r="L55" i="32"/>
  <c r="G56" i="32"/>
  <c r="H56" i="32"/>
  <c r="I56" i="32"/>
  <c r="J56" i="32"/>
  <c r="K56" i="32"/>
  <c r="L56" i="32"/>
  <c r="G57" i="32"/>
  <c r="H57" i="32"/>
  <c r="I57" i="32"/>
  <c r="J57" i="32"/>
  <c r="K57" i="32"/>
  <c r="L57" i="32"/>
  <c r="G58" i="32"/>
  <c r="H58" i="32"/>
  <c r="I58" i="32"/>
  <c r="J58" i="32"/>
  <c r="K58" i="32"/>
  <c r="L58" i="32"/>
  <c r="G59" i="32"/>
  <c r="H59" i="32"/>
  <c r="I59" i="32"/>
  <c r="J59" i="32"/>
  <c r="K59" i="32"/>
  <c r="L59" i="32"/>
  <c r="G60" i="32"/>
  <c r="H60" i="32"/>
  <c r="I60" i="32"/>
  <c r="J60" i="32"/>
  <c r="K60" i="32"/>
  <c r="L60" i="32"/>
  <c r="G61" i="32"/>
  <c r="H61" i="32"/>
  <c r="I61" i="32"/>
  <c r="J61" i="32"/>
  <c r="K61" i="32"/>
  <c r="L61" i="32"/>
  <c r="G62" i="32"/>
  <c r="H62" i="32"/>
  <c r="I62" i="32"/>
  <c r="J62" i="32"/>
  <c r="K62" i="32"/>
  <c r="L62" i="32"/>
  <c r="G63" i="32"/>
  <c r="H63" i="32"/>
  <c r="I63" i="32"/>
  <c r="J63" i="32"/>
  <c r="K63" i="32"/>
  <c r="L63" i="32"/>
  <c r="G64" i="32"/>
  <c r="H64" i="32"/>
  <c r="I64" i="32"/>
  <c r="J64" i="32"/>
  <c r="K64" i="32"/>
  <c r="L64" i="32"/>
  <c r="G65" i="32"/>
  <c r="H65" i="32"/>
  <c r="I65" i="32"/>
  <c r="J65" i="32"/>
  <c r="K65" i="32"/>
  <c r="L65" i="32"/>
  <c r="G66" i="32"/>
  <c r="H66" i="32"/>
  <c r="I66" i="32"/>
  <c r="J66" i="32"/>
  <c r="K66" i="32"/>
  <c r="L66" i="32"/>
  <c r="G67" i="32"/>
  <c r="H67" i="32"/>
  <c r="I67" i="32"/>
  <c r="J67" i="32"/>
  <c r="K67" i="32"/>
  <c r="L67" i="32"/>
  <c r="G68" i="32"/>
  <c r="H68" i="32"/>
  <c r="I68" i="32"/>
  <c r="J68" i="32"/>
  <c r="K68" i="32"/>
  <c r="L68" i="32"/>
  <c r="G69" i="32"/>
  <c r="H69" i="32"/>
  <c r="I69" i="32"/>
  <c r="J69" i="32"/>
  <c r="K69" i="32"/>
  <c r="L69" i="32"/>
  <c r="G70" i="32"/>
  <c r="H70" i="32"/>
  <c r="I70" i="32"/>
  <c r="J70" i="32"/>
  <c r="K70" i="32"/>
  <c r="L70" i="32"/>
  <c r="G71" i="32"/>
  <c r="H71" i="32"/>
  <c r="I71" i="32"/>
  <c r="J71" i="32"/>
  <c r="K71" i="32"/>
  <c r="L71" i="32"/>
  <c r="G72" i="32"/>
  <c r="H72" i="32"/>
  <c r="I72" i="32"/>
  <c r="J72" i="32"/>
  <c r="K72" i="32"/>
  <c r="L72" i="32"/>
  <c r="G73" i="32"/>
  <c r="H73" i="32"/>
  <c r="I73" i="32"/>
  <c r="J73" i="32"/>
  <c r="K73" i="32"/>
  <c r="L73" i="32"/>
  <c r="G74" i="32"/>
  <c r="H74" i="32"/>
  <c r="I74" i="32"/>
  <c r="J74" i="32"/>
  <c r="K74" i="32"/>
  <c r="L74" i="32"/>
  <c r="G75" i="32"/>
  <c r="H75" i="32"/>
  <c r="I75" i="32"/>
  <c r="J75" i="32"/>
  <c r="K75" i="32"/>
  <c r="L75" i="32"/>
  <c r="G76" i="32"/>
  <c r="H76" i="32"/>
  <c r="I76" i="32"/>
  <c r="J76" i="32"/>
  <c r="K76" i="32"/>
  <c r="L76" i="32"/>
  <c r="G77" i="32"/>
  <c r="H77" i="32"/>
  <c r="I77" i="32"/>
  <c r="J77" i="32"/>
  <c r="K77" i="32"/>
  <c r="L77" i="32"/>
  <c r="G78" i="32"/>
  <c r="H78" i="32"/>
  <c r="I78" i="32"/>
  <c r="J78" i="32"/>
  <c r="K78" i="32"/>
  <c r="L78" i="32"/>
  <c r="G79" i="32"/>
  <c r="H79" i="32"/>
  <c r="I79" i="32"/>
  <c r="J79" i="32"/>
  <c r="K79" i="32"/>
  <c r="L79" i="32"/>
  <c r="G80" i="32"/>
  <c r="H80" i="32"/>
  <c r="I80" i="32"/>
  <c r="J80" i="32"/>
  <c r="K80" i="32"/>
  <c r="L80" i="32"/>
  <c r="G81" i="32"/>
  <c r="H81" i="32"/>
  <c r="I81" i="32"/>
  <c r="J81" i="32"/>
  <c r="K81" i="32"/>
  <c r="L81" i="32"/>
  <c r="G5" i="32"/>
  <c r="H5" i="32"/>
  <c r="I5" i="32"/>
  <c r="J5" i="32"/>
  <c r="K5" i="32"/>
  <c r="L5" i="32"/>
  <c r="G6" i="32"/>
  <c r="H6" i="32"/>
  <c r="N6" i="32" s="1"/>
  <c r="I6" i="32"/>
  <c r="J6" i="32"/>
  <c r="K6" i="32"/>
  <c r="L6" i="32"/>
  <c r="G7" i="32"/>
  <c r="H7" i="32"/>
  <c r="I7" i="32"/>
  <c r="J7" i="32"/>
  <c r="K7" i="32"/>
  <c r="L7" i="32"/>
  <c r="G8" i="32"/>
  <c r="H8" i="32"/>
  <c r="I8" i="32"/>
  <c r="J8" i="32"/>
  <c r="K8" i="32"/>
  <c r="L8" i="32"/>
  <c r="T60" i="44"/>
  <c r="L24" i="45"/>
  <c r="K24" i="45"/>
  <c r="J24" i="45"/>
  <c r="I24" i="45"/>
  <c r="G24" i="45" l="1"/>
  <c r="G23" i="45"/>
  <c r="G26" i="45"/>
  <c r="G36" i="45"/>
  <c r="G9" i="45"/>
  <c r="G32" i="45"/>
  <c r="G33" i="45"/>
  <c r="G31" i="45"/>
  <c r="G28" i="45"/>
  <c r="G5" i="45"/>
  <c r="Z11" i="32"/>
  <c r="M78" i="32"/>
  <c r="M76" i="32"/>
  <c r="M74" i="32"/>
  <c r="M68" i="32"/>
  <c r="M66" i="32"/>
  <c r="M64" i="32"/>
  <c r="M62" i="32"/>
  <c r="Y62" i="32" s="1"/>
  <c r="M60" i="32"/>
  <c r="M58" i="32"/>
  <c r="M56" i="32"/>
  <c r="M54" i="32"/>
  <c r="M50" i="32"/>
  <c r="M48" i="32"/>
  <c r="M46" i="32"/>
  <c r="M44" i="32"/>
  <c r="M36" i="32"/>
  <c r="Z55" i="32"/>
  <c r="N81" i="32"/>
  <c r="N77" i="32"/>
  <c r="N73" i="32"/>
  <c r="N71" i="32"/>
  <c r="N69" i="32"/>
  <c r="N67" i="32"/>
  <c r="N63" i="32"/>
  <c r="N61" i="32"/>
  <c r="Z61" i="32" s="1"/>
  <c r="N59" i="32"/>
  <c r="Z59" i="32" s="1"/>
  <c r="N57" i="32"/>
  <c r="N55" i="32"/>
  <c r="M7" i="32"/>
  <c r="M18" i="32"/>
  <c r="M5" i="32"/>
  <c r="Y5" i="32" s="1"/>
  <c r="M70" i="32"/>
  <c r="M52" i="32"/>
  <c r="M16" i="32"/>
  <c r="Z69" i="32"/>
  <c r="M72" i="32"/>
  <c r="Y72" i="32" s="1"/>
  <c r="M42" i="32"/>
  <c r="M40" i="32"/>
  <c r="M38" i="32"/>
  <c r="M34" i="32"/>
  <c r="M32" i="32"/>
  <c r="M30" i="32"/>
  <c r="M28" i="32"/>
  <c r="M26" i="32"/>
  <c r="M24" i="32"/>
  <c r="M22" i="32"/>
  <c r="M20" i="32"/>
  <c r="M14" i="32"/>
  <c r="M12" i="32"/>
  <c r="N8" i="32"/>
  <c r="N79" i="32"/>
  <c r="N49" i="32"/>
  <c r="Z49" i="32" s="1"/>
  <c r="N47" i="32"/>
  <c r="Z47" i="32" s="1"/>
  <c r="N45" i="32"/>
  <c r="N43" i="32"/>
  <c r="N41" i="32"/>
  <c r="N39" i="32"/>
  <c r="Z39" i="32" s="1"/>
  <c r="N37" i="32"/>
  <c r="N35" i="32"/>
  <c r="Z35" i="32" s="1"/>
  <c r="N33" i="32"/>
  <c r="Z33" i="32" s="1"/>
  <c r="N31" i="32"/>
  <c r="Z31" i="32" s="1"/>
  <c r="N29" i="32"/>
  <c r="Z29" i="32" s="1"/>
  <c r="N27" i="32"/>
  <c r="Z27" i="32" s="1"/>
  <c r="N25" i="32"/>
  <c r="Z25" i="32" s="1"/>
  <c r="N23" i="32"/>
  <c r="Z23" i="32" s="1"/>
  <c r="N21" i="32"/>
  <c r="N19" i="32"/>
  <c r="Z19" i="32" s="1"/>
  <c r="N17" i="32"/>
  <c r="Z17" i="32" s="1"/>
  <c r="N15" i="32"/>
  <c r="Z15" i="32" s="1"/>
  <c r="N13" i="32"/>
  <c r="N9" i="32"/>
  <c r="Z81" i="32"/>
  <c r="Y22" i="32"/>
  <c r="Z8" i="32"/>
  <c r="Z9" i="32"/>
  <c r="N65" i="32"/>
  <c r="Z65" i="32" s="1"/>
  <c r="M79" i="32"/>
  <c r="Y79" i="32" s="1"/>
  <c r="M75" i="32"/>
  <c r="M71" i="32"/>
  <c r="M69" i="32"/>
  <c r="M65" i="32"/>
  <c r="M61" i="32"/>
  <c r="M57" i="32"/>
  <c r="M53" i="32"/>
  <c r="M49" i="32"/>
  <c r="M45" i="32"/>
  <c r="Y45" i="32" s="1"/>
  <c r="M39" i="32"/>
  <c r="M37" i="32"/>
  <c r="M35" i="32"/>
  <c r="Y35" i="32" s="1"/>
  <c r="M31" i="32"/>
  <c r="M27" i="32"/>
  <c r="Y27" i="32" s="1"/>
  <c r="M25" i="32"/>
  <c r="Y25" i="32" s="1"/>
  <c r="M23" i="32"/>
  <c r="M21" i="32"/>
  <c r="M19" i="32"/>
  <c r="Y19" i="32" s="1"/>
  <c r="M17" i="32"/>
  <c r="Y17" i="32" s="1"/>
  <c r="M15" i="32"/>
  <c r="M13" i="32"/>
  <c r="M9" i="32"/>
  <c r="Z6" i="32"/>
  <c r="Z77" i="32"/>
  <c r="Y74" i="32"/>
  <c r="Z71" i="32"/>
  <c r="Z67" i="32"/>
  <c r="Z63" i="32"/>
  <c r="Y61" i="32"/>
  <c r="Z57" i="32"/>
  <c r="Y52" i="32"/>
  <c r="Y46" i="32"/>
  <c r="Y44" i="32"/>
  <c r="Z41" i="32"/>
  <c r="Z37" i="32"/>
  <c r="Z21" i="32"/>
  <c r="Z13" i="32"/>
  <c r="Y28" i="32"/>
  <c r="N75" i="32"/>
  <c r="Z75" i="32" s="1"/>
  <c r="N53" i="32"/>
  <c r="Z53" i="32" s="1"/>
  <c r="N51" i="32"/>
  <c r="M8" i="32"/>
  <c r="Y8" i="32" s="1"/>
  <c r="M6" i="32"/>
  <c r="M81" i="32"/>
  <c r="M77" i="32"/>
  <c r="M73" i="32"/>
  <c r="M67" i="32"/>
  <c r="M63" i="32"/>
  <c r="M59" i="32"/>
  <c r="M55" i="32"/>
  <c r="Y55" i="32" s="1"/>
  <c r="M51" i="32"/>
  <c r="M47" i="32"/>
  <c r="Y47" i="32" s="1"/>
  <c r="M43" i="32"/>
  <c r="Y43" i="32" s="1"/>
  <c r="M41" i="32"/>
  <c r="M33" i="32"/>
  <c r="Y33" i="32" s="1"/>
  <c r="M29" i="32"/>
  <c r="Y29" i="32" s="1"/>
  <c r="N7" i="32"/>
  <c r="N5" i="32"/>
  <c r="Z5" i="32" s="1"/>
  <c r="N78" i="32"/>
  <c r="Z78" i="32" s="1"/>
  <c r="N76" i="32"/>
  <c r="Z76" i="32" s="1"/>
  <c r="N74" i="32"/>
  <c r="Z74" i="32" s="1"/>
  <c r="N72" i="32"/>
  <c r="Z72" i="32" s="1"/>
  <c r="N70" i="32"/>
  <c r="N68" i="32"/>
  <c r="Z68" i="32" s="1"/>
  <c r="N66" i="32"/>
  <c r="N64" i="32"/>
  <c r="Z64" i="32" s="1"/>
  <c r="N62" i="32"/>
  <c r="Z62" i="32" s="1"/>
  <c r="N60" i="32"/>
  <c r="N58" i="32"/>
  <c r="Z58" i="32" s="1"/>
  <c r="N56" i="32"/>
  <c r="Z56" i="32" s="1"/>
  <c r="N54" i="32"/>
  <c r="Z54" i="32" s="1"/>
  <c r="N52" i="32"/>
  <c r="Z52" i="32" s="1"/>
  <c r="N50" i="32"/>
  <c r="Z50" i="32" s="1"/>
  <c r="N48" i="32"/>
  <c r="Z48" i="32" s="1"/>
  <c r="N46" i="32"/>
  <c r="Z46" i="32" s="1"/>
  <c r="N44" i="32"/>
  <c r="Z44" i="32" s="1"/>
  <c r="N42" i="32"/>
  <c r="Z42" i="32" s="1"/>
  <c r="N40" i="32"/>
  <c r="N38" i="32"/>
  <c r="Z38" i="32" s="1"/>
  <c r="N36" i="32"/>
  <c r="Z36" i="32" s="1"/>
  <c r="N34" i="32"/>
  <c r="Z34" i="32" s="1"/>
  <c r="N32" i="32"/>
  <c r="Z32" i="32" s="1"/>
  <c r="N30" i="32"/>
  <c r="Z30" i="32" s="1"/>
  <c r="N28" i="32"/>
  <c r="Z28" i="32" s="1"/>
  <c r="N26" i="32"/>
  <c r="Z26" i="32" s="1"/>
  <c r="N24" i="32"/>
  <c r="Z24" i="32" s="1"/>
  <c r="N22" i="32"/>
  <c r="Z22" i="32" s="1"/>
  <c r="N20" i="32"/>
  <c r="Z20" i="32" s="1"/>
  <c r="N18" i="32"/>
  <c r="Z18" i="32" s="1"/>
  <c r="N16" i="32"/>
  <c r="Z16" i="32" s="1"/>
  <c r="N14" i="32"/>
  <c r="Z14" i="32" s="1"/>
  <c r="N12" i="32"/>
  <c r="Z12" i="32" s="1"/>
  <c r="Z79" i="32"/>
  <c r="Z73" i="32"/>
  <c r="Z70" i="32"/>
  <c r="Z66" i="32"/>
  <c r="Z60" i="32"/>
  <c r="Y54" i="32"/>
  <c r="Z51" i="32"/>
  <c r="Z45" i="32"/>
  <c r="Z43" i="32"/>
  <c r="Z40" i="32"/>
  <c r="Y37" i="32"/>
  <c r="Y18" i="32"/>
  <c r="Y16" i="32"/>
  <c r="Z7" i="32"/>
  <c r="S66" i="32"/>
  <c r="Y66" i="32" s="1"/>
  <c r="N41" i="45"/>
  <c r="N80" i="32"/>
  <c r="Z80" i="32" s="1"/>
  <c r="M80" i="32"/>
  <c r="S60" i="44"/>
  <c r="R60" i="44"/>
  <c r="Q60" i="44" l="1"/>
  <c r="P60" i="44"/>
  <c r="O60" i="44"/>
  <c r="L28" i="45"/>
  <c r="K28" i="45"/>
  <c r="J28" i="45"/>
  <c r="I28" i="45"/>
  <c r="AD22" i="44"/>
  <c r="N60" i="44"/>
  <c r="M60" i="44"/>
  <c r="L60" i="44"/>
  <c r="K60" i="44"/>
  <c r="J60" i="44"/>
  <c r="I60" i="44"/>
  <c r="N24" i="45" l="1"/>
  <c r="M24" i="45"/>
  <c r="M28" i="45"/>
  <c r="N28" i="45"/>
  <c r="S4" i="32"/>
  <c r="T4" i="32"/>
  <c r="L60" i="45"/>
  <c r="K60" i="45"/>
  <c r="J60" i="45"/>
  <c r="I60" i="45"/>
  <c r="L59" i="45"/>
  <c r="K59" i="45"/>
  <c r="K61" i="45" s="1"/>
  <c r="J59" i="45"/>
  <c r="I59" i="45"/>
  <c r="I61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5" i="45"/>
  <c r="L26" i="45"/>
  <c r="L27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54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5" i="45"/>
  <c r="K26" i="45"/>
  <c r="K27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5" i="45"/>
  <c r="J26" i="45"/>
  <c r="J27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54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5" i="45"/>
  <c r="I26" i="45"/>
  <c r="I27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4" i="45"/>
  <c r="X60" i="44"/>
  <c r="H60" i="44"/>
  <c r="Y57" i="44"/>
  <c r="Z57" i="44" s="1"/>
  <c r="H60" i="45" s="1"/>
  <c r="N60" i="45" s="1"/>
  <c r="Y56" i="44"/>
  <c r="Z56" i="44" s="1"/>
  <c r="H59" i="45" s="1"/>
  <c r="X54" i="44"/>
  <c r="H54" i="44"/>
  <c r="Y54" i="44" s="1"/>
  <c r="AC36" i="44"/>
  <c r="AC38" i="44" s="1"/>
  <c r="AK16" i="44"/>
  <c r="AI16" i="44"/>
  <c r="AI17" i="44" s="1"/>
  <c r="G11" i="45"/>
  <c r="AC9" i="44"/>
  <c r="AC14" i="44" s="1"/>
  <c r="AH14" i="44" s="1"/>
  <c r="Y4" i="44"/>
  <c r="Z4" i="44" s="1"/>
  <c r="H4" i="45" s="1"/>
  <c r="AA61" i="43"/>
  <c r="AA57" i="43"/>
  <c r="K55" i="45" l="1"/>
  <c r="I55" i="45"/>
  <c r="H18" i="45"/>
  <c r="N18" i="45" s="1"/>
  <c r="G18" i="45"/>
  <c r="M18" i="45" s="1"/>
  <c r="H19" i="45"/>
  <c r="N19" i="45" s="1"/>
  <c r="G19" i="45"/>
  <c r="M19" i="45" s="1"/>
  <c r="H20" i="45"/>
  <c r="N20" i="45" s="1"/>
  <c r="G20" i="45"/>
  <c r="M20" i="45" s="1"/>
  <c r="H27" i="45"/>
  <c r="N27" i="45" s="1"/>
  <c r="G27" i="45"/>
  <c r="M27" i="45" s="1"/>
  <c r="H10" i="45"/>
  <c r="N10" i="45" s="1"/>
  <c r="G10" i="45"/>
  <c r="M10" i="45" s="1"/>
  <c r="H16" i="45"/>
  <c r="N16" i="45" s="1"/>
  <c r="G16" i="45"/>
  <c r="M16" i="45" s="1"/>
  <c r="H15" i="45"/>
  <c r="N15" i="45" s="1"/>
  <c r="G15" i="45"/>
  <c r="M15" i="45" s="1"/>
  <c r="H13" i="45"/>
  <c r="N13" i="45" s="1"/>
  <c r="G13" i="45"/>
  <c r="M13" i="45" s="1"/>
  <c r="H37" i="45"/>
  <c r="N37" i="45" s="1"/>
  <c r="G37" i="45"/>
  <c r="M37" i="45" s="1"/>
  <c r="H42" i="45"/>
  <c r="N42" i="45" s="1"/>
  <c r="G42" i="45"/>
  <c r="M42" i="45" s="1"/>
  <c r="H47" i="45"/>
  <c r="N47" i="45" s="1"/>
  <c r="G47" i="45"/>
  <c r="M47" i="45" s="1"/>
  <c r="H52" i="45"/>
  <c r="N52" i="45" s="1"/>
  <c r="G52" i="45"/>
  <c r="M52" i="45" s="1"/>
  <c r="H43" i="45"/>
  <c r="N43" i="45" s="1"/>
  <c r="G43" i="45"/>
  <c r="M43" i="45" s="1"/>
  <c r="H45" i="45"/>
  <c r="N45" i="45" s="1"/>
  <c r="G45" i="45"/>
  <c r="M45" i="45" s="1"/>
  <c r="H49" i="45"/>
  <c r="N49" i="45" s="1"/>
  <c r="G49" i="45"/>
  <c r="M49" i="45" s="1"/>
  <c r="H53" i="45"/>
  <c r="N53" i="45" s="1"/>
  <c r="G53" i="45"/>
  <c r="M53" i="45" s="1"/>
  <c r="H40" i="45"/>
  <c r="N40" i="45" s="1"/>
  <c r="G40" i="45"/>
  <c r="M40" i="45" s="1"/>
  <c r="H51" i="45"/>
  <c r="N51" i="45" s="1"/>
  <c r="G51" i="45"/>
  <c r="M51" i="45" s="1"/>
  <c r="H38" i="45"/>
  <c r="N38" i="45" s="1"/>
  <c r="G38" i="45"/>
  <c r="M38" i="45" s="1"/>
  <c r="H39" i="45"/>
  <c r="N39" i="45" s="1"/>
  <c r="G39" i="45"/>
  <c r="M39" i="45" s="1"/>
  <c r="H46" i="45"/>
  <c r="N46" i="45" s="1"/>
  <c r="G46" i="45"/>
  <c r="M46" i="45" s="1"/>
  <c r="H50" i="45"/>
  <c r="N50" i="45" s="1"/>
  <c r="G50" i="45"/>
  <c r="M50" i="45" s="1"/>
  <c r="H54" i="45"/>
  <c r="N54" i="45" s="1"/>
  <c r="G54" i="45"/>
  <c r="M54" i="45" s="1"/>
  <c r="S48" i="32"/>
  <c r="Y48" i="32" s="1"/>
  <c r="S39" i="32"/>
  <c r="Y39" i="32" s="1"/>
  <c r="N12" i="45"/>
  <c r="N21" i="45"/>
  <c r="N59" i="45"/>
  <c r="N26" i="45"/>
  <c r="N34" i="45"/>
  <c r="N31" i="45"/>
  <c r="M9" i="45"/>
  <c r="N5" i="45"/>
  <c r="N32" i="45"/>
  <c r="M34" i="45"/>
  <c r="N23" i="45"/>
  <c r="N36" i="45"/>
  <c r="N4" i="45"/>
  <c r="N8" i="45"/>
  <c r="N22" i="45"/>
  <c r="N7" i="45"/>
  <c r="N33" i="45"/>
  <c r="N9" i="45"/>
  <c r="M48" i="45"/>
  <c r="N48" i="45"/>
  <c r="M11" i="45"/>
  <c r="M44" i="45"/>
  <c r="N6" i="45"/>
  <c r="N14" i="45"/>
  <c r="N17" i="45"/>
  <c r="N25" i="45"/>
  <c r="N30" i="45"/>
  <c r="N44" i="45"/>
  <c r="M32" i="45"/>
  <c r="M35" i="45"/>
  <c r="M29" i="45"/>
  <c r="M23" i="45"/>
  <c r="M14" i="45"/>
  <c r="M7" i="45"/>
  <c r="G59" i="45"/>
  <c r="M59" i="45" s="1"/>
  <c r="M22" i="45"/>
  <c r="M6" i="45"/>
  <c r="S11" i="32" s="1"/>
  <c r="Y11" i="32" s="1"/>
  <c r="G4" i="45"/>
  <c r="M33" i="45"/>
  <c r="M31" i="45"/>
  <c r="G60" i="45"/>
  <c r="M60" i="45" s="1"/>
  <c r="M36" i="45"/>
  <c r="M30" i="45"/>
  <c r="M25" i="45"/>
  <c r="M21" i="45"/>
  <c r="M12" i="45"/>
  <c r="M8" i="45"/>
  <c r="M26" i="45"/>
  <c r="M17" i="45"/>
  <c r="M5" i="45"/>
  <c r="S10" i="32" s="1"/>
  <c r="Y10" i="32" s="1"/>
  <c r="N35" i="45"/>
  <c r="N29" i="45"/>
  <c r="Z54" i="44"/>
  <c r="Y60" i="44"/>
  <c r="Z61" i="43"/>
  <c r="Z57" i="43"/>
  <c r="H11" i="45" l="1"/>
  <c r="N11" i="45" s="1"/>
  <c r="M4" i="45"/>
  <c r="M55" i="45" s="1"/>
  <c r="G55" i="45"/>
  <c r="S51" i="32"/>
  <c r="Y51" i="32" s="1"/>
  <c r="S78" i="32"/>
  <c r="Y78" i="32" s="1"/>
  <c r="S36" i="32"/>
  <c r="Y36" i="32" s="1"/>
  <c r="S26" i="32"/>
  <c r="Y26" i="32" s="1"/>
  <c r="S58" i="32"/>
  <c r="Y58" i="32" s="1"/>
  <c r="S53" i="32"/>
  <c r="Y53" i="32" s="1"/>
  <c r="S20" i="32"/>
  <c r="Y20" i="32" s="1"/>
  <c r="S57" i="32"/>
  <c r="Y57" i="32" s="1"/>
  <c r="S13" i="32"/>
  <c r="Y13" i="32" s="1"/>
  <c r="S40" i="32"/>
  <c r="Y40" i="32" s="1"/>
  <c r="S7" i="32"/>
  <c r="Y7" i="32" s="1"/>
  <c r="S30" i="32"/>
  <c r="Y30" i="32" s="1"/>
  <c r="S21" i="32"/>
  <c r="Y21" i="32" s="1"/>
  <c r="S50" i="32"/>
  <c r="Y50" i="32" s="1"/>
  <c r="S73" i="32"/>
  <c r="Y73" i="32" s="1"/>
  <c r="S23" i="32"/>
  <c r="Y23" i="32" s="1"/>
  <c r="S56" i="32"/>
  <c r="Y56" i="32" s="1"/>
  <c r="S75" i="32"/>
  <c r="Y75" i="32" s="1"/>
  <c r="S67" i="32"/>
  <c r="Y67" i="32" s="1"/>
  <c r="S14" i="32"/>
  <c r="Y14" i="32" s="1"/>
  <c r="S80" i="32"/>
  <c r="Y80" i="32" s="1"/>
  <c r="S68" i="32"/>
  <c r="Y68" i="32" s="1"/>
  <c r="S31" i="32"/>
  <c r="Y31" i="32" s="1"/>
  <c r="S24" i="32"/>
  <c r="Y24" i="32" s="1"/>
  <c r="S59" i="32"/>
  <c r="Y59" i="32" s="1"/>
  <c r="S77" i="32"/>
  <c r="Y77" i="32" s="1"/>
  <c r="S32" i="32"/>
  <c r="Y32" i="32" s="1"/>
  <c r="S60" i="32"/>
  <c r="Y60" i="32" s="1"/>
  <c r="S9" i="32"/>
  <c r="Y9" i="32" s="1"/>
  <c r="S69" i="32"/>
  <c r="Y69" i="32" s="1"/>
  <c r="S38" i="32"/>
  <c r="Y38" i="32" s="1"/>
  <c r="S71" i="32"/>
  <c r="Y71" i="32" s="1"/>
  <c r="S41" i="32"/>
  <c r="Y41" i="32" s="1"/>
  <c r="S34" i="32"/>
  <c r="Y34" i="32" s="1"/>
  <c r="S63" i="32"/>
  <c r="Y63" i="32" s="1"/>
  <c r="S81" i="32"/>
  <c r="Y81" i="32" s="1"/>
  <c r="S42" i="32"/>
  <c r="Y42" i="32" s="1"/>
  <c r="S64" i="32"/>
  <c r="Y64" i="32" s="1"/>
  <c r="S15" i="32"/>
  <c r="Y15" i="32" s="1"/>
  <c r="S12" i="32"/>
  <c r="Y12" i="32" s="1"/>
  <c r="S49" i="32"/>
  <c r="Y49" i="32" s="1"/>
  <c r="S76" i="32"/>
  <c r="Y76" i="32" s="1"/>
  <c r="S65" i="32"/>
  <c r="Y65" i="32" s="1"/>
  <c r="S70" i="32"/>
  <c r="Y70" i="32" s="1"/>
  <c r="M61" i="45"/>
  <c r="G61" i="45"/>
  <c r="AC55" i="43"/>
  <c r="AD55" i="43" s="1"/>
  <c r="Y61" i="43"/>
  <c r="Y57" i="43"/>
  <c r="X61" i="43"/>
  <c r="X57" i="43"/>
  <c r="S6" i="32" l="1"/>
  <c r="Y6" i="32" s="1"/>
  <c r="W61" i="43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S82" i="32" l="1"/>
  <c r="P61" i="43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J43" i="41"/>
  <c r="I43" i="41"/>
  <c r="H43" i="41"/>
  <c r="G43" i="41"/>
  <c r="AC44" i="42"/>
  <c r="AD44" i="42" s="1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K43" i="41"/>
  <c r="M43" i="41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AC61" i="43"/>
  <c r="AC57" i="43"/>
  <c r="AD57" i="43" s="1"/>
  <c r="AC25" i="42"/>
  <c r="AD25" i="42" s="1"/>
  <c r="AC59" i="42"/>
  <c r="AD59" i="42" s="1"/>
  <c r="J7" i="41"/>
  <c r="I7" i="41"/>
  <c r="H7" i="41"/>
  <c r="G7" i="41"/>
  <c r="H6" i="41"/>
  <c r="G6" i="41"/>
  <c r="K71" i="41" l="1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H56" i="41" l="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I10" i="41"/>
  <c r="M10" i="41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I56" i="41"/>
  <c r="M56" i="41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8" i="32"/>
  <c r="S88" i="32"/>
  <c r="L88" i="32"/>
  <c r="K88" i="32"/>
  <c r="J88" i="32"/>
  <c r="I88" i="32"/>
  <c r="H88" i="32"/>
  <c r="G88" i="32"/>
  <c r="AE48" i="39"/>
  <c r="AF48" i="39" s="1"/>
  <c r="H51" i="41" s="1"/>
  <c r="AE59" i="39"/>
  <c r="AF59" i="39" s="1"/>
  <c r="H63" i="41" s="1"/>
  <c r="AE25" i="39"/>
  <c r="G27" i="41" s="1"/>
  <c r="AA62" i="39"/>
  <c r="N88" i="32" l="1"/>
  <c r="M88" i="32"/>
  <c r="M27" i="41"/>
  <c r="N63" i="41"/>
  <c r="G63" i="41"/>
  <c r="M63" i="41" s="1"/>
  <c r="G51" i="41"/>
  <c r="M51" i="41" s="1"/>
  <c r="AF25" i="39"/>
  <c r="H27" i="41" s="1"/>
  <c r="N27" i="41" s="1"/>
  <c r="N51" i="41"/>
  <c r="AN13" i="39"/>
  <c r="Z62" i="39"/>
  <c r="Z67" i="39"/>
  <c r="Y67" i="39" l="1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K67" i="39" l="1"/>
  <c r="AD67" i="39" l="1"/>
  <c r="AE67" i="39" s="1"/>
  <c r="AE64" i="39"/>
  <c r="AE65" i="39"/>
  <c r="G70" i="41" s="1"/>
  <c r="M70" i="41" s="1"/>
  <c r="P88" i="32" s="1"/>
  <c r="Y88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7" i="32"/>
  <c r="S87" i="32"/>
  <c r="T86" i="32"/>
  <c r="S86" i="32"/>
  <c r="T85" i="32"/>
  <c r="S85" i="32"/>
  <c r="AF22" i="39"/>
  <c r="AF49" i="39"/>
  <c r="H53" i="41" s="1"/>
  <c r="N53" i="41" s="1"/>
  <c r="S89" i="32" l="1"/>
  <c r="Q4" i="32"/>
  <c r="P4" i="32" l="1"/>
  <c r="G4" i="32"/>
  <c r="G35" i="41"/>
  <c r="I67" i="39"/>
  <c r="H67" i="39"/>
  <c r="AF65" i="39"/>
  <c r="H70" i="41" s="1"/>
  <c r="N70" i="41" s="1"/>
  <c r="Q88" i="32" s="1"/>
  <c r="Z88" i="32" s="1"/>
  <c r="AF64" i="39"/>
  <c r="H69" i="41" s="1"/>
  <c r="Q85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G18" i="41"/>
  <c r="M18" i="41" s="1"/>
  <c r="G59" i="41"/>
  <c r="M59" i="41" s="1"/>
  <c r="G52" i="41"/>
  <c r="M52" i="41" s="1"/>
  <c r="G60" i="41"/>
  <c r="M60" i="41" s="1"/>
  <c r="G55" i="41"/>
  <c r="M55" i="41" s="1"/>
  <c r="G42" i="41"/>
  <c r="M42" i="41" s="1"/>
  <c r="G37" i="41"/>
  <c r="M37" i="41" s="1"/>
  <c r="G23" i="41"/>
  <c r="M23" i="41" s="1"/>
  <c r="G5" i="41"/>
  <c r="M5" i="41" s="1"/>
  <c r="G69" i="41"/>
  <c r="G62" i="41"/>
  <c r="M62" i="41" s="1"/>
  <c r="G58" i="41"/>
  <c r="M58" i="41" s="1"/>
  <c r="G50" i="41"/>
  <c r="M50" i="41" s="1"/>
  <c r="G39" i="41"/>
  <c r="M39" i="41" s="1"/>
  <c r="G26" i="41"/>
  <c r="M26" i="41" s="1"/>
  <c r="G16" i="41"/>
  <c r="M16" i="41" s="1"/>
  <c r="G61" i="41"/>
  <c r="M61" i="41" s="1"/>
  <c r="G46" i="41"/>
  <c r="M46" i="41" s="1"/>
  <c r="G38" i="41"/>
  <c r="M38" i="41" s="1"/>
  <c r="G13" i="41"/>
  <c r="M13" i="41" s="1"/>
  <c r="G54" i="41"/>
  <c r="M54" i="41" s="1"/>
  <c r="G49" i="41"/>
  <c r="M49" i="41" s="1"/>
  <c r="G45" i="41"/>
  <c r="M45" i="41" s="1"/>
  <c r="G47" i="41"/>
  <c r="M47" i="41" s="1"/>
  <c r="G34" i="41"/>
  <c r="M34" i="41" s="1"/>
  <c r="G33" i="41"/>
  <c r="M33" i="41" s="1"/>
  <c r="G31" i="41"/>
  <c r="M31" i="41" s="1"/>
  <c r="G32" i="41"/>
  <c r="M32" i="41" s="1"/>
  <c r="G30" i="41"/>
  <c r="M30" i="41" s="1"/>
  <c r="G29" i="41"/>
  <c r="M29" i="41" s="1"/>
  <c r="G25" i="41"/>
  <c r="M25" i="41" s="1"/>
  <c r="G15" i="41"/>
  <c r="M15" i="41" s="1"/>
  <c r="G12" i="41"/>
  <c r="M12" i="41" s="1"/>
  <c r="G11" i="41"/>
  <c r="M11" i="41" s="1"/>
  <c r="G9" i="41"/>
  <c r="M9" i="41" s="1"/>
  <c r="G8" i="41"/>
  <c r="M8" i="41" s="1"/>
  <c r="G19" i="41"/>
  <c r="M19" i="41" s="1"/>
  <c r="G44" i="41"/>
  <c r="M44" i="41" s="1"/>
  <c r="G24" i="41"/>
  <c r="M24" i="41" s="1"/>
  <c r="G20" i="41"/>
  <c r="M20" i="41" s="1"/>
  <c r="G14" i="41"/>
  <c r="M14" i="41" s="1"/>
  <c r="G36" i="41"/>
  <c r="M36" i="41" s="1"/>
  <c r="G28" i="41"/>
  <c r="M28" i="41" s="1"/>
  <c r="AF4" i="39"/>
  <c r="H4" i="41" s="1"/>
  <c r="N4" i="41" s="1"/>
  <c r="G4" i="41"/>
  <c r="M4" i="41" s="1"/>
  <c r="N62" i="41"/>
  <c r="N69" i="41"/>
  <c r="Q87" i="32" s="1"/>
  <c r="N9" i="41"/>
  <c r="N11" i="41"/>
  <c r="N14" i="41"/>
  <c r="N42" i="41"/>
  <c r="N46" i="41"/>
  <c r="N47" i="41"/>
  <c r="N49" i="41"/>
  <c r="N52" i="41"/>
  <c r="N54" i="41"/>
  <c r="N12" i="41"/>
  <c r="N50" i="41"/>
  <c r="I65" i="41"/>
  <c r="N20" i="41"/>
  <c r="N24" i="41"/>
  <c r="N29" i="41"/>
  <c r="N32" i="41"/>
  <c r="N34" i="41"/>
  <c r="N35" i="41"/>
  <c r="N36" i="41"/>
  <c r="N44" i="41"/>
  <c r="N45" i="41"/>
  <c r="N25" i="41"/>
  <c r="N38" i="41"/>
  <c r="N55" i="41"/>
  <c r="N58" i="41"/>
  <c r="N59" i="41"/>
  <c r="N18" i="41"/>
  <c r="N19" i="41"/>
  <c r="N30" i="41"/>
  <c r="N31" i="41"/>
  <c r="M35" i="41"/>
  <c r="N60" i="41"/>
  <c r="N5" i="41"/>
  <c r="N16" i="41"/>
  <c r="N23" i="41"/>
  <c r="N26" i="41"/>
  <c r="N28" i="41"/>
  <c r="N33" i="41"/>
  <c r="N37" i="41"/>
  <c r="N41" i="41"/>
  <c r="N8" i="41"/>
  <c r="N13" i="41"/>
  <c r="N15" i="41"/>
  <c r="P86" i="32"/>
  <c r="K65" i="41"/>
  <c r="Q86" i="32"/>
  <c r="N61" i="41"/>
  <c r="AF62" i="39"/>
  <c r="AA63" i="38"/>
  <c r="AA57" i="38"/>
  <c r="M69" i="41" l="1"/>
  <c r="G71" i="41"/>
  <c r="P87" i="32"/>
  <c r="M71" i="41"/>
  <c r="G65" i="41"/>
  <c r="M65" i="41"/>
  <c r="Z63" i="38"/>
  <c r="Z57" i="38"/>
  <c r="P85" i="32" l="1"/>
  <c r="P89" i="32" s="1"/>
  <c r="Y63" i="38"/>
  <c r="Y57" i="38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63" i="38" l="1"/>
  <c r="L86" i="32" l="1"/>
  <c r="K86" i="32"/>
  <c r="AD60" i="38"/>
  <c r="AE60" i="38" s="1"/>
  <c r="L87" i="32" s="1"/>
  <c r="AD59" i="38"/>
  <c r="AE59" i="38" s="1"/>
  <c r="L85" i="32" s="1"/>
  <c r="H57" i="38"/>
  <c r="AD55" i="38"/>
  <c r="AE55" i="38" s="1"/>
  <c r="AD54" i="38"/>
  <c r="AE54" i="38" s="1"/>
  <c r="AH61" i="38"/>
  <c r="AH64" i="38" s="1"/>
  <c r="AD53" i="38"/>
  <c r="AE53" i="38" s="1"/>
  <c r="AD52" i="38"/>
  <c r="AE52" i="38" s="1"/>
  <c r="AD51" i="38"/>
  <c r="AE51" i="38" s="1"/>
  <c r="AD50" i="38"/>
  <c r="AE50" i="38" s="1"/>
  <c r="AD49" i="38"/>
  <c r="AE49" i="38" s="1"/>
  <c r="AD48" i="38"/>
  <c r="AE48" i="38" s="1"/>
  <c r="AD47" i="38"/>
  <c r="AE47" i="38" s="1"/>
  <c r="AD46" i="38"/>
  <c r="AE46" i="38" s="1"/>
  <c r="AD45" i="38"/>
  <c r="AE45" i="38" s="1"/>
  <c r="AD44" i="38"/>
  <c r="AE44" i="38" s="1"/>
  <c r="AD43" i="38"/>
  <c r="AE43" i="38" s="1"/>
  <c r="AD42" i="38"/>
  <c r="AE42" i="38" s="1"/>
  <c r="AD41" i="38"/>
  <c r="AE41" i="38" s="1"/>
  <c r="AD40" i="38"/>
  <c r="AE40" i="38" s="1"/>
  <c r="AD39" i="38"/>
  <c r="AE39" i="38" s="1"/>
  <c r="AD38" i="38"/>
  <c r="AE38" i="38" s="1"/>
  <c r="AD37" i="38"/>
  <c r="AE37" i="38" s="1"/>
  <c r="AD36" i="38"/>
  <c r="AE36" i="38" s="1"/>
  <c r="AD35" i="38"/>
  <c r="AE35" i="38" s="1"/>
  <c r="AD34" i="38"/>
  <c r="AE34" i="38" s="1"/>
  <c r="AD33" i="38"/>
  <c r="AE33" i="38" s="1"/>
  <c r="AD32" i="38"/>
  <c r="AE32" i="38" s="1"/>
  <c r="AH37" i="38"/>
  <c r="AH41" i="38" s="1"/>
  <c r="AD31" i="38"/>
  <c r="AE31" i="38" s="1"/>
  <c r="AD30" i="38"/>
  <c r="AE30" i="38" s="1"/>
  <c r="AD29" i="38"/>
  <c r="AE29" i="38" s="1"/>
  <c r="AD28" i="38"/>
  <c r="AE28" i="38" s="1"/>
  <c r="AD27" i="38"/>
  <c r="AE27" i="38" s="1"/>
  <c r="AD26" i="38"/>
  <c r="AE26" i="38" s="1"/>
  <c r="AD25" i="38"/>
  <c r="AE25" i="38" s="1"/>
  <c r="AK30" i="38"/>
  <c r="AH30" i="38"/>
  <c r="AD24" i="38"/>
  <c r="AE24" i="38" s="1"/>
  <c r="AD23" i="38"/>
  <c r="AE23" i="38" s="1"/>
  <c r="AD22" i="38"/>
  <c r="AE22" i="38" s="1"/>
  <c r="AD21" i="38"/>
  <c r="AE21" i="38" s="1"/>
  <c r="AD19" i="38"/>
  <c r="AE19" i="38" s="1"/>
  <c r="AD18" i="38"/>
  <c r="AE18" i="38" s="1"/>
  <c r="AD17" i="38"/>
  <c r="AE17" i="38" s="1"/>
  <c r="AD16" i="38"/>
  <c r="AE16" i="38" s="1"/>
  <c r="AD15" i="38"/>
  <c r="AE15" i="38" s="1"/>
  <c r="AD14" i="38"/>
  <c r="AE14" i="38" s="1"/>
  <c r="AD13" i="38"/>
  <c r="AE13" i="38" s="1"/>
  <c r="AD12" i="38"/>
  <c r="AE12" i="38" s="1"/>
  <c r="AD11" i="38"/>
  <c r="AD10" i="38"/>
  <c r="AE10" i="38" s="1"/>
  <c r="AD9" i="38"/>
  <c r="AE9" i="38" s="1"/>
  <c r="AD7" i="38"/>
  <c r="AE7" i="38" s="1"/>
  <c r="AH8" i="38"/>
  <c r="AH13" i="38" s="1"/>
  <c r="AD6" i="38"/>
  <c r="AE6" i="38" s="1"/>
  <c r="AD5" i="38"/>
  <c r="AE5" i="38" s="1"/>
  <c r="AD4" i="38"/>
  <c r="AE4" i="38" s="1"/>
  <c r="L4" i="32" s="1"/>
  <c r="K85" i="32" l="1"/>
  <c r="AE11" i="38"/>
  <c r="K87" i="32"/>
  <c r="K4" i="32"/>
  <c r="AD63" i="38"/>
  <c r="AD57" i="38"/>
  <c r="AE57" i="38" s="1"/>
  <c r="I87" i="32" l="1"/>
  <c r="H87" i="32"/>
  <c r="G87" i="32"/>
  <c r="J87" i="32"/>
  <c r="M87" i="32" l="1"/>
  <c r="Y87" i="32" s="1"/>
  <c r="N87" i="32"/>
  <c r="Z87" i="32" s="1"/>
  <c r="J86" i="32" l="1"/>
  <c r="J4" i="32"/>
  <c r="J85" i="32" l="1"/>
  <c r="I86" i="32"/>
  <c r="I4" i="32"/>
  <c r="I85" i="32" l="1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O68" i="36" l="1"/>
  <c r="O63" i="36"/>
  <c r="AC37" i="36" l="1"/>
  <c r="AC55" i="36"/>
  <c r="AC54" i="36"/>
  <c r="N68" i="36"/>
  <c r="N63" i="36"/>
  <c r="M68" i="36" l="1"/>
  <c r="M63" i="36"/>
  <c r="L68" i="36" l="1"/>
  <c r="L63" i="36"/>
  <c r="AC21" i="36" l="1"/>
  <c r="AC57" i="36"/>
  <c r="K68" i="36"/>
  <c r="K63" i="36"/>
  <c r="AC58" i="36" l="1"/>
  <c r="AF36" i="36"/>
  <c r="AF40" i="36" s="1"/>
  <c r="AC50" i="36"/>
  <c r="J68" i="36"/>
  <c r="J63" i="36"/>
  <c r="AC53" i="36" l="1"/>
  <c r="AC34" i="36"/>
  <c r="AC10" i="36"/>
  <c r="I68" i="36"/>
  <c r="I63" i="36"/>
  <c r="AC35" i="36" l="1"/>
  <c r="AC7" i="36"/>
  <c r="AC11" i="36"/>
  <c r="AF60" i="36"/>
  <c r="AF8" i="36"/>
  <c r="AC17" i="36" l="1"/>
  <c r="AC27" i="36" l="1"/>
  <c r="H68" i="36"/>
  <c r="H63" i="36"/>
  <c r="AC36" i="36" l="1"/>
  <c r="AA68" i="36"/>
  <c r="AB66" i="36"/>
  <c r="AB65" i="36"/>
  <c r="AA63" i="36"/>
  <c r="AF63" i="36"/>
  <c r="AI29" i="36"/>
  <c r="AF29" i="36"/>
  <c r="AF12" i="36"/>
  <c r="AK12" i="36" s="1"/>
  <c r="AB4" i="36"/>
  <c r="AC66" i="36" l="1"/>
  <c r="H86" i="32" s="1"/>
  <c r="G86" i="32"/>
  <c r="AC65" i="36"/>
  <c r="H85" i="32" s="1"/>
  <c r="G85" i="32"/>
  <c r="AC38" i="36"/>
  <c r="AC31" i="36"/>
  <c r="AC23" i="36"/>
  <c r="AC6" i="36"/>
  <c r="AC24" i="36"/>
  <c r="AC60" i="36"/>
  <c r="AC12" i="36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4" i="32" l="1"/>
  <c r="N4" i="32" s="1"/>
  <c r="N86" i="32" l="1"/>
  <c r="M86" i="32"/>
  <c r="N85" i="32"/>
  <c r="M85" i="32"/>
  <c r="M4" i="32"/>
  <c r="Z85" i="32" l="1"/>
  <c r="Z86" i="32"/>
  <c r="Z89" i="32" l="1"/>
  <c r="I89" i="32" l="1"/>
  <c r="K89" i="32"/>
  <c r="G89" i="32" l="1"/>
  <c r="Y85" i="32" l="1"/>
  <c r="Z4" i="32"/>
  <c r="Y86" i="32"/>
  <c r="Y89" i="32" l="1"/>
  <c r="Y4" i="32" l="1"/>
  <c r="Y82" i="32" s="1"/>
</calcChain>
</file>

<file path=xl/sharedStrings.xml><?xml version="1.0" encoding="utf-8"?>
<sst xmlns="http://schemas.openxmlformats.org/spreadsheetml/2006/main" count="3256" uniqueCount="346">
  <si>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</si>
  <si>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</si>
  <si>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</si>
  <si>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</si>
  <si>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</si>
  <si>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</si>
  <si>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</si>
  <si>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</si>
  <si>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</si>
  <si>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</si>
  <si>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</si>
  <si>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</si>
  <si>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</si>
  <si>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</si>
  <si>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</si>
  <si>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</si>
  <si>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</si>
  <si>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</si>
  <si>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</si>
  <si>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</si>
  <si>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</si>
  <si>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</si>
  <si>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</si>
  <si>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</si>
  <si>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</si>
  <si>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</si>
  <si>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</si>
  <si>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</si>
  <si>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</si>
  <si>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</si>
  <si>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</si>
  <si>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</si>
  <si>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</si>
  <si>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</si>
  <si>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</si>
  <si>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</si>
  <si>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</si>
  <si>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</si>
  <si>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</si>
  <si>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</si>
  <si>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</si>
  <si>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</si>
  <si>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</si>
  <si>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</si>
  <si>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</si>
  <si>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</si>
  <si>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</si>
  <si>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</si>
  <si>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</si>
  <si>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</si>
  <si>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</si>
  <si>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</si>
  <si>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</si>
  <si>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</si>
  <si>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</si>
  <si>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</si>
  <si>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</si>
  <si>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</si>
  <si>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</si>
  <si>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</si>
  <si>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</si>
  <si>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</si>
  <si>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</si>
  <si>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</si>
  <si>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</si>
  <si>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</si>
  <si>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</si>
  <si>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</si>
  <si>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</si>
  <si>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</si>
  <si>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</si>
  <si>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</si>
  <si>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</si>
  <si>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</si>
  <si>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</si>
  <si>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</si>
  <si>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</si>
  <si>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</si>
  <si>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</si>
  <si>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</si>
  <si>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</si>
  <si>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</si>
  <si>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</si>
  <si>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</si>
  <si>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</si>
  <si>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</si>
  <si>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</si>
  <si>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</si>
  <si>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</si>
  <si>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</si>
  <si>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</si>
  <si>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</si>
  <si>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</si>
  <si>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</si>
  <si>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</si>
  <si>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</si>
  <si>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</si>
  <si>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</si>
  <si>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</si>
  <si>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</si>
  <si>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</si>
  <si>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</si>
  <si>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</si>
  <si>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</si>
  <si>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</si>
  <si>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</si>
  <si>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</si>
  <si>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</si>
  <si>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</si>
  <si>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</si>
  <si>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</si>
  <si>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</si>
  <si>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</si>
  <si>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</si>
  <si>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</si>
  <si>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</si>
  <si>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</si>
  <si>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</si>
  <si>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</si>
  <si>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</si>
  <si>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</si>
  <si>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</si>
  <si>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</si>
  <si>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</si>
  <si>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</si>
  <si>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</si>
  <si>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</si>
  <si>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</si>
  <si>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</si>
  <si>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</si>
  <si>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</si>
  <si>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</si>
  <si>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</si>
  <si>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</si>
  <si>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</si>
  <si>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</si>
  <si>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</si>
  <si>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</si>
  <si>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</si>
  <si>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</si>
  <si>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</si>
  <si>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</si>
  <si>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</si>
  <si>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</si>
  <si>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</si>
  <si>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</si>
  <si>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</si>
  <si>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</si>
  <si>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</si>
  <si>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</si>
  <si>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</si>
  <si>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</si>
  <si>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</si>
  <si>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</si>
  <si>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</si>
  <si>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</si>
  <si>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</si>
  <si>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</si>
  <si>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</si>
  <si>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</si>
  <si>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</si>
  <si>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</si>
  <si>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</si>
  <si>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</si>
  <si>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</si>
  <si>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</si>
  <si>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</si>
  <si>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</si>
  <si>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</si>
  <si>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</si>
  <si>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</si>
  <si>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</si>
  <si>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</si>
  <si>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</si>
  <si>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</si>
  <si>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</si>
  <si>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</si>
  <si>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</si>
  <si>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</si>
  <si>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</si>
  <si>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</si>
  <si>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</si>
  <si>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</si>
  <si>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</si>
  <si>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</si>
  <si>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</si>
  <si>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</si>
  <si>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</si>
  <si>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</si>
  <si>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</si>
  <si>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</si>
  <si>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</si>
  <si>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</si>
  <si>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</si>
  <si>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</si>
  <si>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</si>
  <si>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</si>
  <si>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</si>
  <si>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</si>
  <si>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</si>
  <si>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</si>
  <si>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</si>
  <si>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</si>
  <si>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</si>
  <si>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</si>
  <si>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</si>
  <si>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</si>
  <si>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</si>
  <si>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</si>
  <si>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</si>
  <si>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</si>
  <si>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</si>
  <si>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</si>
  <si>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</si>
  <si>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</si>
  <si>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</si>
  <si>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</si>
  <si>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</si>
  <si>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</si>
  <si>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</si>
  <si>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</si>
  <si>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</si>
  <si>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</si>
  <si>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</si>
  <si>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</si>
  <si>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</si>
  <si>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</si>
  <si>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</si>
  <si>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</si>
  <si>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</si>
  <si>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</si>
  <si>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</si>
  <si>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</si>
  <si>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</si>
  <si>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</si>
  <si>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</si>
  <si>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</si>
  <si>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</si>
  <si>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</si>
  <si>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</si>
  <si>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</si>
  <si>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</si>
  <si>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</si>
  <si>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</si>
  <si>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</si>
  <si>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</si>
  <si>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</si>
  <si>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</si>
  <si>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</si>
  <si>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</si>
  <si>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</si>
  <si>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</si>
  <si>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</si>
  <si>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</si>
  <si>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</si>
  <si>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</si>
  <si>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</si>
  <si>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</si>
  <si>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</si>
  <si>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</si>
  <si>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</si>
  <si>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</si>
  <si>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</si>
  <si>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</si>
  <si>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</si>
  <si>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</si>
  <si>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</si>
  <si>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</si>
  <si>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</si>
  <si>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</si>
  <si>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</si>
  <si>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</si>
  <si>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</si>
  <si>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</si>
  <si>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</si>
  <si>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</si>
  <si>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</si>
  <si>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</si>
  <si>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</si>
  <si>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</si>
  <si>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</si>
  <si>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</si>
  <si>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</si>
  <si>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</si>
  <si>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</si>
  <si>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</si>
  <si>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</si>
  <si>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</si>
  <si>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</si>
  <si>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</si>
  <si>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</si>
  <si>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</si>
  <si>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</si>
  <si>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</si>
  <si>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</si>
  <si>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</si>
  <si>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</si>
  <si>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</si>
  <si>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</si>
  <si>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</si>
  <si>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</si>
  <si>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</si>
  <si>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</si>
  <si>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</si>
  <si>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</si>
  <si>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</si>
  <si>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</si>
  <si>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</si>
  <si>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</si>
  <si>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</si>
  <si>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</si>
  <si>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</si>
  <si>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</si>
  <si>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</si>
  <si>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</si>
  <si>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</si>
  <si>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</si>
  <si>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</si>
  <si>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</si>
  <si>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</si>
  <si>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</si>
  <si>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</si>
  <si>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</si>
  <si>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</si>
  <si>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</si>
  <si>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</si>
  <si>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</si>
  <si>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</si>
  <si>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</si>
  <si>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</si>
  <si>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</si>
  <si>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</si>
  <si>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</si>
  <si>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</si>
  <si>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</si>
  <si>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</si>
  <si>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</si>
  <si>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</si>
  <si>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</si>
  <si>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</si>
  <si>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</si>
  <si>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</si>
  <si>
    <t>XTS41</t>
  </si>
  <si>
    <t>P3379</t>
  </si>
  <si>
    <t>P3459</t>
  </si>
  <si>
    <t>XTS01,ATS1530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</si>
</sst>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60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9" fontId="1" fillId="0" borderId="27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  <xf numFmtId="169" fontId="1" fillId="0" borderId="26" xfId="0" applyNumberFormat="1" applyFont="1" applyFill="1" applyBorder="1"/>
  </cellXfs>
  <cellStyles count="2">
    <cellStyle name="Comma" xfId="1" builtinId="3"/>
    <cellStyle name="Normal" xfId="0" builtinId="0"/>
  </cellStyles>
  <dxfs count="538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9"/>
  <sheetViews>
    <sheetView tabSelected="1" workbookViewId="0">
      <selection activeCell="AC4" sqref="AC4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3" width="13.42578125" style="132" customWidth="1"/>
    <col min="24" max="24" width="11.28515625" style="132" customWidth="1"/>
    <col min="25" max="25" width="10.42578125" style="132" customWidth="1" outlineLevel="1"/>
    <col min="26" max="26" width="10.7109375" style="132" customWidth="1" outlineLevel="1"/>
    <col min="27" max="32" width="9.140625" style="132"/>
    <col min="33" max="33" width="14.140625" style="132" customWidth="1"/>
    <col min="34" max="34" width="12" style="132" customWidth="1"/>
    <col min="35" max="35" width="15.85546875" style="132" customWidth="1"/>
    <col min="36" max="16384" width="9.140625" style="132"/>
  </cols>
  <sheetData>
    <row r="1" spans="1:37" ht="15.75" thickBot="1" x14ac:dyDescent="0.3"/>
    <row r="2" spans="1:37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255">
        <v>46316</v>
      </c>
      <c r="U2" s="255">
        <v>46317</v>
      </c>
      <c r="V2" s="255">
        <v>46318</v>
      </c>
      <c r="W2" s="255">
        <v>46321</v>
      </c>
      <c r="X2" s="182"/>
      <c r="Y2" s="183" t="s">
        <v>325</v>
      </c>
      <c r="Z2" s="184" t="s">
        <v>326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9"/>
      <c r="Y3" s="188"/>
      <c r="Z3" s="179"/>
      <c r="AG3" s="132" t="s">
        <v>198</v>
      </c>
      <c r="AH3" s="132">
        <v>13780</v>
      </c>
    </row>
    <row r="4" spans="1:37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157">
        <v>9292</v>
      </c>
      <c r="U4" s="157">
        <v>-3426</v>
      </c>
      <c r="V4" s="157">
        <v>7452</v>
      </c>
      <c r="W4" s="157">
        <v>-6562</v>
      </c>
      <c r="X4" s="210"/>
      <c r="Y4" s="170">
        <f t="shared" ref="Y4" si="0">SUM(H4:X4)</f>
        <v>123203</v>
      </c>
      <c r="Z4" s="148">
        <f t="shared" ref="Z4" si="1">IFERROR(Y4/F4*100,0)/10000000</f>
        <v>2.4640599999999999</v>
      </c>
      <c r="AG4" s="132" t="s">
        <v>170</v>
      </c>
      <c r="AH4" s="132">
        <v>2865</v>
      </c>
    </row>
    <row r="5" spans="1:37" x14ac:dyDescent="0.25">
      <c r="A5" s="141" t="s">
        <v>343</v>
      </c>
      <c r="B5" s="140" t="s">
        <v>341</v>
      </c>
      <c r="C5" s="140" t="s">
        <v>345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46">
        <v>60100</v>
      </c>
      <c r="U5" s="146">
        <v>-254059</v>
      </c>
      <c r="V5" s="146">
        <v>106000</v>
      </c>
      <c r="W5" s="146">
        <v>-57900</v>
      </c>
      <c r="X5" s="173"/>
      <c r="Y5" s="170">
        <f t="shared" ref="Y5:Y53" si="2">SUM(H5:X5)</f>
        <v>380973</v>
      </c>
      <c r="Z5" s="148">
        <f t="shared" ref="Z5:Z53" si="3">IFERROR(Y5/F5*100,0)/10000000</f>
        <v>1.2699100000000001</v>
      </c>
    </row>
    <row r="6" spans="1:37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46">
        <v>119900</v>
      </c>
      <c r="U6" s="146">
        <v>-47135</v>
      </c>
      <c r="V6" s="146">
        <v>-61600</v>
      </c>
      <c r="W6" s="146">
        <v>-169055</v>
      </c>
      <c r="X6" s="173"/>
      <c r="Y6" s="170">
        <f t="shared" si="2"/>
        <v>252087</v>
      </c>
      <c r="Z6" s="148">
        <f t="shared" si="3"/>
        <v>2.5208699999999999</v>
      </c>
    </row>
    <row r="7" spans="1:37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46">
        <v>-11104</v>
      </c>
      <c r="U7" s="146">
        <v>-22819</v>
      </c>
      <c r="V7" s="146">
        <v>-37900</v>
      </c>
      <c r="W7" s="146">
        <v>92400</v>
      </c>
      <c r="X7" s="173"/>
      <c r="Y7" s="170">
        <f t="shared" si="2"/>
        <v>-8360</v>
      </c>
      <c r="Z7" s="148">
        <f t="shared" si="3"/>
        <v>-2.7866666666666661E-2</v>
      </c>
      <c r="AB7" s="5"/>
      <c r="AC7" s="133">
        <v>5037</v>
      </c>
    </row>
    <row r="8" spans="1:37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46">
        <v>84000</v>
      </c>
      <c r="U8" s="146">
        <v>-33919</v>
      </c>
      <c r="V8" s="146">
        <v>0</v>
      </c>
      <c r="W8" s="146">
        <v>-16364</v>
      </c>
      <c r="X8" s="173"/>
      <c r="Y8" s="170">
        <f t="shared" si="2"/>
        <v>255986</v>
      </c>
      <c r="Z8" s="148">
        <f t="shared" si="3"/>
        <v>1.7065733333333335</v>
      </c>
      <c r="AB8" s="133">
        <v>20085</v>
      </c>
      <c r="AC8" s="133"/>
    </row>
    <row r="9" spans="1:37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46">
        <v>99900</v>
      </c>
      <c r="U9" s="146">
        <v>-105197</v>
      </c>
      <c r="V9" s="146">
        <v>0</v>
      </c>
      <c r="W9" s="146">
        <v>50600</v>
      </c>
      <c r="X9" s="173"/>
      <c r="Y9" s="170">
        <f t="shared" si="2"/>
        <v>213427</v>
      </c>
      <c r="Z9" s="148">
        <f t="shared" si="3"/>
        <v>3.5571166666666674</v>
      </c>
      <c r="AB9" s="133">
        <v>25122</v>
      </c>
      <c r="AC9" s="133">
        <f>(AB9+AB8)/10000000*13780</f>
        <v>62.295245999999999</v>
      </c>
    </row>
    <row r="10" spans="1:37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46">
        <v>1280</v>
      </c>
      <c r="U10" s="146">
        <v>0</v>
      </c>
      <c r="V10" s="146">
        <v>0</v>
      </c>
      <c r="W10" s="146">
        <v>0</v>
      </c>
      <c r="X10" s="173"/>
      <c r="Y10" s="170">
        <f t="shared" si="2"/>
        <v>-87379</v>
      </c>
      <c r="Z10" s="148">
        <f t="shared" si="3"/>
        <v>-5.8252666666666661E-2</v>
      </c>
      <c r="AB10" s="133"/>
      <c r="AC10" s="133"/>
    </row>
    <row r="11" spans="1:37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46">
        <v>0</v>
      </c>
      <c r="U11" s="146">
        <v>0</v>
      </c>
      <c r="V11" s="146">
        <v>0</v>
      </c>
      <c r="W11" s="146">
        <v>12420</v>
      </c>
      <c r="X11" s="173"/>
      <c r="Y11" s="170">
        <f t="shared" si="2"/>
        <v>385774</v>
      </c>
      <c r="Z11" s="148">
        <f t="shared" si="3"/>
        <v>0.64295666666666662</v>
      </c>
      <c r="AB11" s="133"/>
      <c r="AC11" s="133"/>
    </row>
    <row r="12" spans="1:37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46">
        <v>-3031</v>
      </c>
      <c r="U12" s="146">
        <v>-2466</v>
      </c>
      <c r="V12" s="146">
        <v>-3576</v>
      </c>
      <c r="W12" s="146">
        <v>1111</v>
      </c>
      <c r="X12" s="173"/>
      <c r="Y12" s="170">
        <f t="shared" si="2"/>
        <v>-12535</v>
      </c>
      <c r="Z12" s="148">
        <f t="shared" si="3"/>
        <v>-0.12534999999999999</v>
      </c>
      <c r="AB12" s="133"/>
      <c r="AC12" s="133"/>
    </row>
    <row r="13" spans="1:37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46">
        <v>30473</v>
      </c>
      <c r="U13" s="146">
        <v>-8452</v>
      </c>
      <c r="V13" s="146">
        <v>24090</v>
      </c>
      <c r="W13" s="146">
        <v>-40457</v>
      </c>
      <c r="X13" s="173"/>
      <c r="Y13" s="170">
        <f t="shared" si="2"/>
        <v>106535</v>
      </c>
      <c r="Z13" s="148">
        <f t="shared" si="3"/>
        <v>0.42614000000000002</v>
      </c>
      <c r="AB13" s="133"/>
      <c r="AC13" s="133"/>
    </row>
    <row r="14" spans="1:37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46">
        <v>27044</v>
      </c>
      <c r="U14" s="146">
        <v>0</v>
      </c>
      <c r="V14" s="146">
        <v>31125</v>
      </c>
      <c r="W14" s="146">
        <v>-37218</v>
      </c>
      <c r="X14" s="173"/>
      <c r="Y14" s="170">
        <f t="shared" si="2"/>
        <v>139118</v>
      </c>
      <c r="Z14" s="148">
        <f t="shared" si="3"/>
        <v>0.63235454545454539</v>
      </c>
      <c r="AB14" s="133"/>
      <c r="AC14" s="192">
        <f>AC7-AC9</f>
        <v>4974.7047540000003</v>
      </c>
      <c r="AF14" s="132">
        <v>-13200</v>
      </c>
      <c r="AH14" s="132">
        <f>AF14+AC14</f>
        <v>-8225.2952459999997</v>
      </c>
    </row>
    <row r="15" spans="1:37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46">
        <v>-19818</v>
      </c>
      <c r="U15" s="146">
        <v>-12160</v>
      </c>
      <c r="V15" s="146">
        <v>-27445</v>
      </c>
      <c r="W15" s="146">
        <v>17900</v>
      </c>
      <c r="X15" s="173"/>
      <c r="Y15" s="170">
        <f t="shared" si="2"/>
        <v>-30633</v>
      </c>
      <c r="Z15" s="148">
        <f t="shared" si="3"/>
        <v>-0.30632999999999999</v>
      </c>
    </row>
    <row r="16" spans="1:37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46">
        <v>289570</v>
      </c>
      <c r="U16" s="146">
        <v>-248047</v>
      </c>
      <c r="V16" s="146">
        <v>50000</v>
      </c>
      <c r="W16" s="146">
        <v>30270</v>
      </c>
      <c r="X16" s="173"/>
      <c r="Y16" s="170">
        <f t="shared" si="2"/>
        <v>428868</v>
      </c>
      <c r="Z16" s="148">
        <f t="shared" si="3"/>
        <v>1.7154720000000001</v>
      </c>
      <c r="AH16" s="132">
        <v>4000000</v>
      </c>
      <c r="AI16" s="132">
        <f>AH16*7/100</f>
        <v>280000</v>
      </c>
      <c r="AK16" s="132">
        <f>15*12</f>
        <v>180</v>
      </c>
    </row>
    <row r="17" spans="1:35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46">
        <v>259384</v>
      </c>
      <c r="U17" s="146">
        <v>-340399</v>
      </c>
      <c r="V17" s="146">
        <v>410000</v>
      </c>
      <c r="W17" s="146">
        <v>168000</v>
      </c>
      <c r="X17" s="173"/>
      <c r="Y17" s="170">
        <f t="shared" si="2"/>
        <v>737424</v>
      </c>
      <c r="Z17" s="148">
        <f t="shared" si="3"/>
        <v>1.8435600000000001</v>
      </c>
      <c r="AI17" s="132">
        <f>AI16/12</f>
        <v>23333.333333333332</v>
      </c>
    </row>
    <row r="18" spans="1:35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46">
        <v>109500</v>
      </c>
      <c r="U18" s="146">
        <v>-42447</v>
      </c>
      <c r="V18" s="146">
        <v>113500</v>
      </c>
      <c r="W18" s="146">
        <v>39300</v>
      </c>
      <c r="X18" s="173"/>
      <c r="Y18" s="170">
        <f t="shared" si="2"/>
        <v>719336</v>
      </c>
      <c r="Z18" s="148">
        <f t="shared" si="3"/>
        <v>4.7955733333333326</v>
      </c>
    </row>
    <row r="19" spans="1:35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  <c r="V19" s="146">
        <v>0</v>
      </c>
      <c r="W19" s="146">
        <v>0</v>
      </c>
      <c r="X19" s="173"/>
      <c r="Y19" s="170">
        <f t="shared" si="2"/>
        <v>-150688</v>
      </c>
      <c r="Z19" s="148">
        <f t="shared" si="3"/>
        <v>-1.3698909090909093</v>
      </c>
      <c r="AD19" s="132">
        <v>54000</v>
      </c>
    </row>
    <row r="20" spans="1:35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-3000</v>
      </c>
      <c r="V20" s="146">
        <v>0</v>
      </c>
      <c r="W20" s="146">
        <v>0</v>
      </c>
      <c r="X20" s="173"/>
      <c r="Y20" s="170">
        <f t="shared" si="2"/>
        <v>-110972</v>
      </c>
      <c r="Z20" s="148">
        <f t="shared" si="3"/>
        <v>-4.4388800000000002</v>
      </c>
      <c r="AD20" s="132">
        <v>11100</v>
      </c>
    </row>
    <row r="21" spans="1:35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  <c r="V21" s="146">
        <v>0</v>
      </c>
      <c r="W21" s="146">
        <v>0</v>
      </c>
      <c r="X21" s="173"/>
      <c r="Y21" s="170">
        <f t="shared" si="2"/>
        <v>0</v>
      </c>
      <c r="Z21" s="148">
        <f t="shared" si="3"/>
        <v>0</v>
      </c>
      <c r="AD21" s="132">
        <v>0</v>
      </c>
    </row>
    <row r="22" spans="1:35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73"/>
      <c r="Y22" s="170">
        <f t="shared" si="2"/>
        <v>0</v>
      </c>
      <c r="Z22" s="148">
        <f t="shared" si="3"/>
        <v>0</v>
      </c>
      <c r="AD22" s="132">
        <f>SUM(AD19:AD21)</f>
        <v>65100</v>
      </c>
    </row>
    <row r="23" spans="1:35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46">
        <v>-21044</v>
      </c>
      <c r="U23" s="146">
        <v>-30404</v>
      </c>
      <c r="V23" s="146">
        <v>-200</v>
      </c>
      <c r="W23" s="146">
        <v>54387</v>
      </c>
      <c r="X23" s="173"/>
      <c r="Y23" s="170">
        <f t="shared" si="2"/>
        <v>-21517</v>
      </c>
      <c r="Z23" s="148">
        <f t="shared" si="3"/>
        <v>-0.19560909090909087</v>
      </c>
    </row>
    <row r="24" spans="1:35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46">
        <v>-213001</v>
      </c>
      <c r="U24" s="146">
        <v>-102504</v>
      </c>
      <c r="V24" s="146">
        <v>-303200</v>
      </c>
      <c r="W24" s="146">
        <v>77900</v>
      </c>
      <c r="X24" s="173"/>
      <c r="Y24" s="170">
        <f t="shared" si="2"/>
        <v>-699679</v>
      </c>
      <c r="Z24" s="148">
        <f t="shared" si="3"/>
        <v>-3.0420826086956523</v>
      </c>
    </row>
    <row r="25" spans="1:35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46">
        <v>15180</v>
      </c>
      <c r="U25" s="146">
        <v>-12503</v>
      </c>
      <c r="V25" s="146">
        <v>-13000</v>
      </c>
      <c r="W25" s="146">
        <v>71400</v>
      </c>
      <c r="X25" s="173"/>
      <c r="Y25" s="170">
        <f t="shared" si="2"/>
        <v>101071</v>
      </c>
      <c r="Z25" s="148">
        <f t="shared" si="3"/>
        <v>5.0535500000000004</v>
      </c>
    </row>
    <row r="26" spans="1:35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0.5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46">
        <v>462</v>
      </c>
      <c r="U26" s="146">
        <v>-9552</v>
      </c>
      <c r="V26" s="146">
        <v>-4293</v>
      </c>
      <c r="W26" s="146">
        <v>-18145</v>
      </c>
      <c r="X26" s="173"/>
      <c r="Y26" s="170">
        <f t="shared" si="2"/>
        <v>-45804</v>
      </c>
      <c r="Z26" s="148">
        <f t="shared" si="3"/>
        <v>-0.91608000000000001</v>
      </c>
    </row>
    <row r="27" spans="1:35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46">
        <v>926000</v>
      </c>
      <c r="U27" s="146">
        <v>66500</v>
      </c>
      <c r="V27" s="146">
        <v>691000</v>
      </c>
      <c r="W27" s="146">
        <v>397000</v>
      </c>
      <c r="X27" s="173"/>
      <c r="Y27" s="170">
        <f t="shared" si="2"/>
        <v>2290800</v>
      </c>
      <c r="Z27" s="148">
        <f t="shared" si="3"/>
        <v>4.5815999999999999</v>
      </c>
    </row>
    <row r="28" spans="1:35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46">
        <v>-178800</v>
      </c>
      <c r="U28" s="146">
        <v>-1068</v>
      </c>
      <c r="V28" s="146">
        <v>0</v>
      </c>
      <c r="W28" s="146">
        <v>-162700</v>
      </c>
      <c r="X28" s="173"/>
      <c r="Y28" s="170">
        <f t="shared" si="2"/>
        <v>225891</v>
      </c>
      <c r="Z28" s="148">
        <f t="shared" si="3"/>
        <v>0.22589100000000001</v>
      </c>
    </row>
    <row r="29" spans="1:35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46">
        <v>37000</v>
      </c>
      <c r="U29" s="146">
        <v>-45489</v>
      </c>
      <c r="V29" s="146">
        <v>-13700</v>
      </c>
      <c r="W29" s="146">
        <v>-28900</v>
      </c>
      <c r="X29" s="173"/>
      <c r="Y29" s="170">
        <f t="shared" si="2"/>
        <v>-4080</v>
      </c>
      <c r="Z29" s="148">
        <f t="shared" si="3"/>
        <v>-8.1600000000000006E-2</v>
      </c>
    </row>
    <row r="30" spans="1:35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46">
        <v>0</v>
      </c>
      <c r="U30" s="146">
        <v>0</v>
      </c>
      <c r="V30" s="146">
        <v>0</v>
      </c>
      <c r="W30" s="146">
        <v>0</v>
      </c>
      <c r="X30" s="173"/>
      <c r="Y30" s="170">
        <f t="shared" si="2"/>
        <v>841174</v>
      </c>
      <c r="Z30" s="148">
        <f t="shared" si="3"/>
        <v>1.682348</v>
      </c>
    </row>
    <row r="31" spans="1:35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73"/>
      <c r="Y31" s="170">
        <f t="shared" si="2"/>
        <v>140133</v>
      </c>
      <c r="Z31" s="148">
        <f t="shared" si="3"/>
        <v>0.28026600000000002</v>
      </c>
    </row>
    <row r="32" spans="1:35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46">
        <v>99571</v>
      </c>
      <c r="U32" s="146">
        <v>-52226</v>
      </c>
      <c r="V32" s="146">
        <v>-43208</v>
      </c>
      <c r="W32" s="146">
        <v>4974</v>
      </c>
      <c r="X32" s="173"/>
      <c r="Y32" s="170">
        <f t="shared" si="2"/>
        <v>70166</v>
      </c>
      <c r="Z32" s="148">
        <f t="shared" si="3"/>
        <v>1.4033199999999999</v>
      </c>
    </row>
    <row r="33" spans="1:29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46">
        <v>34200</v>
      </c>
      <c r="U33" s="146">
        <v>-6364</v>
      </c>
      <c r="V33" s="146">
        <v>33000</v>
      </c>
      <c r="W33" s="146">
        <v>38495</v>
      </c>
      <c r="X33" s="173"/>
      <c r="Y33" s="170">
        <f t="shared" si="2"/>
        <v>340337</v>
      </c>
      <c r="Z33" s="148">
        <f t="shared" si="3"/>
        <v>8.5084250000000008</v>
      </c>
      <c r="AC33" s="133"/>
    </row>
    <row r="34" spans="1:29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46">
        <v>139300</v>
      </c>
      <c r="U34" s="146">
        <v>-42000</v>
      </c>
      <c r="V34" s="146">
        <v>44000</v>
      </c>
      <c r="W34" s="146">
        <v>16600</v>
      </c>
      <c r="X34" s="173"/>
      <c r="Y34" s="170">
        <f t="shared" si="2"/>
        <v>371505</v>
      </c>
      <c r="Z34" s="148">
        <f t="shared" si="3"/>
        <v>0.92876250000000005</v>
      </c>
      <c r="AB34" s="5"/>
      <c r="AC34" s="133">
        <v>46634</v>
      </c>
    </row>
    <row r="35" spans="1:29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46">
        <v>69566</v>
      </c>
      <c r="U35" s="146">
        <v>-45990</v>
      </c>
      <c r="V35" s="146">
        <v>-111976</v>
      </c>
      <c r="W35" s="146">
        <v>41600</v>
      </c>
      <c r="X35" s="173"/>
      <c r="Y35" s="170">
        <f t="shared" si="2"/>
        <v>-97365</v>
      </c>
      <c r="Z35" s="148">
        <f t="shared" si="3"/>
        <v>-0.97365000000000002</v>
      </c>
      <c r="AB35" s="5"/>
      <c r="AC35" s="133"/>
    </row>
    <row r="36" spans="1:29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46">
        <v>0</v>
      </c>
      <c r="U36" s="146">
        <v>0</v>
      </c>
      <c r="V36" s="146">
        <v>0</v>
      </c>
      <c r="W36" s="146">
        <v>0</v>
      </c>
      <c r="X36" s="173"/>
      <c r="Y36" s="170">
        <f t="shared" si="2"/>
        <v>0</v>
      </c>
      <c r="Z36" s="148">
        <f t="shared" si="3"/>
        <v>0</v>
      </c>
      <c r="AB36" s="133">
        <v>233083</v>
      </c>
      <c r="AC36" s="133">
        <f>(AB37+AB36)/10000000*13780</f>
        <v>706.63839999999993</v>
      </c>
    </row>
    <row r="37" spans="1:29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46">
        <v>12700</v>
      </c>
      <c r="U37" s="146">
        <v>-1126</v>
      </c>
      <c r="V37" s="146">
        <v>3835</v>
      </c>
      <c r="W37" s="146">
        <v>-6562</v>
      </c>
      <c r="X37" s="173"/>
      <c r="Y37" s="170">
        <f t="shared" si="2"/>
        <v>-24327</v>
      </c>
      <c r="Z37" s="148">
        <f t="shared" si="3"/>
        <v>-0.48653999999999997</v>
      </c>
      <c r="AB37" s="133">
        <v>279717</v>
      </c>
      <c r="AC37" s="133"/>
    </row>
    <row r="38" spans="1:29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46">
        <v>496500</v>
      </c>
      <c r="U38" s="146">
        <v>-376400</v>
      </c>
      <c r="V38" s="146">
        <v>-42428</v>
      </c>
      <c r="W38" s="146">
        <v>-219600</v>
      </c>
      <c r="X38" s="173"/>
      <c r="Y38" s="170">
        <f t="shared" si="2"/>
        <v>728571</v>
      </c>
      <c r="Z38" s="148">
        <f t="shared" si="3"/>
        <v>2.4285700000000001</v>
      </c>
      <c r="AB38" s="133"/>
      <c r="AC38" s="133">
        <f>+AC34-AC36</f>
        <v>45927.361599999997</v>
      </c>
    </row>
    <row r="39" spans="1:29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46">
        <v>-13561</v>
      </c>
      <c r="U39" s="146">
        <v>-68770</v>
      </c>
      <c r="V39" s="146">
        <v>1089</v>
      </c>
      <c r="W39" s="146">
        <v>15022</v>
      </c>
      <c r="X39" s="173"/>
      <c r="Y39" s="170">
        <f t="shared" si="2"/>
        <v>-72992</v>
      </c>
      <c r="Z39" s="148">
        <f t="shared" si="3"/>
        <v>-7.2991999999999999</v>
      </c>
      <c r="AB39" s="133"/>
      <c r="AC39" s="133"/>
    </row>
    <row r="40" spans="1:29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46">
        <v>28200</v>
      </c>
      <c r="U40" s="146">
        <v>-3870</v>
      </c>
      <c r="V40" s="146">
        <v>16400</v>
      </c>
      <c r="W40" s="146">
        <v>12700</v>
      </c>
      <c r="X40" s="173"/>
      <c r="Y40" s="170">
        <f t="shared" si="2"/>
        <v>80741</v>
      </c>
      <c r="Z40" s="148">
        <f t="shared" si="3"/>
        <v>1.6148199999999999</v>
      </c>
      <c r="AB40" s="133"/>
      <c r="AC40" s="133"/>
    </row>
    <row r="41" spans="1:29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46">
        <v>3429</v>
      </c>
      <c r="U41" s="146">
        <v>-106396</v>
      </c>
      <c r="V41" s="146">
        <v>-6386</v>
      </c>
      <c r="W41" s="146">
        <v>119000</v>
      </c>
      <c r="X41" s="173"/>
      <c r="Y41" s="170">
        <f t="shared" si="2"/>
        <v>-963743</v>
      </c>
      <c r="Z41" s="148">
        <f t="shared" si="3"/>
        <v>-9.6374300000000002</v>
      </c>
      <c r="AB41" s="133"/>
      <c r="AC41" s="133"/>
    </row>
    <row r="42" spans="1:29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46">
        <v>-6901</v>
      </c>
      <c r="U42" s="146">
        <v>19158</v>
      </c>
      <c r="V42" s="146">
        <v>-23900</v>
      </c>
      <c r="W42" s="146">
        <v>136200</v>
      </c>
      <c r="X42" s="173"/>
      <c r="Y42" s="170">
        <f t="shared" si="2"/>
        <v>495990</v>
      </c>
      <c r="Z42" s="148">
        <f t="shared" si="3"/>
        <v>9.9198000000000004</v>
      </c>
      <c r="AB42" s="133"/>
      <c r="AC42" s="133"/>
    </row>
    <row r="43" spans="1:29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0.5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46">
        <v>31000</v>
      </c>
      <c r="U43" s="146">
        <v>-57646</v>
      </c>
      <c r="V43" s="146">
        <v>-5756</v>
      </c>
      <c r="W43" s="146">
        <v>18400</v>
      </c>
      <c r="X43" s="173"/>
      <c r="Y43" s="170">
        <f t="shared" si="2"/>
        <v>-33213</v>
      </c>
      <c r="Z43" s="148">
        <f t="shared" si="3"/>
        <v>-0.66425999999999996</v>
      </c>
      <c r="AB43" s="133"/>
    </row>
    <row r="44" spans="1:29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46">
        <v>0</v>
      </c>
      <c r="U44" s="146">
        <v>-32110</v>
      </c>
      <c r="V44" s="146">
        <v>0</v>
      </c>
      <c r="W44" s="146">
        <v>0</v>
      </c>
      <c r="X44" s="173"/>
      <c r="Y44" s="170">
        <f t="shared" si="2"/>
        <v>80210</v>
      </c>
      <c r="Z44" s="148">
        <f t="shared" si="3"/>
        <v>0.20052500000000001</v>
      </c>
    </row>
    <row r="45" spans="1:29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46">
        <v>0</v>
      </c>
      <c r="U45" s="146">
        <v>0</v>
      </c>
      <c r="V45" s="146">
        <v>-3152</v>
      </c>
      <c r="W45" s="146">
        <v>-39900</v>
      </c>
      <c r="X45" s="173"/>
      <c r="Y45" s="170">
        <f t="shared" si="2"/>
        <v>8361</v>
      </c>
      <c r="Z45" s="148">
        <f t="shared" si="3"/>
        <v>2.0902500000000001E-2</v>
      </c>
    </row>
    <row r="46" spans="1:29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46">
        <v>0</v>
      </c>
      <c r="U46" s="146">
        <v>0</v>
      </c>
      <c r="V46" s="146">
        <v>0</v>
      </c>
      <c r="W46" s="146">
        <v>0</v>
      </c>
      <c r="X46" s="173"/>
      <c r="Y46" s="170">
        <f t="shared" si="2"/>
        <v>1105039</v>
      </c>
      <c r="Z46" s="148">
        <f t="shared" si="3"/>
        <v>3.6834633333333326</v>
      </c>
    </row>
    <row r="47" spans="1:29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50">
        <v>-574170</v>
      </c>
      <c r="U47" s="150">
        <v>-235720</v>
      </c>
      <c r="V47" s="150">
        <v>-57500</v>
      </c>
      <c r="W47" s="150">
        <v>-181800</v>
      </c>
      <c r="X47" s="173"/>
      <c r="Y47" s="170">
        <f t="shared" si="2"/>
        <v>-3132740</v>
      </c>
      <c r="Z47" s="148">
        <f t="shared" si="3"/>
        <v>-3.1327400000000001</v>
      </c>
    </row>
    <row r="48" spans="1:29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50">
        <v>-15000</v>
      </c>
      <c r="U48" s="150">
        <v>-33956</v>
      </c>
      <c r="V48" s="150">
        <v>0</v>
      </c>
      <c r="W48" s="150">
        <v>45927</v>
      </c>
      <c r="X48" s="173"/>
      <c r="Y48" s="170">
        <f t="shared" si="2"/>
        <v>61459</v>
      </c>
      <c r="Z48" s="148">
        <f t="shared" si="3"/>
        <v>1.2291799999999999</v>
      </c>
    </row>
    <row r="49" spans="1:30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50">
        <v>0</v>
      </c>
      <c r="U49" s="150">
        <v>0</v>
      </c>
      <c r="V49" s="150">
        <v>0</v>
      </c>
      <c r="W49" s="150">
        <v>0</v>
      </c>
      <c r="X49" s="173"/>
      <c r="Y49" s="170">
        <f t="shared" si="2"/>
        <v>369643</v>
      </c>
      <c r="Z49" s="148">
        <f t="shared" si="3"/>
        <v>0.56868153846153835</v>
      </c>
    </row>
    <row r="50" spans="1:30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50">
        <v>0</v>
      </c>
      <c r="U50" s="150">
        <v>0</v>
      </c>
      <c r="V50" s="150">
        <v>0</v>
      </c>
      <c r="W50" s="150">
        <v>0</v>
      </c>
      <c r="X50" s="173"/>
      <c r="Y50" s="170">
        <f t="shared" si="2"/>
        <v>0</v>
      </c>
      <c r="Z50" s="148">
        <f t="shared" si="3"/>
        <v>0</v>
      </c>
    </row>
    <row r="51" spans="1:30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50">
        <v>0</v>
      </c>
      <c r="U51" s="150">
        <v>0</v>
      </c>
      <c r="V51" s="150">
        <v>0</v>
      </c>
      <c r="W51" s="150">
        <v>0</v>
      </c>
      <c r="X51" s="173"/>
      <c r="Y51" s="170">
        <f t="shared" si="2"/>
        <v>311687</v>
      </c>
      <c r="Z51" s="148">
        <f t="shared" si="3"/>
        <v>1.0389566666666668</v>
      </c>
    </row>
    <row r="52" spans="1:30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50">
        <v>4335</v>
      </c>
      <c r="U52" s="150">
        <v>-710</v>
      </c>
      <c r="V52" s="150">
        <v>0</v>
      </c>
      <c r="W52" s="150">
        <v>13000</v>
      </c>
      <c r="X52" s="173"/>
      <c r="Y52" s="170">
        <f t="shared" si="2"/>
        <v>30634</v>
      </c>
      <c r="Z52" s="148">
        <f t="shared" si="3"/>
        <v>0.30634</v>
      </c>
    </row>
    <row r="53" spans="1:30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50">
        <v>23800</v>
      </c>
      <c r="U53" s="150">
        <v>8960</v>
      </c>
      <c r="V53" s="150">
        <v>-11500</v>
      </c>
      <c r="W53" s="150">
        <v>94734</v>
      </c>
      <c r="X53" s="173"/>
      <c r="Y53" s="170">
        <f t="shared" si="2"/>
        <v>881323</v>
      </c>
      <c r="Z53" s="148">
        <f t="shared" si="3"/>
        <v>0.88132299999999997</v>
      </c>
    </row>
    <row r="54" spans="1:30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W54" si="4">SUM(H4:H53)</f>
        <v>38252</v>
      </c>
      <c r="I54" s="253">
        <f t="shared" si="4"/>
        <v>-1490903</v>
      </c>
      <c r="J54" s="253">
        <f t="shared" si="4"/>
        <v>2756338</v>
      </c>
      <c r="K54" s="253">
        <f t="shared" si="4"/>
        <v>-39084</v>
      </c>
      <c r="L54" s="253">
        <f t="shared" si="4"/>
        <v>-31777</v>
      </c>
      <c r="M54" s="253">
        <f t="shared" si="4"/>
        <v>885698</v>
      </c>
      <c r="N54" s="253">
        <f t="shared" si="4"/>
        <v>913308</v>
      </c>
      <c r="O54" s="253">
        <f t="shared" si="4"/>
        <v>1998954</v>
      </c>
      <c r="P54" s="253">
        <f t="shared" si="4"/>
        <v>-200803</v>
      </c>
      <c r="Q54" s="253">
        <f t="shared" si="4"/>
        <v>499755</v>
      </c>
      <c r="R54" s="253">
        <f t="shared" si="4"/>
        <v>1063967</v>
      </c>
      <c r="S54" s="253">
        <f t="shared" si="4"/>
        <v>-618758</v>
      </c>
      <c r="T54" s="253">
        <f t="shared" si="4"/>
        <v>1955256</v>
      </c>
      <c r="U54" s="253">
        <f t="shared" si="4"/>
        <v>-2293712</v>
      </c>
      <c r="V54" s="253">
        <f t="shared" si="4"/>
        <v>760771</v>
      </c>
      <c r="W54" s="253">
        <f t="shared" si="4"/>
        <v>584177</v>
      </c>
      <c r="X54" s="253">
        <f>SUM(X4:X53)</f>
        <v>0</v>
      </c>
      <c r="Y54" s="253">
        <f>SUM(H54:X54)</f>
        <v>6781439</v>
      </c>
      <c r="Z54" s="254">
        <f t="shared" ref="Z54" si="5">IFERROR(Y54/F54*100,0)/10000000</f>
        <v>0</v>
      </c>
    </row>
    <row r="55" spans="1:30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51"/>
    </row>
    <row r="56" spans="1:30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161">
        <v>0</v>
      </c>
      <c r="U56" s="161">
        <v>28400</v>
      </c>
      <c r="V56" s="161">
        <v>550</v>
      </c>
      <c r="W56" s="161">
        <v>0</v>
      </c>
      <c r="X56" s="245"/>
      <c r="Y56" s="246">
        <f>SUM(H56:X56)</f>
        <v>28620</v>
      </c>
      <c r="Z56" s="247">
        <f>IFERROR(Y56/F56*100,0)/10000000</f>
        <v>9.5399999999999999E-2</v>
      </c>
    </row>
    <row r="57" spans="1:30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61">
        <v>0</v>
      </c>
      <c r="U57" s="161">
        <v>0</v>
      </c>
      <c r="V57" s="161">
        <v>0</v>
      </c>
      <c r="W57" s="161">
        <v>24300</v>
      </c>
      <c r="X57" s="173"/>
      <c r="Y57" s="170">
        <f>SUM(H57:X57)</f>
        <v>-213294</v>
      </c>
      <c r="Z57" s="148">
        <f>IFERROR(Y57/F57*100,0)/10000000</f>
        <v>0</v>
      </c>
    </row>
    <row r="58" spans="1:30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>
        <v>0</v>
      </c>
      <c r="T58" s="161">
        <v>0</v>
      </c>
      <c r="U58" s="161">
        <v>0</v>
      </c>
      <c r="V58" s="161">
        <v>0</v>
      </c>
      <c r="W58" s="161">
        <v>0</v>
      </c>
      <c r="X58" s="161"/>
      <c r="Y58" s="257"/>
      <c r="Z58" s="258"/>
    </row>
    <row r="59" spans="1:30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>
        <v>-58780</v>
      </c>
      <c r="T59" s="161">
        <v>40700</v>
      </c>
      <c r="U59" s="161">
        <v>-150481</v>
      </c>
      <c r="V59" s="161">
        <v>3939</v>
      </c>
      <c r="W59" s="161">
        <v>1600</v>
      </c>
      <c r="X59" s="161"/>
      <c r="Y59" s="257"/>
      <c r="Z59" s="258"/>
    </row>
    <row r="60" spans="1:30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S60" si="6">SUM(H56:H57)</f>
        <v>5771</v>
      </c>
      <c r="I60" s="169">
        <f t="shared" si="6"/>
        <v>-81800</v>
      </c>
      <c r="J60" s="169">
        <f t="shared" si="6"/>
        <v>309555</v>
      </c>
      <c r="K60" s="169">
        <f t="shared" si="6"/>
        <v>15600</v>
      </c>
      <c r="L60" s="169">
        <f t="shared" si="6"/>
        <v>149000</v>
      </c>
      <c r="M60" s="169">
        <f t="shared" si="6"/>
        <v>-9023</v>
      </c>
      <c r="N60" s="169">
        <f t="shared" si="6"/>
        <v>-50</v>
      </c>
      <c r="O60" s="169">
        <f t="shared" si="6"/>
        <v>-458665</v>
      </c>
      <c r="P60" s="169">
        <f t="shared" si="6"/>
        <v>-608</v>
      </c>
      <c r="Q60" s="169">
        <f t="shared" si="6"/>
        <v>-184264</v>
      </c>
      <c r="R60" s="169">
        <f t="shared" si="6"/>
        <v>789</v>
      </c>
      <c r="S60" s="169">
        <f t="shared" si="6"/>
        <v>15771</v>
      </c>
      <c r="T60" s="169">
        <f>SUM(T56:T59)</f>
        <v>40700</v>
      </c>
      <c r="U60" s="169">
        <f>SUM(U56:U59)</f>
        <v>-122081</v>
      </c>
      <c r="V60" s="169">
        <f>SUM(V56:V59)</f>
        <v>4489</v>
      </c>
      <c r="W60" s="169">
        <f>SUM(W56:W59)</f>
        <v>25900</v>
      </c>
      <c r="X60" s="169">
        <f>SUM(X56:X57)</f>
        <v>0</v>
      </c>
      <c r="Y60" s="256">
        <f>SUM(H60:X60)</f>
        <v>-288916</v>
      </c>
      <c r="Z60" s="172"/>
    </row>
    <row r="61" spans="1:30" x14ac:dyDescent="0.25">
      <c r="AC61" s="133"/>
    </row>
    <row r="62" spans="1:30" x14ac:dyDescent="0.25">
      <c r="AB62" s="133"/>
    </row>
    <row r="63" spans="1:30" x14ac:dyDescent="0.25">
      <c r="AB63" s="5"/>
      <c r="AC63" s="133"/>
      <c r="AD63" s="236"/>
    </row>
    <row r="64" spans="1:30" x14ac:dyDescent="0.25">
      <c r="AB64" s="133"/>
      <c r="AC64" s="133"/>
      <c r="AD64" s="236"/>
    </row>
    <row r="65" spans="28:30" x14ac:dyDescent="0.25">
      <c r="AB65" s="133"/>
      <c r="AC65" s="133"/>
      <c r="AD65" s="236"/>
    </row>
    <row r="66" spans="28:30" x14ac:dyDescent="0.25">
      <c r="AB66" s="133"/>
      <c r="AC66" s="133"/>
      <c r="AD66" s="236"/>
    </row>
    <row r="67" spans="28:30" x14ac:dyDescent="0.25">
      <c r="AB67" s="133"/>
      <c r="AC67" s="133"/>
      <c r="AD67" s="236"/>
    </row>
    <row r="68" spans="28:30" x14ac:dyDescent="0.25">
      <c r="AB68" s="133"/>
      <c r="AC68" s="236"/>
      <c r="AD68" s="236"/>
    </row>
    <row r="69" spans="28:30" x14ac:dyDescent="0.25">
      <c r="AB69" s="236"/>
      <c r="AC69" s="236"/>
      <c r="AD69" s="236"/>
    </row>
  </sheetData>
  <conditionalFormatting sqref="G2 A3:G3 Z54:Z55 Z60 H2:Z3 G38:X38 A4:X37 A56:Z59 A39:X54 A60:X60">
    <cfRule type="expression" dxfId="537" priority="18">
      <formula>MOD(ROW(),2)=0</formula>
    </cfRule>
  </conditionalFormatting>
  <conditionalFormatting sqref="Y4:Z53">
    <cfRule type="expression" dxfId="536" priority="15">
      <formula>MOD(ROW(),2)=0</formula>
    </cfRule>
  </conditionalFormatting>
  <conditionalFormatting sqref="Y54">
    <cfRule type="expression" dxfId="535" priority="12">
      <formula>MOD(ROW(),2)=0</formula>
    </cfRule>
  </conditionalFormatting>
  <conditionalFormatting sqref="Y60">
    <cfRule type="expression" dxfId="534" priority="7">
      <formula>MOD(ROW(),2)=0</formula>
    </cfRule>
  </conditionalFormatting>
  <conditionalFormatting sqref="A38:F38">
    <cfRule type="expression" dxfId="53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1"/>
  <sheetViews>
    <sheetView topLeftCell="A31" workbookViewId="0">
      <selection activeCell="G55" sqref="G55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IFERROR(VLOOKUP($A$3:$A$116,'OCT-2026'!$A$4:$ADH$120,MATCH('FY-(26-27)Q3'!$G$2:$H$2,'OCT-2026'!$A$2:$DI$2,0),0),0)</f>
        <v>123203</v>
      </c>
      <c r="H4" s="154">
        <f>IFERROR(VLOOKUP($A$3:$A$116,'OCT-2026'!$A$4:$ADH$120,MATCH('FY-(26-27)Q3'!$G$2:$H$2,'OCT-2026'!$A$2:$DI$2,0),0),0)</f>
        <v>2.4640599999999999</v>
      </c>
      <c r="I4" s="152">
        <f>IFERROR(VLOOKUP($A$3:$A$116,'[1]NOV-2026'!$A$4:$ADL$124,MATCH('FY-(26-27)Q3'!$I$2:$J$2,'[1]NOV-2026'!$A$2:$DM$2,0),0),0)</f>
        <v>0</v>
      </c>
      <c r="J4" s="154">
        <f>IFERROR(VLOOKUP($A$3:$A$116,'[1]NOV-2026'!$A$4:$ADL$124,MATCH('FY-(26-27)Q3'!$I$2:$J$2,'[1]NOV-2026'!$A$2:$DM$2,0),0),0)</f>
        <v>0</v>
      </c>
      <c r="K4" s="152">
        <f>IFERROR(VLOOKUP($A$3:$A$116,'[2]DEC-2026'!$A$4:$AEE$125,MATCH('FY-(26-27)Q3'!$K$2:$L$2,'[2]DEC-2026'!$A$2:$EF$2,0),0),0)</f>
        <v>0</v>
      </c>
      <c r="L4" s="154">
        <f>IFERROR(VLOOKUP($A$3:$A$116,'[2]DEC-2026'!$A$4:$AEE$125,MATCH('FY-(26-27)Q3'!$K$2:$L$2,'[2]DEC-2026'!$A$2:$EF$2,0),0),0)</f>
        <v>0</v>
      </c>
      <c r="M4" s="71">
        <f t="shared" ref="M4:N52" si="0">G4+I4+K4</f>
        <v>123203</v>
      </c>
      <c r="N4" s="165">
        <f t="shared" si="0"/>
        <v>2.4640599999999999</v>
      </c>
    </row>
    <row r="5" spans="1:14" x14ac:dyDescent="0.25">
      <c r="A5" s="141" t="s">
        <v>343</v>
      </c>
      <c r="B5" s="140" t="s">
        <v>341</v>
      </c>
      <c r="C5" s="140" t="s">
        <v>345</v>
      </c>
      <c r="D5" s="38" t="s">
        <v>138</v>
      </c>
      <c r="E5" s="38" t="s">
        <v>256</v>
      </c>
      <c r="F5" s="155">
        <v>3.5</v>
      </c>
      <c r="G5" s="152">
        <f>IFERROR(VLOOKUP($A$3:$A$116,'OCT-2026'!$A$4:$ADH$120,MATCH('FY-(26-27)Q3'!$G$2:$H$2,'OCT-2026'!$A$2:$DI$2,0),0),0)</f>
        <v>380973</v>
      </c>
      <c r="H5" s="154">
        <f>IFERROR(VLOOKUP($A$3:$A$116,'OCT-2026'!$A$4:$ADH$120,MATCH('FY-(26-27)Q3'!$G$2:$H$2,'OCT-2026'!$A$2:$DI$2,0),0),0)</f>
        <v>1.2699100000000001</v>
      </c>
      <c r="I5" s="152">
        <f>IFERROR(VLOOKUP($A$3:$A$116,'[1]NOV-2026'!$A$4:$ADL$124,MATCH('FY-(26-27)Q3'!$I$2:$J$2,'[1]NOV-2026'!$A$2:$DM$2,0),0),0)</f>
        <v>0</v>
      </c>
      <c r="J5" s="154">
        <f>IFERROR(VLOOKUP($A$3:$A$116,'[1]NOV-2026'!$A$4:$ADL$124,MATCH('FY-(26-27)Q3'!$I$2:$J$2,'[1]NOV-2026'!$A$2:$DM$2,0),0),0)</f>
        <v>0</v>
      </c>
      <c r="K5" s="152">
        <f>IFERROR(VLOOKUP($A$3:$A$116,'[2]DEC-2026'!$A$4:$AEE$125,MATCH('FY-(26-27)Q3'!$K$2:$L$2,'[2]DEC-2026'!$A$2:$EF$2,0),0),0)</f>
        <v>0</v>
      </c>
      <c r="L5" s="154">
        <f>IFERROR(VLOOKUP($A$3:$A$116,'[2]DEC-2026'!$A$4:$AEE$125,MATCH('FY-(26-27)Q3'!$K$2:$L$2,'[2]DEC-2026'!$A$2:$EF$2,0),0),0)</f>
        <v>0</v>
      </c>
      <c r="M5" s="71">
        <f t="shared" si="0"/>
        <v>380973</v>
      </c>
      <c r="N5" s="165">
        <f t="shared" si="0"/>
        <v>1.2699100000000001</v>
      </c>
    </row>
    <row r="6" spans="1:14" x14ac:dyDescent="0.25">
      <c r="A6" s="141" t="s">
        <v>344</v>
      </c>
      <c r="B6" s="140" t="s">
        <v>341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IFERROR(VLOOKUP($A$3:$A$116,'OCT-2026'!$A$4:$ADH$120,MATCH('FY-(26-27)Q3'!$G$2:$H$2,'OCT-2026'!$A$2:$DI$2,0),0),0)</f>
        <v>252087</v>
      </c>
      <c r="H6" s="154">
        <f>IFERROR(VLOOKUP($A$3:$A$116,'OCT-2026'!$A$4:$ADH$120,MATCH('FY-(26-27)Q3'!$G$2:$H$2,'OCT-2026'!$A$2:$DI$2,0),0),0)</f>
        <v>2.5208699999999999</v>
      </c>
      <c r="I6" s="152">
        <f>IFERROR(VLOOKUP($A$3:$A$116,'[1]NOV-2026'!$A$4:$ADL$124,MATCH('FY-(26-27)Q3'!$I$2:$J$2,'[1]NOV-2026'!$A$2:$DM$2,0),0),0)</f>
        <v>0</v>
      </c>
      <c r="J6" s="154">
        <f>IFERROR(VLOOKUP($A$3:$A$116,'[1]NOV-2026'!$A$4:$ADL$124,MATCH('FY-(26-27)Q3'!$I$2:$J$2,'[1]NOV-2026'!$A$2:$DM$2,0),0),0)</f>
        <v>0</v>
      </c>
      <c r="K6" s="152">
        <f>IFERROR(VLOOKUP($A$3:$A$116,'[2]DEC-2026'!$A$4:$AEE$125,MATCH('FY-(26-27)Q3'!$K$2:$L$2,'[2]DEC-2026'!$A$2:$EF$2,0),0),0)</f>
        <v>0</v>
      </c>
      <c r="L6" s="154">
        <f>IFERROR(VLOOKUP($A$3:$A$116,'[2]DEC-2026'!$A$4:$AEE$125,MATCH('FY-(26-27)Q3'!$K$2:$L$2,'[2]DEC-2026'!$A$2:$EF$2,0),0),0)</f>
        <v>0</v>
      </c>
      <c r="M6" s="71">
        <f t="shared" si="0"/>
        <v>252087</v>
      </c>
      <c r="N6" s="165">
        <f t="shared" si="0"/>
        <v>2.5208699999999999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IFERROR(VLOOKUP($A$3:$A$116,'OCT-2026'!$A$4:$ADH$120,MATCH('FY-(26-27)Q3'!$G$2:$H$2,'OCT-2026'!$A$2:$DI$2,0),0),0)</f>
        <v>-8360</v>
      </c>
      <c r="H7" s="154">
        <f>IFERROR(VLOOKUP($A$3:$A$116,'OCT-2026'!$A$4:$ADH$120,MATCH('FY-(26-27)Q3'!$G$2:$H$2,'OCT-2026'!$A$2:$DI$2,0),0),0)</f>
        <v>-2.7866666666666661E-2</v>
      </c>
      <c r="I7" s="152">
        <f>IFERROR(VLOOKUP($A$3:$A$116,'[1]NOV-2026'!$A$4:$ADL$124,MATCH('FY-(26-27)Q3'!$I$2:$J$2,'[1]NOV-2026'!$A$2:$DM$2,0),0),0)</f>
        <v>0</v>
      </c>
      <c r="J7" s="154">
        <f>IFERROR(VLOOKUP($A$3:$A$116,'[1]NOV-2026'!$A$4:$ADL$124,MATCH('FY-(26-27)Q3'!$I$2:$J$2,'[1]NOV-2026'!$A$2:$DM$2,0),0),0)</f>
        <v>0</v>
      </c>
      <c r="K7" s="152">
        <f>IFERROR(VLOOKUP($A$3:$A$116,'[2]DEC-2026'!$A$4:$AEE$125,MATCH('FY-(26-27)Q3'!$K$2:$L$2,'[2]DEC-2026'!$A$2:$EF$2,0),0),0)</f>
        <v>0</v>
      </c>
      <c r="L7" s="154">
        <f>IFERROR(VLOOKUP($A$3:$A$116,'[2]DEC-2026'!$A$4:$AEE$125,MATCH('FY-(26-27)Q3'!$K$2:$L$2,'[2]DEC-2026'!$A$2:$EF$2,0),0),0)</f>
        <v>0</v>
      </c>
      <c r="M7" s="71">
        <f t="shared" si="0"/>
        <v>-8360</v>
      </c>
      <c r="N7" s="165">
        <f t="shared" si="0"/>
        <v>-2.7866666666666661E-2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IFERROR(VLOOKUP($A$3:$A$116,'OCT-2026'!$A$4:$ADH$120,MATCH('FY-(26-27)Q3'!$G$2:$H$2,'OCT-2026'!$A$2:$DI$2,0),0),0)</f>
        <v>255986</v>
      </c>
      <c r="H8" s="154">
        <f>IFERROR(VLOOKUP($A$3:$A$116,'OCT-2026'!$A$4:$ADH$120,MATCH('FY-(26-27)Q3'!$G$2:$H$2,'OCT-2026'!$A$2:$DI$2,0),0),0)</f>
        <v>1.7065733333333335</v>
      </c>
      <c r="I8" s="152">
        <f>IFERROR(VLOOKUP($A$3:$A$116,'[1]NOV-2026'!$A$4:$ADL$124,MATCH('FY-(26-27)Q3'!$I$2:$J$2,'[1]NOV-2026'!$A$2:$DM$2,0),0),0)</f>
        <v>0</v>
      </c>
      <c r="J8" s="154">
        <f>IFERROR(VLOOKUP($A$3:$A$116,'[1]NOV-2026'!$A$4:$ADL$124,MATCH('FY-(26-27)Q3'!$I$2:$J$2,'[1]NOV-2026'!$A$2:$DM$2,0),0),0)</f>
        <v>0</v>
      </c>
      <c r="K8" s="152">
        <f>IFERROR(VLOOKUP($A$3:$A$116,'[2]DEC-2026'!$A$4:$AEE$125,MATCH('FY-(26-27)Q3'!$K$2:$L$2,'[2]DEC-2026'!$A$2:$EF$2,0),0),0)</f>
        <v>0</v>
      </c>
      <c r="L8" s="154">
        <f>IFERROR(VLOOKUP($A$3:$A$116,'[2]DEC-2026'!$A$4:$AEE$125,MATCH('FY-(26-27)Q3'!$K$2:$L$2,'[2]DEC-2026'!$A$2:$EF$2,0),0),0)</f>
        <v>0</v>
      </c>
      <c r="M8" s="71">
        <f t="shared" si="0"/>
        <v>255986</v>
      </c>
      <c r="N8" s="165">
        <f t="shared" si="0"/>
        <v>1.7065733333333335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IFERROR(VLOOKUP($A$3:$A$116,'OCT-2026'!$A$4:$ADH$120,MATCH('FY-(26-27)Q3'!$G$2:$H$2,'OCT-2026'!$A$2:$DI$2,0),0),0)</f>
        <v>213427</v>
      </c>
      <c r="H9" s="154">
        <f>IFERROR(VLOOKUP($A$3:$A$116,'OCT-2026'!$A$4:$ADH$120,MATCH('FY-(26-27)Q3'!$G$2:$H$2,'OCT-2026'!$A$2:$DI$2,0),0),0)</f>
        <v>3.5571166666666674</v>
      </c>
      <c r="I9" s="152">
        <f>IFERROR(VLOOKUP($A$3:$A$116,'[1]NOV-2026'!$A$4:$ADL$124,MATCH('FY-(26-27)Q3'!$I$2:$J$2,'[1]NOV-2026'!$A$2:$DM$2,0),0),0)</f>
        <v>0</v>
      </c>
      <c r="J9" s="154">
        <f>IFERROR(VLOOKUP($A$3:$A$116,'[1]NOV-2026'!$A$4:$ADL$124,MATCH('FY-(26-27)Q3'!$I$2:$J$2,'[1]NOV-2026'!$A$2:$DM$2,0),0),0)</f>
        <v>0</v>
      </c>
      <c r="K9" s="152">
        <f>IFERROR(VLOOKUP($A$3:$A$116,'[2]DEC-2026'!$A$4:$AEE$125,MATCH('FY-(26-27)Q3'!$K$2:$L$2,'[2]DEC-2026'!$A$2:$EF$2,0),0),0)</f>
        <v>0</v>
      </c>
      <c r="L9" s="154">
        <f>IFERROR(VLOOKUP($A$3:$A$116,'[2]DEC-2026'!$A$4:$AEE$125,MATCH('FY-(26-27)Q3'!$K$2:$L$2,'[2]DEC-2026'!$A$2:$EF$2,0),0),0)</f>
        <v>0</v>
      </c>
      <c r="M9" s="71">
        <f t="shared" si="0"/>
        <v>213427</v>
      </c>
      <c r="N9" s="165">
        <f t="shared" si="0"/>
        <v>3.5571166666666674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IFERROR(VLOOKUP($A$3:$A$116,'OCT-2026'!$A$4:$ADH$120,MATCH('FY-(26-27)Q3'!$G$2:$H$2,'OCT-2026'!$A$2:$DI$2,0),0),0)</f>
        <v>-87379</v>
      </c>
      <c r="H10" s="154">
        <f>IFERROR(VLOOKUP($A$3:$A$116,'OCT-2026'!$A$4:$ADH$120,MATCH('FY-(26-27)Q3'!$G$2:$H$2,'OCT-2026'!$A$2:$DI$2,0),0),0)</f>
        <v>-5.8252666666666661E-2</v>
      </c>
      <c r="I10" s="152">
        <f>IFERROR(VLOOKUP($A$3:$A$116,'[1]NOV-2026'!$A$4:$ADL$124,MATCH('FY-(26-27)Q3'!$I$2:$J$2,'[1]NOV-2026'!$A$2:$DM$2,0),0),0)</f>
        <v>0</v>
      </c>
      <c r="J10" s="154">
        <f>IFERROR(VLOOKUP($A$3:$A$116,'[1]NOV-2026'!$A$4:$ADL$124,MATCH('FY-(26-27)Q3'!$I$2:$J$2,'[1]NOV-2026'!$A$2:$DM$2,0),0),0)</f>
        <v>0</v>
      </c>
      <c r="K10" s="152">
        <f>IFERROR(VLOOKUP($A$3:$A$116,'[2]DEC-2026'!$A$4:$AEE$125,MATCH('FY-(26-27)Q3'!$K$2:$L$2,'[2]DEC-2026'!$A$2:$EF$2,0),0),0)</f>
        <v>0</v>
      </c>
      <c r="L10" s="154">
        <f>IFERROR(VLOOKUP($A$3:$A$116,'[2]DEC-2026'!$A$4:$AEE$125,MATCH('FY-(26-27)Q3'!$K$2:$L$2,'[2]DEC-2026'!$A$2:$EF$2,0),0),0)</f>
        <v>0</v>
      </c>
      <c r="M10" s="71">
        <f t="shared" si="0"/>
        <v>-87379</v>
      </c>
      <c r="N10" s="165">
        <f t="shared" si="0"/>
        <v>-5.8252666666666661E-2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IFERROR(VLOOKUP($A$3:$A$116,'OCT-2026'!$A$4:$ADH$120,MATCH('FY-(26-27)Q3'!$G$2:$H$2,'OCT-2026'!$A$2:$DI$2,0),0),0)</f>
        <v>385774</v>
      </c>
      <c r="H11" s="154">
        <f>IFERROR(VLOOKUP($A$3:$A$116,'OCT-2026'!$A$4:$ADH$120,MATCH('FY-(26-27)Q3'!$G$2:$H$2,'OCT-2026'!$A$2:$DI$2,0),0),0)</f>
        <v>0.64295666666666662</v>
      </c>
      <c r="I11" s="152">
        <f>IFERROR(VLOOKUP($A$3:$A$116,'[1]NOV-2026'!$A$4:$ADL$124,MATCH('FY-(26-27)Q3'!$I$2:$J$2,'[1]NOV-2026'!$A$2:$DM$2,0),0),0)</f>
        <v>0</v>
      </c>
      <c r="J11" s="154">
        <f>IFERROR(VLOOKUP($A$3:$A$116,'[1]NOV-2026'!$A$4:$ADL$124,MATCH('FY-(26-27)Q3'!$I$2:$J$2,'[1]NOV-2026'!$A$2:$DM$2,0),0),0)</f>
        <v>0</v>
      </c>
      <c r="K11" s="152">
        <f>IFERROR(VLOOKUP($A$3:$A$116,'[2]DEC-2026'!$A$4:$AEE$125,MATCH('FY-(26-27)Q3'!$K$2:$L$2,'[2]DEC-2026'!$A$2:$EF$2,0),0),0)</f>
        <v>0</v>
      </c>
      <c r="L11" s="154">
        <f>IFERROR(VLOOKUP($A$3:$A$116,'[2]DEC-2026'!$A$4:$AEE$125,MATCH('FY-(26-27)Q3'!$K$2:$L$2,'[2]DEC-2026'!$A$2:$EF$2,0),0),0)</f>
        <v>0</v>
      </c>
      <c r="M11" s="71">
        <f t="shared" si="0"/>
        <v>385774</v>
      </c>
      <c r="N11" s="165">
        <f t="shared" si="0"/>
        <v>0.64295666666666662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IFERROR(VLOOKUP($A$3:$A$116,'OCT-2026'!$A$4:$ADH$120,MATCH('FY-(26-27)Q3'!$G$2:$H$2,'OCT-2026'!$A$2:$DI$2,0),0),0)</f>
        <v>-12535</v>
      </c>
      <c r="H12" s="154">
        <f>IFERROR(VLOOKUP($A$3:$A$116,'OCT-2026'!$A$4:$ADH$120,MATCH('FY-(26-27)Q3'!$G$2:$H$2,'OCT-2026'!$A$2:$DI$2,0),0),0)</f>
        <v>-0.12534999999999999</v>
      </c>
      <c r="I12" s="152">
        <f>IFERROR(VLOOKUP($A$3:$A$116,'[1]NOV-2026'!$A$4:$ADL$124,MATCH('FY-(26-27)Q3'!$I$2:$J$2,'[1]NOV-2026'!$A$2:$DM$2,0),0),0)</f>
        <v>0</v>
      </c>
      <c r="J12" s="154">
        <f>IFERROR(VLOOKUP($A$3:$A$116,'[1]NOV-2026'!$A$4:$ADL$124,MATCH('FY-(26-27)Q3'!$I$2:$J$2,'[1]NOV-2026'!$A$2:$DM$2,0),0),0)</f>
        <v>0</v>
      </c>
      <c r="K12" s="152">
        <f>IFERROR(VLOOKUP($A$3:$A$116,'[2]DEC-2026'!$A$4:$AEE$125,MATCH('FY-(26-27)Q3'!$K$2:$L$2,'[2]DEC-2026'!$A$2:$EF$2,0),0),0)</f>
        <v>0</v>
      </c>
      <c r="L12" s="154">
        <f>IFERROR(VLOOKUP($A$3:$A$116,'[2]DEC-2026'!$A$4:$AEE$125,MATCH('FY-(26-27)Q3'!$K$2:$L$2,'[2]DEC-2026'!$A$2:$EF$2,0),0),0)</f>
        <v>0</v>
      </c>
      <c r="M12" s="71">
        <f t="shared" si="0"/>
        <v>-12535</v>
      </c>
      <c r="N12" s="165">
        <f t="shared" si="0"/>
        <v>-0.12534999999999999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IFERROR(VLOOKUP($A$3:$A$116,'OCT-2026'!$A$4:$ADH$120,MATCH('FY-(26-27)Q3'!$G$2:$H$2,'OCT-2026'!$A$2:$DI$2,0),0),0)</f>
        <v>106535</v>
      </c>
      <c r="H13" s="154">
        <f>IFERROR(VLOOKUP($A$3:$A$116,'OCT-2026'!$A$4:$ADH$120,MATCH('FY-(26-27)Q3'!$G$2:$H$2,'OCT-2026'!$A$2:$DI$2,0),0),0)</f>
        <v>0.42614000000000002</v>
      </c>
      <c r="I13" s="152">
        <f>IFERROR(VLOOKUP($A$3:$A$116,'[1]NOV-2026'!$A$4:$ADL$124,MATCH('FY-(26-27)Q3'!$I$2:$J$2,'[1]NOV-2026'!$A$2:$DM$2,0),0),0)</f>
        <v>0</v>
      </c>
      <c r="J13" s="154">
        <f>IFERROR(VLOOKUP($A$3:$A$116,'[1]NOV-2026'!$A$4:$ADL$124,MATCH('FY-(26-27)Q3'!$I$2:$J$2,'[1]NOV-2026'!$A$2:$DM$2,0),0),0)</f>
        <v>0</v>
      </c>
      <c r="K13" s="152">
        <f>IFERROR(VLOOKUP($A$3:$A$116,'[2]DEC-2026'!$A$4:$AEE$125,MATCH('FY-(26-27)Q3'!$K$2:$L$2,'[2]DEC-2026'!$A$2:$EF$2,0),0),0)</f>
        <v>0</v>
      </c>
      <c r="L13" s="154">
        <f>IFERROR(VLOOKUP($A$3:$A$116,'[2]DEC-2026'!$A$4:$AEE$125,MATCH('FY-(26-27)Q3'!$K$2:$L$2,'[2]DEC-2026'!$A$2:$EF$2,0),0),0)</f>
        <v>0</v>
      </c>
      <c r="M13" s="71">
        <f t="shared" si="0"/>
        <v>106535</v>
      </c>
      <c r="N13" s="165">
        <f t="shared" si="0"/>
        <v>0.42614000000000002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IFERROR(VLOOKUP($A$3:$A$116,'OCT-2026'!$A$4:$ADH$120,MATCH('FY-(26-27)Q3'!$G$2:$H$2,'OCT-2026'!$A$2:$DI$2,0),0),0)</f>
        <v>-30633</v>
      </c>
      <c r="H14" s="154">
        <f>IFERROR(VLOOKUP($A$3:$A$116,'OCT-2026'!$A$4:$ADH$120,MATCH('FY-(26-27)Q3'!$G$2:$H$2,'OCT-2026'!$A$2:$DI$2,0),0),0)</f>
        <v>-0.30632999999999999</v>
      </c>
      <c r="I14" s="152">
        <f>IFERROR(VLOOKUP($A$3:$A$116,'[1]NOV-2026'!$A$4:$ADL$124,MATCH('FY-(26-27)Q3'!$I$2:$J$2,'[1]NOV-2026'!$A$2:$DM$2,0),0),0)</f>
        <v>0</v>
      </c>
      <c r="J14" s="154">
        <f>IFERROR(VLOOKUP($A$3:$A$116,'[1]NOV-2026'!$A$4:$ADL$124,MATCH('FY-(26-27)Q3'!$I$2:$J$2,'[1]NOV-2026'!$A$2:$DM$2,0),0),0)</f>
        <v>0</v>
      </c>
      <c r="K14" s="152">
        <f>IFERROR(VLOOKUP($A$3:$A$116,'[2]DEC-2026'!$A$4:$AEE$125,MATCH('FY-(26-27)Q3'!$K$2:$L$2,'[2]DEC-2026'!$A$2:$EF$2,0),0),0)</f>
        <v>0</v>
      </c>
      <c r="L14" s="154">
        <f>IFERROR(VLOOKUP($A$3:$A$116,'[2]DEC-2026'!$A$4:$AEE$125,MATCH('FY-(26-27)Q3'!$K$2:$L$2,'[2]DEC-2026'!$A$2:$EF$2,0),0),0)</f>
        <v>0</v>
      </c>
      <c r="M14" s="71">
        <f t="shared" si="0"/>
        <v>-30633</v>
      </c>
      <c r="N14" s="165">
        <f t="shared" si="0"/>
        <v>-0.30632999999999999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IFERROR(VLOOKUP($A$3:$A$116,'OCT-2026'!$A$4:$ADH$120,MATCH('FY-(26-27)Q3'!$G$2:$H$2,'OCT-2026'!$A$2:$DI$2,0),0),0)</f>
        <v>139118</v>
      </c>
      <c r="H15" s="154">
        <f>IFERROR(VLOOKUP($A$3:$A$116,'OCT-2026'!$A$4:$ADH$120,MATCH('FY-(26-27)Q3'!$G$2:$H$2,'OCT-2026'!$A$2:$DI$2,0),0),0)</f>
        <v>0.63235454545454539</v>
      </c>
      <c r="I15" s="152">
        <f>IFERROR(VLOOKUP($A$3:$A$116,'[1]NOV-2026'!$A$4:$ADL$124,MATCH('FY-(26-27)Q3'!$I$2:$J$2,'[1]NOV-2026'!$A$2:$DM$2,0),0),0)</f>
        <v>0</v>
      </c>
      <c r="J15" s="154">
        <f>IFERROR(VLOOKUP($A$3:$A$116,'[1]NOV-2026'!$A$4:$ADL$124,MATCH('FY-(26-27)Q3'!$I$2:$J$2,'[1]NOV-2026'!$A$2:$DM$2,0),0),0)</f>
        <v>0</v>
      </c>
      <c r="K15" s="152">
        <f>IFERROR(VLOOKUP($A$3:$A$116,'[2]DEC-2026'!$A$4:$AEE$125,MATCH('FY-(26-27)Q3'!$K$2:$L$2,'[2]DEC-2026'!$A$2:$EF$2,0),0),0)</f>
        <v>0</v>
      </c>
      <c r="L15" s="154">
        <f>IFERROR(VLOOKUP($A$3:$A$116,'[2]DEC-2026'!$A$4:$AEE$125,MATCH('FY-(26-27)Q3'!$K$2:$L$2,'[2]DEC-2026'!$A$2:$EF$2,0),0),0)</f>
        <v>0</v>
      </c>
      <c r="M15" s="71">
        <f t="shared" si="0"/>
        <v>139118</v>
      </c>
      <c r="N15" s="165">
        <f t="shared" si="0"/>
        <v>0.63235454545454539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IFERROR(VLOOKUP($A$3:$A$116,'OCT-2026'!$A$4:$ADH$120,MATCH('FY-(26-27)Q3'!$G$2:$H$2,'OCT-2026'!$A$2:$DI$2,0),0),0)</f>
        <v>428868</v>
      </c>
      <c r="H16" s="154">
        <f>IFERROR(VLOOKUP($A$3:$A$116,'OCT-2026'!$A$4:$ADH$120,MATCH('FY-(26-27)Q3'!$G$2:$H$2,'OCT-2026'!$A$2:$DI$2,0),0),0)</f>
        <v>1.7154720000000001</v>
      </c>
      <c r="I16" s="152">
        <f>IFERROR(VLOOKUP($A$3:$A$116,'[1]NOV-2026'!$A$4:$ADL$124,MATCH('FY-(26-27)Q3'!$I$2:$J$2,'[1]NOV-2026'!$A$2:$DM$2,0),0),0)</f>
        <v>0</v>
      </c>
      <c r="J16" s="154">
        <f>IFERROR(VLOOKUP($A$3:$A$116,'[1]NOV-2026'!$A$4:$ADL$124,MATCH('FY-(26-27)Q3'!$I$2:$J$2,'[1]NOV-2026'!$A$2:$DM$2,0),0),0)</f>
        <v>0</v>
      </c>
      <c r="K16" s="152">
        <f>IFERROR(VLOOKUP($A$3:$A$116,'[2]DEC-2026'!$A$4:$AEE$125,MATCH('FY-(26-27)Q3'!$K$2:$L$2,'[2]DEC-2026'!$A$2:$EF$2,0),0),0)</f>
        <v>0</v>
      </c>
      <c r="L16" s="154">
        <f>IFERROR(VLOOKUP($A$3:$A$116,'[2]DEC-2026'!$A$4:$AEE$125,MATCH('FY-(26-27)Q3'!$K$2:$L$2,'[2]DEC-2026'!$A$2:$EF$2,0),0),0)</f>
        <v>0</v>
      </c>
      <c r="M16" s="71">
        <f t="shared" si="0"/>
        <v>428868</v>
      </c>
      <c r="N16" s="165">
        <f t="shared" si="0"/>
        <v>1.7154720000000001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IFERROR(VLOOKUP($A$3:$A$116,'OCT-2026'!$A$4:$ADH$120,MATCH('FY-(26-27)Q3'!$G$2:$H$2,'OCT-2026'!$A$2:$DI$2,0),0),0)</f>
        <v>737424</v>
      </c>
      <c r="H17" s="154">
        <f>IFERROR(VLOOKUP($A$3:$A$116,'OCT-2026'!$A$4:$ADH$120,MATCH('FY-(26-27)Q3'!$G$2:$H$2,'OCT-2026'!$A$2:$DI$2,0),0),0)</f>
        <v>1.8435600000000001</v>
      </c>
      <c r="I17" s="152">
        <f>IFERROR(VLOOKUP($A$3:$A$116,'[1]NOV-2026'!$A$4:$ADL$124,MATCH('FY-(26-27)Q3'!$I$2:$J$2,'[1]NOV-2026'!$A$2:$DM$2,0),0),0)</f>
        <v>0</v>
      </c>
      <c r="J17" s="154">
        <f>IFERROR(VLOOKUP($A$3:$A$116,'[1]NOV-2026'!$A$4:$ADL$124,MATCH('FY-(26-27)Q3'!$I$2:$J$2,'[1]NOV-2026'!$A$2:$DM$2,0),0),0)</f>
        <v>0</v>
      </c>
      <c r="K17" s="152">
        <f>IFERROR(VLOOKUP($A$3:$A$116,'[2]DEC-2026'!$A$4:$AEE$125,MATCH('FY-(26-27)Q3'!$K$2:$L$2,'[2]DEC-2026'!$A$2:$EF$2,0),0),0)</f>
        <v>0</v>
      </c>
      <c r="L17" s="154">
        <f>IFERROR(VLOOKUP($A$3:$A$116,'[2]DEC-2026'!$A$4:$AEE$125,MATCH('FY-(26-27)Q3'!$K$2:$L$2,'[2]DEC-2026'!$A$2:$EF$2,0),0),0)</f>
        <v>0</v>
      </c>
      <c r="M17" s="71">
        <f t="shared" si="0"/>
        <v>737424</v>
      </c>
      <c r="N17" s="165">
        <f t="shared" si="0"/>
        <v>1.8435600000000001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IFERROR(VLOOKUP($A$3:$A$116,'OCT-2026'!$A$4:$ADH$120,MATCH('FY-(26-27)Q3'!$G$2:$H$2,'OCT-2026'!$A$2:$DI$2,0),0),0)</f>
        <v>-150688</v>
      </c>
      <c r="H18" s="154">
        <f>IFERROR(VLOOKUP($A$3:$A$116,'OCT-2026'!$A$4:$ADH$120,MATCH('FY-(26-27)Q3'!$G$2:$H$2,'OCT-2026'!$A$2:$DI$2,0),0),0)</f>
        <v>-1.3698909090909093</v>
      </c>
      <c r="I18" s="152">
        <f>IFERROR(VLOOKUP($A$3:$A$116,'[1]NOV-2026'!$A$4:$ADL$124,MATCH('FY-(26-27)Q3'!$I$2:$J$2,'[1]NOV-2026'!$A$2:$DM$2,0),0),0)</f>
        <v>0</v>
      </c>
      <c r="J18" s="154">
        <f>IFERROR(VLOOKUP($A$3:$A$116,'[1]NOV-2026'!$A$4:$ADL$124,MATCH('FY-(26-27)Q3'!$I$2:$J$2,'[1]NOV-2026'!$A$2:$DM$2,0),0),0)</f>
        <v>0</v>
      </c>
      <c r="K18" s="152">
        <f>IFERROR(VLOOKUP($A$3:$A$116,'[2]DEC-2026'!$A$4:$AEE$125,MATCH('FY-(26-27)Q3'!$K$2:$L$2,'[2]DEC-2026'!$A$2:$EF$2,0),0),0)</f>
        <v>0</v>
      </c>
      <c r="L18" s="154">
        <f>IFERROR(VLOOKUP($A$3:$A$116,'[2]DEC-2026'!$A$4:$AEE$125,MATCH('FY-(26-27)Q3'!$K$2:$L$2,'[2]DEC-2026'!$A$2:$EF$2,0),0),0)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IFERROR(VLOOKUP($A$3:$A$116,'OCT-2026'!$A$4:$ADH$120,MATCH('FY-(26-27)Q3'!$G$2:$H$2,'OCT-2026'!$A$2:$DI$2,0),0),0)</f>
        <v>-110972</v>
      </c>
      <c r="H19" s="154">
        <f>IFERROR(VLOOKUP($A$3:$A$116,'OCT-2026'!$A$4:$ADH$120,MATCH('FY-(26-27)Q3'!$G$2:$H$2,'OCT-2026'!$A$2:$DI$2,0),0),0)</f>
        <v>-4.4388800000000002</v>
      </c>
      <c r="I19" s="152">
        <f>IFERROR(VLOOKUP($A$3:$A$116,'[1]NOV-2026'!$A$4:$ADL$124,MATCH('FY-(26-27)Q3'!$I$2:$J$2,'[1]NOV-2026'!$A$2:$DM$2,0),0),0)</f>
        <v>0</v>
      </c>
      <c r="J19" s="154">
        <f>IFERROR(VLOOKUP($A$3:$A$116,'[1]NOV-2026'!$A$4:$ADL$124,MATCH('FY-(26-27)Q3'!$I$2:$J$2,'[1]NOV-2026'!$A$2:$DM$2,0),0),0)</f>
        <v>0</v>
      </c>
      <c r="K19" s="152">
        <f>IFERROR(VLOOKUP($A$3:$A$116,'[2]DEC-2026'!$A$4:$AEE$125,MATCH('FY-(26-27)Q3'!$K$2:$L$2,'[2]DEC-2026'!$A$2:$EF$2,0),0),0)</f>
        <v>0</v>
      </c>
      <c r="L19" s="154">
        <f>IFERROR(VLOOKUP($A$3:$A$116,'[2]DEC-2026'!$A$4:$AEE$125,MATCH('FY-(26-27)Q3'!$K$2:$L$2,'[2]DEC-2026'!$A$2:$EF$2,0),0),0)</f>
        <v>0</v>
      </c>
      <c r="M19" s="71">
        <f t="shared" si="0"/>
        <v>-110972</v>
      </c>
      <c r="N19" s="165">
        <f t="shared" si="0"/>
        <v>-4.4388800000000002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IFERROR(VLOOKUP($A$3:$A$116,'OCT-2026'!$A$4:$ADH$120,MATCH('FY-(26-27)Q3'!$G$2:$H$2,'OCT-2026'!$A$2:$DI$2,0),0),0)</f>
        <v>0</v>
      </c>
      <c r="H20" s="154">
        <f>IFERROR(VLOOKUP($A$3:$A$116,'OCT-2026'!$A$4:$ADH$120,MATCH('FY-(26-27)Q3'!$G$2:$H$2,'OCT-2026'!$A$2:$DI$2,0),0),0)</f>
        <v>0</v>
      </c>
      <c r="I20" s="152">
        <f>IFERROR(VLOOKUP($A$3:$A$116,'[1]NOV-2026'!$A$4:$ADL$124,MATCH('FY-(26-27)Q3'!$I$2:$J$2,'[1]NOV-2026'!$A$2:$DM$2,0),0),0)</f>
        <v>0</v>
      </c>
      <c r="J20" s="154">
        <f>IFERROR(VLOOKUP($A$3:$A$116,'[1]NOV-2026'!$A$4:$ADL$124,MATCH('FY-(26-27)Q3'!$I$2:$J$2,'[1]NOV-2026'!$A$2:$DM$2,0),0),0)</f>
        <v>0</v>
      </c>
      <c r="K20" s="152">
        <f>IFERROR(VLOOKUP($A$3:$A$116,'[2]DEC-2026'!$A$4:$AEE$125,MATCH('FY-(26-27)Q3'!$K$2:$L$2,'[2]DEC-2026'!$A$2:$EF$2,0),0),0)</f>
        <v>0</v>
      </c>
      <c r="L20" s="154">
        <f>IFERROR(VLOOKUP($A$3:$A$116,'[2]DEC-2026'!$A$4:$AEE$125,MATCH('FY-(26-27)Q3'!$K$2:$L$2,'[2]DEC-2026'!$A$2:$EF$2,0),0),0)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IFERROR(VLOOKUP($A$3:$A$116,'OCT-2026'!$A$4:$ADH$120,MATCH('FY-(26-27)Q3'!$G$2:$H$2,'OCT-2026'!$A$2:$DI$2,0),0),0)</f>
        <v>719336</v>
      </c>
      <c r="H21" s="154">
        <f>IFERROR(VLOOKUP($A$3:$A$116,'OCT-2026'!$A$4:$ADH$120,MATCH('FY-(26-27)Q3'!$G$2:$H$2,'OCT-2026'!$A$2:$DI$2,0),0),0)</f>
        <v>4.7955733333333326</v>
      </c>
      <c r="I21" s="152">
        <f>IFERROR(VLOOKUP($A$3:$A$116,'[1]NOV-2026'!$A$4:$ADL$124,MATCH('FY-(26-27)Q3'!$I$2:$J$2,'[1]NOV-2026'!$A$2:$DM$2,0),0),0)</f>
        <v>0</v>
      </c>
      <c r="J21" s="154">
        <f>IFERROR(VLOOKUP($A$3:$A$116,'[1]NOV-2026'!$A$4:$ADL$124,MATCH('FY-(26-27)Q3'!$I$2:$J$2,'[1]NOV-2026'!$A$2:$DM$2,0),0),0)</f>
        <v>0</v>
      </c>
      <c r="K21" s="152">
        <f>IFERROR(VLOOKUP($A$3:$A$116,'[2]DEC-2026'!$A$4:$AEE$125,MATCH('FY-(26-27)Q3'!$K$2:$L$2,'[2]DEC-2026'!$A$2:$EF$2,0),0),0)</f>
        <v>0</v>
      </c>
      <c r="L21" s="154">
        <f>IFERROR(VLOOKUP($A$3:$A$116,'[2]DEC-2026'!$A$4:$AEE$125,MATCH('FY-(26-27)Q3'!$K$2:$L$2,'[2]DEC-2026'!$A$2:$EF$2,0),0),0)</f>
        <v>0</v>
      </c>
      <c r="M21" s="71">
        <f t="shared" si="0"/>
        <v>719336</v>
      </c>
      <c r="N21" s="165">
        <f t="shared" si="0"/>
        <v>4.7955733333333326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IFERROR(VLOOKUP($A$3:$A$116,'OCT-2026'!$A$4:$ADH$120,MATCH('FY-(26-27)Q3'!$G$2:$H$2,'OCT-2026'!$A$2:$DI$2,0),0),0)</f>
        <v>-21517</v>
      </c>
      <c r="H22" s="154">
        <f>IFERROR(VLOOKUP($A$3:$A$116,'OCT-2026'!$A$4:$ADH$120,MATCH('FY-(26-27)Q3'!$G$2:$H$2,'OCT-2026'!$A$2:$DI$2,0),0),0)</f>
        <v>-0.19560909090909087</v>
      </c>
      <c r="I22" s="152">
        <f>IFERROR(VLOOKUP($A$3:$A$116,'[1]NOV-2026'!$A$4:$ADL$124,MATCH('FY-(26-27)Q3'!$I$2:$J$2,'[1]NOV-2026'!$A$2:$DM$2,0),0),0)</f>
        <v>0</v>
      </c>
      <c r="J22" s="154">
        <f>IFERROR(VLOOKUP($A$3:$A$116,'[1]NOV-2026'!$A$4:$ADL$124,MATCH('FY-(26-27)Q3'!$I$2:$J$2,'[1]NOV-2026'!$A$2:$DM$2,0),0),0)</f>
        <v>0</v>
      </c>
      <c r="K22" s="152">
        <f>IFERROR(VLOOKUP($A$3:$A$116,'[2]DEC-2026'!$A$4:$AEE$125,MATCH('FY-(26-27)Q3'!$K$2:$L$2,'[2]DEC-2026'!$A$2:$EF$2,0),0),0)</f>
        <v>0</v>
      </c>
      <c r="L22" s="154">
        <f>IFERROR(VLOOKUP($A$3:$A$116,'[2]DEC-2026'!$A$4:$AEE$125,MATCH('FY-(26-27)Q3'!$K$2:$L$2,'[2]DEC-2026'!$A$2:$EF$2,0),0),0)</f>
        <v>0</v>
      </c>
      <c r="M22" s="71">
        <f t="shared" si="0"/>
        <v>-21517</v>
      </c>
      <c r="N22" s="165">
        <f t="shared" si="0"/>
        <v>-0.19560909090909087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IFERROR(VLOOKUP($A$3:$A$116,'OCT-2026'!$A$4:$ADH$120,MATCH('FY-(26-27)Q3'!$G$2:$H$2,'OCT-2026'!$A$2:$DI$2,0),0),0)</f>
        <v>-699679</v>
      </c>
      <c r="H23" s="154">
        <f>IFERROR(VLOOKUP($A$3:$A$116,'OCT-2026'!$A$4:$ADH$120,MATCH('FY-(26-27)Q3'!$G$2:$H$2,'OCT-2026'!$A$2:$DI$2,0),0),0)</f>
        <v>-3.0420826086956523</v>
      </c>
      <c r="I23" s="152">
        <f>IFERROR(VLOOKUP($A$3:$A$116,'[1]NOV-2026'!$A$4:$ADL$124,MATCH('FY-(26-27)Q3'!$I$2:$J$2,'[1]NOV-2026'!$A$2:$DM$2,0),0),0)</f>
        <v>0</v>
      </c>
      <c r="J23" s="154">
        <f>IFERROR(VLOOKUP($A$3:$A$116,'[1]NOV-2026'!$A$4:$ADL$124,MATCH('FY-(26-27)Q3'!$I$2:$J$2,'[1]NOV-2026'!$A$2:$DM$2,0),0),0)</f>
        <v>0</v>
      </c>
      <c r="K23" s="152">
        <f>IFERROR(VLOOKUP($A$3:$A$116,'[2]DEC-2026'!$A$4:$AEE$125,MATCH('FY-(26-27)Q3'!$K$2:$L$2,'[2]DEC-2026'!$A$2:$EF$2,0),0),0)</f>
        <v>0</v>
      </c>
      <c r="L23" s="154">
        <f>IFERROR(VLOOKUP($A$3:$A$116,'[2]DEC-2026'!$A$4:$AEE$125,MATCH('FY-(26-27)Q3'!$K$2:$L$2,'[2]DEC-2026'!$A$2:$EF$2,0),0),0)</f>
        <v>0</v>
      </c>
      <c r="M23" s="71">
        <f t="shared" si="0"/>
        <v>-699679</v>
      </c>
      <c r="N23" s="165">
        <f t="shared" si="0"/>
        <v>-3.0420826086956523</v>
      </c>
    </row>
    <row r="24" spans="1:15" x14ac:dyDescent="0.25">
      <c r="A24" s="141" t="s">
        <v>335</v>
      </c>
      <c r="B24" s="140" t="s">
        <v>68</v>
      </c>
      <c r="C24" s="140" t="s">
        <v>342</v>
      </c>
      <c r="D24" s="141" t="s">
        <v>334</v>
      </c>
      <c r="E24" s="141"/>
      <c r="F24" s="155">
        <v>0.2</v>
      </c>
      <c r="G24" s="152">
        <f>IFERROR(VLOOKUP($A$3:$A$116,'OCT-2026'!$A$4:$ADH$120,MATCH('FY-(26-27)Q3'!$G$2:$H$2,'OCT-2026'!$A$2:$DI$2,0),0),0)</f>
        <v>101071</v>
      </c>
      <c r="H24" s="154">
        <f>IFERROR(VLOOKUP($A$3:$A$116,'OCT-2026'!$A$4:$ADH$120,MATCH('FY-(26-27)Q3'!$G$2:$H$2,'OCT-2026'!$A$2:$DI$2,0),0),0)</f>
        <v>5.0535500000000004</v>
      </c>
      <c r="I24" s="152">
        <f>IFERROR(VLOOKUP($A$3:$A$116,'[1]NOV-2026'!$A$4:$ADL$124,MATCH('FY-(26-27)Q3'!$I$2:$J$2,'[1]NOV-2026'!$A$2:$DM$2,0),0),0)</f>
        <v>0</v>
      </c>
      <c r="J24" s="154">
        <f>IFERROR(VLOOKUP($A$3:$A$116,'[1]NOV-2026'!$A$4:$ADL$124,MATCH('FY-(26-27)Q3'!$I$2:$J$2,'[1]NOV-2026'!$A$2:$DM$2,0),0),0)</f>
        <v>0</v>
      </c>
      <c r="K24" s="152">
        <f>IFERROR(VLOOKUP($A$3:$A$116,'[2]DEC-2026'!$A$4:$AEE$125,MATCH('FY-(26-27)Q3'!$K$2:$L$2,'[2]DEC-2026'!$A$2:$EF$2,0),0),0)</f>
        <v>0</v>
      </c>
      <c r="L24" s="154">
        <f>IFERROR(VLOOKUP($A$3:$A$116,'[2]DEC-2026'!$A$4:$AEE$125,MATCH('FY-(26-27)Q3'!$K$2:$L$2,'[2]DEC-2026'!$A$2:$EF$2,0),0),0)</f>
        <v>0</v>
      </c>
      <c r="M24" s="71">
        <f t="shared" ref="M24" si="1">G24+I24+K24</f>
        <v>101071</v>
      </c>
      <c r="N24" s="165">
        <f t="shared" ref="N24" si="2">H24+J24+L24</f>
        <v>5.0535500000000004</v>
      </c>
    </row>
    <row r="25" spans="1:1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52">
        <f>IFERROR(VLOOKUP($A$3:$A$116,'OCT-2026'!$A$4:$ADH$120,MATCH('FY-(26-27)Q3'!$G$2:$H$2,'OCT-2026'!$A$2:$DI$2,0),0),0)</f>
        <v>-45804</v>
      </c>
      <c r="H25" s="154">
        <f>IFERROR(VLOOKUP($A$3:$A$116,'OCT-2026'!$A$4:$ADH$120,MATCH('FY-(26-27)Q3'!$G$2:$H$2,'OCT-2026'!$A$2:$DI$2,0),0),0)</f>
        <v>-0.91608000000000001</v>
      </c>
      <c r="I25" s="152">
        <f>IFERROR(VLOOKUP($A$3:$A$116,'[1]NOV-2026'!$A$4:$ADL$124,MATCH('FY-(26-27)Q3'!$I$2:$J$2,'[1]NOV-2026'!$A$2:$DM$2,0),0),0)</f>
        <v>0</v>
      </c>
      <c r="J25" s="154">
        <f>IFERROR(VLOOKUP($A$3:$A$116,'[1]NOV-2026'!$A$4:$ADL$124,MATCH('FY-(26-27)Q3'!$I$2:$J$2,'[1]NOV-2026'!$A$2:$DM$2,0),0),0)</f>
        <v>0</v>
      </c>
      <c r="K25" s="152">
        <f>IFERROR(VLOOKUP($A$3:$A$116,'[2]DEC-2026'!$A$4:$AEE$125,MATCH('FY-(26-27)Q3'!$K$2:$L$2,'[2]DEC-2026'!$A$2:$EF$2,0),0),0)</f>
        <v>0</v>
      </c>
      <c r="L25" s="154">
        <f>IFERROR(VLOOKUP($A$3:$A$116,'[2]DEC-2026'!$A$4:$AEE$125,MATCH('FY-(26-27)Q3'!$K$2:$L$2,'[2]DEC-2026'!$A$2:$EF$2,0),0),0)</f>
        <v>0</v>
      </c>
      <c r="M25" s="71">
        <f t="shared" si="0"/>
        <v>-45804</v>
      </c>
      <c r="N25" s="165">
        <f t="shared" si="0"/>
        <v>-0.91608000000000001</v>
      </c>
    </row>
    <row r="26" spans="1:15" x14ac:dyDescent="0.25">
      <c r="A26" s="141" t="s">
        <v>29</v>
      </c>
      <c r="B26" s="140" t="s">
        <v>22</v>
      </c>
      <c r="C26" s="140" t="s">
        <v>151</v>
      </c>
      <c r="D26" s="37" t="s">
        <v>5</v>
      </c>
      <c r="E26" s="37" t="s">
        <v>256</v>
      </c>
      <c r="F26" s="155">
        <v>5</v>
      </c>
      <c r="G26" s="152">
        <f>IFERROR(VLOOKUP($A$3:$A$116,'OCT-2026'!$A$4:$ADH$120,MATCH('FY-(26-27)Q3'!$G$2:$H$2,'OCT-2026'!$A$2:$DI$2,0),0),0)</f>
        <v>2290800</v>
      </c>
      <c r="H26" s="154">
        <f>IFERROR(VLOOKUP($A$3:$A$116,'OCT-2026'!$A$4:$ADH$120,MATCH('FY-(26-27)Q3'!$G$2:$H$2,'OCT-2026'!$A$2:$DI$2,0),0),0)</f>
        <v>4.5815999999999999</v>
      </c>
      <c r="I26" s="152">
        <f>IFERROR(VLOOKUP($A$3:$A$116,'[1]NOV-2026'!$A$4:$ADL$124,MATCH('FY-(26-27)Q3'!$I$2:$J$2,'[1]NOV-2026'!$A$2:$DM$2,0),0),0)</f>
        <v>0</v>
      </c>
      <c r="J26" s="154">
        <f>IFERROR(VLOOKUP($A$3:$A$116,'[1]NOV-2026'!$A$4:$ADL$124,MATCH('FY-(26-27)Q3'!$I$2:$J$2,'[1]NOV-2026'!$A$2:$DM$2,0),0),0)</f>
        <v>0</v>
      </c>
      <c r="K26" s="152">
        <f>IFERROR(VLOOKUP($A$3:$A$116,'[2]DEC-2026'!$A$4:$AEE$125,MATCH('FY-(26-27)Q3'!$K$2:$L$2,'[2]DEC-2026'!$A$2:$EF$2,0),0),0)</f>
        <v>0</v>
      </c>
      <c r="L26" s="154">
        <f>IFERROR(VLOOKUP($A$3:$A$116,'[2]DEC-2026'!$A$4:$AEE$125,MATCH('FY-(26-27)Q3'!$K$2:$L$2,'[2]DEC-2026'!$A$2:$EF$2,0),0),0)</f>
        <v>0</v>
      </c>
      <c r="M26" s="71">
        <f t="shared" si="0"/>
        <v>2290800</v>
      </c>
      <c r="N26" s="165">
        <f t="shared" si="0"/>
        <v>4.5815999999999999</v>
      </c>
    </row>
    <row r="27" spans="1:15" x14ac:dyDescent="0.25">
      <c r="A27" s="141" t="s">
        <v>28</v>
      </c>
      <c r="B27" s="140" t="s">
        <v>247</v>
      </c>
      <c r="C27" s="140" t="s">
        <v>121</v>
      </c>
      <c r="D27" s="37" t="s">
        <v>91</v>
      </c>
      <c r="E27" s="37" t="s">
        <v>256</v>
      </c>
      <c r="F27" s="155">
        <v>10</v>
      </c>
      <c r="G27" s="152">
        <f>IFERROR(VLOOKUP($A$3:$A$116,'OCT-2026'!$A$4:$ADH$120,MATCH('FY-(26-27)Q3'!$G$2:$H$2,'OCT-2026'!$A$2:$DI$2,0),0),0)</f>
        <v>225891</v>
      </c>
      <c r="H27" s="154">
        <f>IFERROR(VLOOKUP($A$3:$A$116,'OCT-2026'!$A$4:$ADH$120,MATCH('FY-(26-27)Q3'!$G$2:$H$2,'OCT-2026'!$A$2:$DI$2,0),0),0)</f>
        <v>0.22589100000000001</v>
      </c>
      <c r="I27" s="152">
        <f>IFERROR(VLOOKUP($A$3:$A$116,'[1]NOV-2026'!$A$4:$ADL$124,MATCH('FY-(26-27)Q3'!$I$2:$J$2,'[1]NOV-2026'!$A$2:$DM$2,0),0),0)</f>
        <v>0</v>
      </c>
      <c r="J27" s="154">
        <f>IFERROR(VLOOKUP($A$3:$A$116,'[1]NOV-2026'!$A$4:$ADL$124,MATCH('FY-(26-27)Q3'!$I$2:$J$2,'[1]NOV-2026'!$A$2:$DM$2,0),0),0)</f>
        <v>0</v>
      </c>
      <c r="K27" s="152">
        <f>IFERROR(VLOOKUP($A$3:$A$116,'[2]DEC-2026'!$A$4:$AEE$125,MATCH('FY-(26-27)Q3'!$K$2:$L$2,'[2]DEC-2026'!$A$2:$EF$2,0),0),0)</f>
        <v>0</v>
      </c>
      <c r="L27" s="154">
        <f>IFERROR(VLOOKUP($A$3:$A$116,'[2]DEC-2026'!$A$4:$AEE$125,MATCH('FY-(26-27)Q3'!$K$2:$L$2,'[2]DEC-2026'!$A$2:$EF$2,0),0),0)</f>
        <v>0</v>
      </c>
      <c r="M27" s="71">
        <f t="shared" si="0"/>
        <v>225891</v>
      </c>
      <c r="N27" s="165">
        <f t="shared" si="0"/>
        <v>0.22589100000000001</v>
      </c>
      <c r="O27" s="130"/>
    </row>
    <row r="28" spans="1:15" x14ac:dyDescent="0.25">
      <c r="A28" s="141" t="s">
        <v>332</v>
      </c>
      <c r="B28" s="140" t="s">
        <v>333</v>
      </c>
      <c r="C28" s="140" t="s">
        <v>231</v>
      </c>
      <c r="D28" s="42"/>
      <c r="E28" s="42" t="s">
        <v>256</v>
      </c>
      <c r="F28" s="200">
        <v>1</v>
      </c>
      <c r="G28" s="152">
        <f>IFERROR(VLOOKUP($A$3:$A$116,'OCT-2026'!$A$4:$ADH$120,MATCH('FY-(26-27)Q3'!$G$2:$H$2,'OCT-2026'!$A$2:$DI$2,0),0),0)</f>
        <v>-4080</v>
      </c>
      <c r="H28" s="154">
        <f>IFERROR(VLOOKUP($A$3:$A$116,'OCT-2026'!$A$4:$ADH$120,MATCH('FY-(26-27)Q3'!$G$2:$H$2,'OCT-2026'!$A$2:$DI$2,0),0),0)</f>
        <v>-8.1600000000000006E-2</v>
      </c>
      <c r="I28" s="152">
        <f>IFERROR(VLOOKUP($A$3:$A$116,'[1]NOV-2026'!$A$4:$ADL$124,MATCH('FY-(26-27)Q3'!$I$2:$J$2,'[1]NOV-2026'!$A$2:$DM$2,0),0),0)</f>
        <v>0</v>
      </c>
      <c r="J28" s="154">
        <f>IFERROR(VLOOKUP($A$3:$A$116,'[1]NOV-2026'!$A$4:$ADL$124,MATCH('FY-(26-27)Q3'!$I$2:$J$2,'[1]NOV-2026'!$A$2:$DM$2,0),0),0)</f>
        <v>0</v>
      </c>
      <c r="K28" s="152">
        <f>IFERROR(VLOOKUP($A$3:$A$116,'[2]DEC-2026'!$A$4:$AEE$125,MATCH('FY-(26-27)Q3'!$K$2:$L$2,'[2]DEC-2026'!$A$2:$EF$2,0),0),0)</f>
        <v>0</v>
      </c>
      <c r="L28" s="154">
        <f>IFERROR(VLOOKUP($A$3:$A$116,'[2]DEC-2026'!$A$4:$AEE$125,MATCH('FY-(26-27)Q3'!$K$2:$L$2,'[2]DEC-2026'!$A$2:$EF$2,0),0),0)</f>
        <v>0</v>
      </c>
      <c r="M28" s="71">
        <f t="shared" ref="M28" si="3">G28+I28+K28</f>
        <v>-4080</v>
      </c>
      <c r="N28" s="165">
        <f t="shared" ref="N28" si="4">H28+J28+L28</f>
        <v>-8.1600000000000006E-2</v>
      </c>
    </row>
    <row r="29" spans="1:15" x14ac:dyDescent="0.25">
      <c r="A29" s="141" t="s">
        <v>65</v>
      </c>
      <c r="B29" s="140" t="s">
        <v>64</v>
      </c>
      <c r="C29" s="140" t="s">
        <v>7</v>
      </c>
      <c r="D29" s="140" t="s">
        <v>64</v>
      </c>
      <c r="E29" s="37" t="s">
        <v>256</v>
      </c>
      <c r="F29" s="155">
        <v>5</v>
      </c>
      <c r="G29" s="152">
        <f>IFERROR(VLOOKUP($A$3:$A$116,'OCT-2026'!$A$4:$ADH$120,MATCH('FY-(26-27)Q3'!$G$2:$H$2,'OCT-2026'!$A$2:$DI$2,0),0),0)</f>
        <v>841174</v>
      </c>
      <c r="H29" s="154">
        <f>IFERROR(VLOOKUP($A$3:$A$116,'OCT-2026'!$A$4:$ADH$120,MATCH('FY-(26-27)Q3'!$G$2:$H$2,'OCT-2026'!$A$2:$DI$2,0),0),0)</f>
        <v>1.682348</v>
      </c>
      <c r="I29" s="152">
        <f>IFERROR(VLOOKUP($A$3:$A$116,'[1]NOV-2026'!$A$4:$ADL$124,MATCH('FY-(26-27)Q3'!$I$2:$J$2,'[1]NOV-2026'!$A$2:$DM$2,0),0),0)</f>
        <v>0</v>
      </c>
      <c r="J29" s="154">
        <f>IFERROR(VLOOKUP($A$3:$A$116,'[1]NOV-2026'!$A$4:$ADL$124,MATCH('FY-(26-27)Q3'!$I$2:$J$2,'[1]NOV-2026'!$A$2:$DM$2,0),0),0)</f>
        <v>0</v>
      </c>
      <c r="K29" s="152">
        <f>IFERROR(VLOOKUP($A$3:$A$116,'[2]DEC-2026'!$A$4:$AEE$125,MATCH('FY-(26-27)Q3'!$K$2:$L$2,'[2]DEC-2026'!$A$2:$EF$2,0),0),0)</f>
        <v>0</v>
      </c>
      <c r="L29" s="154">
        <f>IFERROR(VLOOKUP($A$3:$A$116,'[2]DEC-2026'!$A$4:$AEE$125,MATCH('FY-(26-27)Q3'!$K$2:$L$2,'[2]DEC-2026'!$A$2:$EF$2,0),0),0)</f>
        <v>0</v>
      </c>
      <c r="M29" s="71">
        <f t="shared" si="0"/>
        <v>841174</v>
      </c>
      <c r="N29" s="165">
        <f t="shared" si="0"/>
        <v>1.682348</v>
      </c>
    </row>
    <row r="30" spans="1:15" x14ac:dyDescent="0.25">
      <c r="A30" s="140" t="s">
        <v>34</v>
      </c>
      <c r="B30" s="142" t="s">
        <v>18</v>
      </c>
      <c r="C30" s="140" t="s">
        <v>10</v>
      </c>
      <c r="D30" s="142" t="s">
        <v>18</v>
      </c>
      <c r="E30" s="37" t="s">
        <v>256</v>
      </c>
      <c r="F30" s="118">
        <v>5</v>
      </c>
      <c r="G30" s="152">
        <f>IFERROR(VLOOKUP($A$3:$A$116,'OCT-2026'!$A$4:$ADH$120,MATCH('FY-(26-27)Q3'!$G$2:$H$2,'OCT-2026'!$A$2:$DI$2,0),0),0)</f>
        <v>140133</v>
      </c>
      <c r="H30" s="154">
        <f>IFERROR(VLOOKUP($A$3:$A$116,'OCT-2026'!$A$4:$ADH$120,MATCH('FY-(26-27)Q3'!$G$2:$H$2,'OCT-2026'!$A$2:$DI$2,0),0),0)</f>
        <v>0.28026600000000002</v>
      </c>
      <c r="I30" s="152">
        <f>IFERROR(VLOOKUP($A$3:$A$116,'[1]NOV-2026'!$A$4:$ADL$124,MATCH('FY-(26-27)Q3'!$I$2:$J$2,'[1]NOV-2026'!$A$2:$DM$2,0),0),0)</f>
        <v>0</v>
      </c>
      <c r="J30" s="154">
        <f>IFERROR(VLOOKUP($A$3:$A$116,'[1]NOV-2026'!$A$4:$ADL$124,MATCH('FY-(26-27)Q3'!$I$2:$J$2,'[1]NOV-2026'!$A$2:$DM$2,0),0),0)</f>
        <v>0</v>
      </c>
      <c r="K30" s="152">
        <f>IFERROR(VLOOKUP($A$3:$A$116,'[2]DEC-2026'!$A$4:$AEE$125,MATCH('FY-(26-27)Q3'!$K$2:$L$2,'[2]DEC-2026'!$A$2:$EF$2,0),0),0)</f>
        <v>0</v>
      </c>
      <c r="L30" s="154">
        <f>IFERROR(VLOOKUP($A$3:$A$116,'[2]DEC-2026'!$A$4:$AEE$125,MATCH('FY-(26-27)Q3'!$K$2:$L$2,'[2]DEC-2026'!$A$2:$EF$2,0),0),0)</f>
        <v>0</v>
      </c>
      <c r="M30" s="71">
        <f t="shared" si="0"/>
        <v>140133</v>
      </c>
      <c r="N30" s="165">
        <f t="shared" si="0"/>
        <v>0.28026600000000002</v>
      </c>
    </row>
    <row r="31" spans="1:1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37" t="s">
        <v>256</v>
      </c>
      <c r="F31" s="118">
        <v>0.5</v>
      </c>
      <c r="G31" s="152">
        <f>IFERROR(VLOOKUP($A$3:$A$116,'OCT-2026'!$A$4:$ADH$120,MATCH('FY-(26-27)Q3'!$G$2:$H$2,'OCT-2026'!$A$2:$DI$2,0),0),0)</f>
        <v>70166</v>
      </c>
      <c r="H31" s="154">
        <f>IFERROR(VLOOKUP($A$3:$A$116,'OCT-2026'!$A$4:$ADH$120,MATCH('FY-(26-27)Q3'!$G$2:$H$2,'OCT-2026'!$A$2:$DI$2,0),0),0)</f>
        <v>1.4033199999999999</v>
      </c>
      <c r="I31" s="152">
        <f>IFERROR(VLOOKUP($A$3:$A$116,'[1]NOV-2026'!$A$4:$ADL$124,MATCH('FY-(26-27)Q3'!$I$2:$J$2,'[1]NOV-2026'!$A$2:$DM$2,0),0),0)</f>
        <v>0</v>
      </c>
      <c r="J31" s="154">
        <f>IFERROR(VLOOKUP($A$3:$A$116,'[1]NOV-2026'!$A$4:$ADL$124,MATCH('FY-(26-27)Q3'!$I$2:$J$2,'[1]NOV-2026'!$A$2:$DM$2,0),0),0)</f>
        <v>0</v>
      </c>
      <c r="K31" s="152">
        <f>IFERROR(VLOOKUP($A$3:$A$116,'[2]DEC-2026'!$A$4:$AEE$125,MATCH('FY-(26-27)Q3'!$K$2:$L$2,'[2]DEC-2026'!$A$2:$EF$2,0),0),0)</f>
        <v>0</v>
      </c>
      <c r="L31" s="154">
        <f>IFERROR(VLOOKUP($A$3:$A$116,'[2]DEC-2026'!$A$4:$AEE$125,MATCH('FY-(26-27)Q3'!$K$2:$L$2,'[2]DEC-2026'!$A$2:$EF$2,0),0),0)</f>
        <v>0</v>
      </c>
      <c r="M31" s="71">
        <f t="shared" si="0"/>
        <v>70166</v>
      </c>
      <c r="N31" s="165">
        <f t="shared" si="0"/>
        <v>1.4033199999999999</v>
      </c>
    </row>
    <row r="32" spans="1:15" x14ac:dyDescent="0.25">
      <c r="A32" s="43" t="s">
        <v>67</v>
      </c>
      <c r="B32" s="140" t="s">
        <v>76</v>
      </c>
      <c r="C32" s="140" t="s">
        <v>60</v>
      </c>
      <c r="D32" s="37" t="s">
        <v>4</v>
      </c>
      <c r="E32" s="37" t="s">
        <v>256</v>
      </c>
      <c r="F32" s="155">
        <v>0.4</v>
      </c>
      <c r="G32" s="152">
        <f>IFERROR(VLOOKUP($A$3:$A$116,'OCT-2026'!$A$4:$ADH$120,MATCH('FY-(26-27)Q3'!$G$2:$H$2,'OCT-2026'!$A$2:$DI$2,0),0),0)</f>
        <v>340337</v>
      </c>
      <c r="H32" s="154">
        <f>IFERROR(VLOOKUP($A$3:$A$116,'OCT-2026'!$A$4:$ADH$120,MATCH('FY-(26-27)Q3'!$G$2:$H$2,'OCT-2026'!$A$2:$DI$2,0),0),0)</f>
        <v>8.5084250000000008</v>
      </c>
      <c r="I32" s="152">
        <f>IFERROR(VLOOKUP($A$3:$A$116,'[1]NOV-2026'!$A$4:$ADL$124,MATCH('FY-(26-27)Q3'!$I$2:$J$2,'[1]NOV-2026'!$A$2:$DM$2,0),0),0)</f>
        <v>0</v>
      </c>
      <c r="J32" s="154">
        <f>IFERROR(VLOOKUP($A$3:$A$116,'[1]NOV-2026'!$A$4:$ADL$124,MATCH('FY-(26-27)Q3'!$I$2:$J$2,'[1]NOV-2026'!$A$2:$DM$2,0),0),0)</f>
        <v>0</v>
      </c>
      <c r="K32" s="152">
        <f>IFERROR(VLOOKUP($A$3:$A$116,'[2]DEC-2026'!$A$4:$AEE$125,MATCH('FY-(26-27)Q3'!$K$2:$L$2,'[2]DEC-2026'!$A$2:$EF$2,0),0),0)</f>
        <v>0</v>
      </c>
      <c r="L32" s="154">
        <f>IFERROR(VLOOKUP($A$3:$A$116,'[2]DEC-2026'!$A$4:$AEE$125,MATCH('FY-(26-27)Q3'!$K$2:$L$2,'[2]DEC-2026'!$A$2:$EF$2,0),0),0)</f>
        <v>0</v>
      </c>
      <c r="M32" s="71">
        <f t="shared" si="0"/>
        <v>340337</v>
      </c>
      <c r="N32" s="165">
        <f t="shared" si="0"/>
        <v>8.5084250000000008</v>
      </c>
    </row>
    <row r="33" spans="1:14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40" t="s">
        <v>256</v>
      </c>
      <c r="F33" s="155">
        <v>4</v>
      </c>
      <c r="G33" s="152">
        <f>IFERROR(VLOOKUP($A$3:$A$116,'OCT-2026'!$A$4:$ADH$120,MATCH('FY-(26-27)Q3'!$G$2:$H$2,'OCT-2026'!$A$2:$DI$2,0),0),0)</f>
        <v>371505</v>
      </c>
      <c r="H33" s="154">
        <f>IFERROR(VLOOKUP($A$3:$A$116,'OCT-2026'!$A$4:$ADH$120,MATCH('FY-(26-27)Q3'!$G$2:$H$2,'OCT-2026'!$A$2:$DI$2,0),0),0)</f>
        <v>0.92876250000000005</v>
      </c>
      <c r="I33" s="152">
        <f>IFERROR(VLOOKUP($A$3:$A$116,'[1]NOV-2026'!$A$4:$ADL$124,MATCH('FY-(26-27)Q3'!$I$2:$J$2,'[1]NOV-2026'!$A$2:$DM$2,0),0),0)</f>
        <v>0</v>
      </c>
      <c r="J33" s="154">
        <f>IFERROR(VLOOKUP($A$3:$A$116,'[1]NOV-2026'!$A$4:$ADL$124,MATCH('FY-(26-27)Q3'!$I$2:$J$2,'[1]NOV-2026'!$A$2:$DM$2,0),0),0)</f>
        <v>0</v>
      </c>
      <c r="K33" s="152">
        <f>IFERROR(VLOOKUP($A$3:$A$116,'[2]DEC-2026'!$A$4:$AEE$125,MATCH('FY-(26-27)Q3'!$K$2:$L$2,'[2]DEC-2026'!$A$2:$EF$2,0),0),0)</f>
        <v>0</v>
      </c>
      <c r="L33" s="154">
        <f>IFERROR(VLOOKUP($A$3:$A$116,'[2]DEC-2026'!$A$4:$AEE$125,MATCH('FY-(26-27)Q3'!$K$2:$L$2,'[2]DEC-2026'!$A$2:$EF$2,0),0),0)</f>
        <v>0</v>
      </c>
      <c r="M33" s="71">
        <f t="shared" si="0"/>
        <v>371505</v>
      </c>
      <c r="N33" s="165">
        <f t="shared" si="0"/>
        <v>0.92876250000000005</v>
      </c>
    </row>
    <row r="34" spans="1:14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40" t="s">
        <v>106</v>
      </c>
      <c r="F34" s="155">
        <v>1</v>
      </c>
      <c r="G34" s="152">
        <f>IFERROR(VLOOKUP($A$3:$A$116,'OCT-2026'!$A$4:$ADH$120,MATCH('FY-(26-27)Q3'!$G$2:$H$2,'OCT-2026'!$A$2:$DI$2,0),0),0)</f>
        <v>-97365</v>
      </c>
      <c r="H34" s="154">
        <f>IFERROR(VLOOKUP($A$3:$A$116,'OCT-2026'!$A$4:$ADH$120,MATCH('FY-(26-27)Q3'!$G$2:$H$2,'OCT-2026'!$A$2:$DI$2,0),0),0)</f>
        <v>-0.97365000000000002</v>
      </c>
      <c r="I34" s="152">
        <f>IFERROR(VLOOKUP($A$3:$A$116,'[1]NOV-2026'!$A$4:$ADL$124,MATCH('FY-(26-27)Q3'!$I$2:$J$2,'[1]NOV-2026'!$A$2:$DM$2,0),0),0)</f>
        <v>0</v>
      </c>
      <c r="J34" s="154">
        <f>IFERROR(VLOOKUP($A$3:$A$116,'[1]NOV-2026'!$A$4:$ADL$124,MATCH('FY-(26-27)Q3'!$I$2:$J$2,'[1]NOV-2026'!$A$2:$DM$2,0),0),0)</f>
        <v>0</v>
      </c>
      <c r="K34" s="152">
        <f>IFERROR(VLOOKUP($A$3:$A$116,'[2]DEC-2026'!$A$4:$AEE$125,MATCH('FY-(26-27)Q3'!$K$2:$L$2,'[2]DEC-2026'!$A$2:$EF$2,0),0),0)</f>
        <v>0</v>
      </c>
      <c r="L34" s="154">
        <f>IFERROR(VLOOKUP($A$3:$A$116,'[2]DEC-2026'!$A$4:$AEE$125,MATCH('FY-(26-27)Q3'!$K$2:$L$2,'[2]DEC-2026'!$A$2:$EF$2,0),0),0)</f>
        <v>0</v>
      </c>
      <c r="M34" s="71">
        <f t="shared" si="0"/>
        <v>-97365</v>
      </c>
      <c r="N34" s="165">
        <f t="shared" si="0"/>
        <v>-0.97365000000000002</v>
      </c>
    </row>
    <row r="35" spans="1:14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52">
        <f>IFERROR(VLOOKUP($A$3:$A$116,'OCT-2026'!$A$4:$ADH$120,MATCH('FY-(26-27)Q3'!$G$2:$H$2,'OCT-2026'!$A$2:$DI$2,0),0),0)</f>
        <v>0</v>
      </c>
      <c r="H35" s="154">
        <f>IFERROR(VLOOKUP($A$3:$A$116,'OCT-2026'!$A$4:$ADH$120,MATCH('FY-(26-27)Q3'!$G$2:$H$2,'OCT-2026'!$A$2:$DI$2,0),0),0)</f>
        <v>0</v>
      </c>
      <c r="I35" s="152">
        <f>IFERROR(VLOOKUP($A$3:$A$116,'[1]NOV-2026'!$A$4:$ADL$124,MATCH('FY-(26-27)Q3'!$I$2:$J$2,'[1]NOV-2026'!$A$2:$DM$2,0),0),0)</f>
        <v>0</v>
      </c>
      <c r="J35" s="154">
        <f>IFERROR(VLOOKUP($A$3:$A$116,'[1]NOV-2026'!$A$4:$ADL$124,MATCH('FY-(26-27)Q3'!$I$2:$J$2,'[1]NOV-2026'!$A$2:$DM$2,0),0),0)</f>
        <v>0</v>
      </c>
      <c r="K35" s="152">
        <f>IFERROR(VLOOKUP($A$3:$A$116,'[2]DEC-2026'!$A$4:$AEE$125,MATCH('FY-(26-27)Q3'!$K$2:$L$2,'[2]DEC-2026'!$A$2:$EF$2,0),0),0)</f>
        <v>0</v>
      </c>
      <c r="L35" s="154">
        <f>IFERROR(VLOOKUP($A$3:$A$116,'[2]DEC-2026'!$A$4:$AEE$125,MATCH('FY-(26-27)Q3'!$K$2:$L$2,'[2]DEC-2026'!$A$2:$EF$2,0),0),0)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1" t="s">
        <v>229</v>
      </c>
      <c r="B36" s="142" t="s">
        <v>105</v>
      </c>
      <c r="C36" s="141" t="s">
        <v>218</v>
      </c>
      <c r="D36" s="141" t="s">
        <v>269</v>
      </c>
      <c r="E36" s="141" t="s">
        <v>256</v>
      </c>
      <c r="F36" s="155">
        <v>0.5</v>
      </c>
      <c r="G36" s="152">
        <f>IFERROR(VLOOKUP($A$3:$A$116,'OCT-2026'!$A$4:$ADH$120,MATCH('FY-(26-27)Q3'!$G$2:$H$2,'OCT-2026'!$A$2:$DI$2,0),0),0)</f>
        <v>-24327</v>
      </c>
      <c r="H36" s="154">
        <f>IFERROR(VLOOKUP($A$3:$A$116,'OCT-2026'!$A$4:$ADH$120,MATCH('FY-(26-27)Q3'!$G$2:$H$2,'OCT-2026'!$A$2:$DI$2,0),0),0)</f>
        <v>-0.48653999999999997</v>
      </c>
      <c r="I36" s="152">
        <f>IFERROR(VLOOKUP($A$3:$A$116,'[1]NOV-2026'!$A$4:$ADL$124,MATCH('FY-(26-27)Q3'!$I$2:$J$2,'[1]NOV-2026'!$A$2:$DM$2,0),0),0)</f>
        <v>0</v>
      </c>
      <c r="J36" s="154">
        <f>IFERROR(VLOOKUP($A$3:$A$116,'[1]NOV-2026'!$A$4:$ADL$124,MATCH('FY-(26-27)Q3'!$I$2:$J$2,'[1]NOV-2026'!$A$2:$DM$2,0),0),0)</f>
        <v>0</v>
      </c>
      <c r="K36" s="152">
        <f>IFERROR(VLOOKUP($A$3:$A$116,'[2]DEC-2026'!$A$4:$AEE$125,MATCH('FY-(26-27)Q3'!$K$2:$L$2,'[2]DEC-2026'!$A$2:$EF$2,0),0),0)</f>
        <v>0</v>
      </c>
      <c r="L36" s="154">
        <f>IFERROR(VLOOKUP($A$3:$A$116,'[2]DEC-2026'!$A$4:$AEE$125,MATCH('FY-(26-27)Q3'!$K$2:$L$2,'[2]DEC-2026'!$A$2:$EF$2,0),0),0)</f>
        <v>0</v>
      </c>
      <c r="M36" s="71">
        <f t="shared" si="0"/>
        <v>-24327</v>
      </c>
      <c r="N36" s="165">
        <f t="shared" si="0"/>
        <v>-0.48653999999999997</v>
      </c>
    </row>
    <row r="37" spans="1:14" x14ac:dyDescent="0.25">
      <c r="A37" s="141" t="s">
        <v>45</v>
      </c>
      <c r="B37" s="142" t="s">
        <v>98</v>
      </c>
      <c r="C37" s="141" t="s">
        <v>220</v>
      </c>
      <c r="D37" s="141" t="s">
        <v>265</v>
      </c>
      <c r="E37" s="60" t="s">
        <v>256</v>
      </c>
      <c r="F37" s="155">
        <v>1</v>
      </c>
      <c r="G37" s="152">
        <f>IFERROR(VLOOKUP($A$3:$A$116,'OCT-2026'!$A$4:$ADH$120,MATCH('FY-(26-27)Q3'!$G$2:$H$2,'OCT-2026'!$A$2:$DI$2,0),0),0)</f>
        <v>728571</v>
      </c>
      <c r="H37" s="154">
        <f>IFERROR(VLOOKUP($A$3:$A$116,'OCT-2026'!$A$4:$ADH$120,MATCH('FY-(26-27)Q3'!$G$2:$H$2,'OCT-2026'!$A$2:$DI$2,0),0),0)</f>
        <v>2.4285700000000001</v>
      </c>
      <c r="I37" s="152">
        <f>IFERROR(VLOOKUP($A$3:$A$116,'[1]NOV-2026'!$A$4:$ADL$124,MATCH('FY-(26-27)Q3'!$I$2:$J$2,'[1]NOV-2026'!$A$2:$DM$2,0),0),0)</f>
        <v>0</v>
      </c>
      <c r="J37" s="154">
        <f>IFERROR(VLOOKUP($A$3:$A$116,'[1]NOV-2026'!$A$4:$ADL$124,MATCH('FY-(26-27)Q3'!$I$2:$J$2,'[1]NOV-2026'!$A$2:$DM$2,0),0),0)</f>
        <v>0</v>
      </c>
      <c r="K37" s="152">
        <f>IFERROR(VLOOKUP($A$3:$A$116,'[2]DEC-2026'!$A$4:$AEE$125,MATCH('FY-(26-27)Q3'!$K$2:$L$2,'[2]DEC-2026'!$A$2:$EF$2,0),0),0)</f>
        <v>0</v>
      </c>
      <c r="L37" s="154">
        <f>IFERROR(VLOOKUP($A$3:$A$116,'[2]DEC-2026'!$A$4:$AEE$125,MATCH('FY-(26-27)Q3'!$K$2:$L$2,'[2]DEC-2026'!$A$2:$EF$2,0),0),0)</f>
        <v>0</v>
      </c>
      <c r="M37" s="71">
        <f t="shared" si="0"/>
        <v>728571</v>
      </c>
      <c r="N37" s="165">
        <f t="shared" si="0"/>
        <v>2.4285700000000001</v>
      </c>
    </row>
    <row r="38" spans="1:14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52">
        <f>IFERROR(VLOOKUP($A$3:$A$116,'OCT-2026'!$A$4:$ADH$120,MATCH('FY-(26-27)Q3'!$G$2:$H$2,'OCT-2026'!$A$2:$DI$2,0),0),0)</f>
        <v>-72992</v>
      </c>
      <c r="H38" s="154">
        <f>IFERROR(VLOOKUP($A$3:$A$116,'OCT-2026'!$A$4:$ADH$120,MATCH('FY-(26-27)Q3'!$G$2:$H$2,'OCT-2026'!$A$2:$DI$2,0),0),0)</f>
        <v>-7.2991999999999999</v>
      </c>
      <c r="I38" s="152">
        <f>IFERROR(VLOOKUP($A$3:$A$116,'[1]NOV-2026'!$A$4:$ADL$124,MATCH('FY-(26-27)Q3'!$I$2:$J$2,'[1]NOV-2026'!$A$2:$DM$2,0),0),0)</f>
        <v>0</v>
      </c>
      <c r="J38" s="154">
        <f>IFERROR(VLOOKUP($A$3:$A$116,'[1]NOV-2026'!$A$4:$ADL$124,MATCH('FY-(26-27)Q3'!$I$2:$J$2,'[1]NOV-2026'!$A$2:$DM$2,0),0),0)</f>
        <v>0</v>
      </c>
      <c r="K38" s="152">
        <f>IFERROR(VLOOKUP($A$3:$A$116,'[2]DEC-2026'!$A$4:$AEE$125,MATCH('FY-(26-27)Q3'!$K$2:$L$2,'[2]DEC-2026'!$A$2:$EF$2,0),0),0)</f>
        <v>0</v>
      </c>
      <c r="L38" s="154">
        <f>IFERROR(VLOOKUP($A$3:$A$116,'[2]DEC-2026'!$A$4:$AEE$125,MATCH('FY-(26-27)Q3'!$K$2:$L$2,'[2]DEC-2026'!$A$2:$EF$2,0),0),0)</f>
        <v>0</v>
      </c>
      <c r="M38" s="71">
        <f t="shared" si="0"/>
        <v>-72992</v>
      </c>
      <c r="N38" s="165">
        <f t="shared" si="0"/>
        <v>-7.2991999999999999</v>
      </c>
    </row>
    <row r="39" spans="1:14" x14ac:dyDescent="0.25">
      <c r="A39" s="141" t="s">
        <v>132</v>
      </c>
      <c r="B39" s="142" t="s">
        <v>129</v>
      </c>
      <c r="C39" s="141" t="s">
        <v>17</v>
      </c>
      <c r="D39" s="141" t="s">
        <v>267</v>
      </c>
      <c r="E39" s="37" t="s">
        <v>256</v>
      </c>
      <c r="F39" s="155">
        <v>1</v>
      </c>
      <c r="G39" s="152">
        <f>IFERROR(VLOOKUP($A$3:$A$116,'OCT-2026'!$A$4:$ADH$120,MATCH('FY-(26-27)Q3'!$G$2:$H$2,'OCT-2026'!$A$2:$DI$2,0),0),0)</f>
        <v>80741</v>
      </c>
      <c r="H39" s="154">
        <f>IFERROR(VLOOKUP($A$3:$A$116,'OCT-2026'!$A$4:$ADH$120,MATCH('FY-(26-27)Q3'!$G$2:$H$2,'OCT-2026'!$A$2:$DI$2,0),0),0)</f>
        <v>1.6148199999999999</v>
      </c>
      <c r="I39" s="152">
        <f>IFERROR(VLOOKUP($A$3:$A$116,'[1]NOV-2026'!$A$4:$ADL$124,MATCH('FY-(26-27)Q3'!$I$2:$J$2,'[1]NOV-2026'!$A$2:$DM$2,0),0),0)</f>
        <v>0</v>
      </c>
      <c r="J39" s="154">
        <f>IFERROR(VLOOKUP($A$3:$A$116,'[1]NOV-2026'!$A$4:$ADL$124,MATCH('FY-(26-27)Q3'!$I$2:$J$2,'[1]NOV-2026'!$A$2:$DM$2,0),0),0)</f>
        <v>0</v>
      </c>
      <c r="K39" s="152">
        <f>IFERROR(VLOOKUP($A$3:$A$116,'[2]DEC-2026'!$A$4:$AEE$125,MATCH('FY-(26-27)Q3'!$K$2:$L$2,'[2]DEC-2026'!$A$2:$EF$2,0),0),0)</f>
        <v>0</v>
      </c>
      <c r="L39" s="154">
        <f>IFERROR(VLOOKUP($A$3:$A$116,'[2]DEC-2026'!$A$4:$AEE$125,MATCH('FY-(26-27)Q3'!$K$2:$L$2,'[2]DEC-2026'!$A$2:$EF$2,0),0),0)</f>
        <v>0</v>
      </c>
      <c r="M39" s="71">
        <f t="shared" si="0"/>
        <v>80741</v>
      </c>
      <c r="N39" s="165">
        <f t="shared" si="0"/>
        <v>1.6148199999999999</v>
      </c>
    </row>
    <row r="40" spans="1:14" x14ac:dyDescent="0.25">
      <c r="A40" s="141" t="s">
        <v>48</v>
      </c>
      <c r="B40" s="140" t="s">
        <v>95</v>
      </c>
      <c r="C40" s="141" t="s">
        <v>50</v>
      </c>
      <c r="D40" s="40" t="s">
        <v>107</v>
      </c>
      <c r="E40" s="40" t="s">
        <v>107</v>
      </c>
      <c r="F40" s="118">
        <v>1</v>
      </c>
      <c r="G40" s="152">
        <f>IFERROR(VLOOKUP($A$3:$A$116,'OCT-2026'!$A$4:$ADH$120,MATCH('FY-(26-27)Q3'!$G$2:$H$2,'OCT-2026'!$A$2:$DI$2,0),0),0)</f>
        <v>-963743</v>
      </c>
      <c r="H40" s="154">
        <f>IFERROR(VLOOKUP($A$3:$A$116,'OCT-2026'!$A$4:$ADH$120,MATCH('FY-(26-27)Q3'!$G$2:$H$2,'OCT-2026'!$A$2:$DI$2,0),0),0)</f>
        <v>-9.6374300000000002</v>
      </c>
      <c r="I40" s="152">
        <f>IFERROR(VLOOKUP($A$3:$A$116,'[1]NOV-2026'!$A$4:$ADL$124,MATCH('FY-(26-27)Q3'!$I$2:$J$2,'[1]NOV-2026'!$A$2:$DM$2,0),0),0)</f>
        <v>0</v>
      </c>
      <c r="J40" s="154">
        <f>IFERROR(VLOOKUP($A$3:$A$116,'[1]NOV-2026'!$A$4:$ADL$124,MATCH('FY-(26-27)Q3'!$I$2:$J$2,'[1]NOV-2026'!$A$2:$DM$2,0),0),0)</f>
        <v>0</v>
      </c>
      <c r="K40" s="152">
        <f>IFERROR(VLOOKUP($A$3:$A$116,'[2]DEC-2026'!$A$4:$AEE$125,MATCH('FY-(26-27)Q3'!$K$2:$L$2,'[2]DEC-2026'!$A$2:$EF$2,0),0),0)</f>
        <v>0</v>
      </c>
      <c r="L40" s="154">
        <f>IFERROR(VLOOKUP($A$3:$A$116,'[2]DEC-2026'!$A$4:$AEE$125,MATCH('FY-(26-27)Q3'!$K$2:$L$2,'[2]DEC-2026'!$A$2:$EF$2,0),0),0)</f>
        <v>0</v>
      </c>
      <c r="M40" s="71">
        <f t="shared" si="0"/>
        <v>-963743</v>
      </c>
      <c r="N40" s="165">
        <f t="shared" si="0"/>
        <v>-9.6374300000000002</v>
      </c>
    </row>
    <row r="41" spans="1:14" x14ac:dyDescent="0.25">
      <c r="A41" s="141" t="s">
        <v>336</v>
      </c>
      <c r="B41" s="140" t="s">
        <v>95</v>
      </c>
      <c r="C41" s="141" t="s">
        <v>337</v>
      </c>
      <c r="D41" s="162" t="s">
        <v>334</v>
      </c>
      <c r="E41" s="141" t="s">
        <v>256</v>
      </c>
      <c r="F41" s="163">
        <v>0.5</v>
      </c>
      <c r="G41" s="152">
        <f>IFERROR(VLOOKUP($A$3:$A$116,'OCT-2026'!$A$4:$ADH$120,MATCH('FY-(26-27)Q3'!$G$2:$H$2,'OCT-2026'!$A$2:$DI$2,0),0),0)</f>
        <v>495990</v>
      </c>
      <c r="H41" s="154">
        <f>IFERROR(VLOOKUP($A$3:$A$116,'OCT-2026'!$A$4:$ADH$120,MATCH('FY-(26-27)Q3'!$G$2:$H$2,'OCT-2026'!$A$2:$DI$2,0),0),0)</f>
        <v>9.9198000000000004</v>
      </c>
      <c r="I41" s="152">
        <f>IFERROR(VLOOKUP($A$3:$A$116,'[1]NOV-2026'!$A$4:$ADL$124,MATCH('FY-(26-27)Q3'!$I$2:$J$2,'[1]NOV-2026'!$A$2:$DM$2,0),0),0)</f>
        <v>0</v>
      </c>
      <c r="J41" s="154">
        <f>IFERROR(VLOOKUP($A$3:$A$116,'[1]NOV-2026'!$A$4:$ADL$124,MATCH('FY-(26-27)Q3'!$I$2:$J$2,'[1]NOV-2026'!$A$2:$DM$2,0),0),0)</f>
        <v>0</v>
      </c>
      <c r="K41" s="152">
        <f>IFERROR(VLOOKUP($A$3:$A$116,'[2]DEC-2026'!$A$4:$AEE$125,MATCH('FY-(26-27)Q3'!$K$2:$L$2,'[2]DEC-2026'!$A$2:$EF$2,0),0),0)</f>
        <v>0</v>
      </c>
      <c r="L41" s="154">
        <f>IFERROR(VLOOKUP($A$3:$A$116,'[2]DEC-2026'!$A$4:$AEE$125,MATCH('FY-(26-27)Q3'!$K$2:$L$2,'[2]DEC-2026'!$A$2:$EF$2,0),0),0)</f>
        <v>0</v>
      </c>
      <c r="M41" s="71">
        <f t="shared" ref="M41" si="5">G41+I41+K41</f>
        <v>495990</v>
      </c>
      <c r="N41" s="165">
        <f t="shared" ref="N41" si="6">H41+J41+L41</f>
        <v>9.9198000000000004</v>
      </c>
    </row>
    <row r="42" spans="1:14" x14ac:dyDescent="0.25">
      <c r="A42" s="141" t="s">
        <v>301</v>
      </c>
      <c r="B42" s="140" t="s">
        <v>295</v>
      </c>
      <c r="C42" s="162" t="s">
        <v>296</v>
      </c>
      <c r="D42" s="162"/>
      <c r="E42" s="162" t="s">
        <v>256</v>
      </c>
      <c r="F42" s="163">
        <v>0.1</v>
      </c>
      <c r="G42" s="152">
        <f>IFERROR(VLOOKUP($A$3:$A$116,'OCT-2026'!$A$4:$ADH$120,MATCH('FY-(26-27)Q3'!$G$2:$H$2,'OCT-2026'!$A$2:$DI$2,0),0),0)</f>
        <v>-33213</v>
      </c>
      <c r="H42" s="154">
        <f>IFERROR(VLOOKUP($A$3:$A$116,'OCT-2026'!$A$4:$ADH$120,MATCH('FY-(26-27)Q3'!$G$2:$H$2,'OCT-2026'!$A$2:$DI$2,0),0),0)</f>
        <v>-0.66425999999999996</v>
      </c>
      <c r="I42" s="152">
        <f>IFERROR(VLOOKUP($A$3:$A$116,'[1]NOV-2026'!$A$4:$ADL$124,MATCH('FY-(26-27)Q3'!$I$2:$J$2,'[1]NOV-2026'!$A$2:$DM$2,0),0),0)</f>
        <v>0</v>
      </c>
      <c r="J42" s="154">
        <f>IFERROR(VLOOKUP($A$3:$A$116,'[1]NOV-2026'!$A$4:$ADL$124,MATCH('FY-(26-27)Q3'!$I$2:$J$2,'[1]NOV-2026'!$A$2:$DM$2,0),0),0)</f>
        <v>0</v>
      </c>
      <c r="K42" s="152">
        <f>IFERROR(VLOOKUP($A$3:$A$116,'[2]DEC-2026'!$A$4:$AEE$125,MATCH('FY-(26-27)Q3'!$K$2:$L$2,'[2]DEC-2026'!$A$2:$EF$2,0),0),0)</f>
        <v>0</v>
      </c>
      <c r="L42" s="154">
        <f>IFERROR(VLOOKUP($A$3:$A$116,'[2]DEC-2026'!$A$4:$AEE$125,MATCH('FY-(26-27)Q3'!$K$2:$L$2,'[2]DEC-2026'!$A$2:$EF$2,0),0),0)</f>
        <v>0</v>
      </c>
      <c r="M42" s="71">
        <f t="shared" si="0"/>
        <v>-33213</v>
      </c>
      <c r="N42" s="165">
        <f t="shared" si="0"/>
        <v>-0.66425999999999996</v>
      </c>
    </row>
    <row r="43" spans="1:14" x14ac:dyDescent="0.25">
      <c r="A43" s="142" t="s">
        <v>33</v>
      </c>
      <c r="B43" s="140" t="s">
        <v>14</v>
      </c>
      <c r="C43" s="142" t="s">
        <v>13</v>
      </c>
      <c r="D43" s="140" t="s">
        <v>14</v>
      </c>
      <c r="E43" s="37" t="s">
        <v>256</v>
      </c>
      <c r="F43" s="118">
        <v>1</v>
      </c>
      <c r="G43" s="152">
        <f>IFERROR(VLOOKUP($A$3:$A$116,'OCT-2026'!$A$4:$ADH$120,MATCH('FY-(26-27)Q3'!$G$2:$H$2,'OCT-2026'!$A$2:$DI$2,0),0),0)</f>
        <v>1105039</v>
      </c>
      <c r="H43" s="154">
        <f>IFERROR(VLOOKUP($A$3:$A$116,'OCT-2026'!$A$4:$ADH$120,MATCH('FY-(26-27)Q3'!$G$2:$H$2,'OCT-2026'!$A$2:$DI$2,0),0),0)</f>
        <v>3.6834633333333326</v>
      </c>
      <c r="I43" s="152">
        <f>IFERROR(VLOOKUP($A$3:$A$116,'[1]NOV-2026'!$A$4:$ADL$124,MATCH('FY-(26-27)Q3'!$I$2:$J$2,'[1]NOV-2026'!$A$2:$DM$2,0),0),0)</f>
        <v>0</v>
      </c>
      <c r="J43" s="154">
        <f>IFERROR(VLOOKUP($A$3:$A$116,'[1]NOV-2026'!$A$4:$ADL$124,MATCH('FY-(26-27)Q3'!$I$2:$J$2,'[1]NOV-2026'!$A$2:$DM$2,0),0),0)</f>
        <v>0</v>
      </c>
      <c r="K43" s="152">
        <f>IFERROR(VLOOKUP($A$3:$A$116,'[2]DEC-2026'!$A$4:$AEE$125,MATCH('FY-(26-27)Q3'!$K$2:$L$2,'[2]DEC-2026'!$A$2:$EF$2,0),0),0)</f>
        <v>0</v>
      </c>
      <c r="L43" s="154">
        <f>IFERROR(VLOOKUP($A$3:$A$116,'[2]DEC-2026'!$A$4:$AEE$125,MATCH('FY-(26-27)Q3'!$K$2:$L$2,'[2]DEC-2026'!$A$2:$EF$2,0),0),0)</f>
        <v>0</v>
      </c>
      <c r="M43" s="71">
        <f t="shared" si="0"/>
        <v>1105039</v>
      </c>
      <c r="N43" s="165">
        <f t="shared" si="0"/>
        <v>3.6834633333333326</v>
      </c>
    </row>
    <row r="44" spans="1:14" x14ac:dyDescent="0.25">
      <c r="A44" s="141" t="s">
        <v>201</v>
      </c>
      <c r="B44" s="140" t="s">
        <v>169</v>
      </c>
      <c r="C44" s="142"/>
      <c r="D44" s="62"/>
      <c r="E44" s="60"/>
      <c r="F44" s="114">
        <v>1</v>
      </c>
      <c r="G44" s="152">
        <f>IFERROR(VLOOKUP($A$3:$A$116,'OCT-2026'!$A$4:$ADH$120,MATCH('FY-(26-27)Q3'!$G$2:$H$2,'OCT-2026'!$A$2:$DI$2,0),0),0)</f>
        <v>0</v>
      </c>
      <c r="H44" s="154">
        <f>IFERROR(VLOOKUP($A$3:$A$116,'OCT-2026'!$A$4:$ADH$120,MATCH('FY-(26-27)Q3'!$G$2:$H$2,'OCT-2026'!$A$2:$DI$2,0),0),0)</f>
        <v>0</v>
      </c>
      <c r="I44" s="152">
        <f>IFERROR(VLOOKUP($A$3:$A$116,'[1]NOV-2026'!$A$4:$ADL$124,MATCH('FY-(26-27)Q3'!$I$2:$J$2,'[1]NOV-2026'!$A$2:$DM$2,0),0),0)</f>
        <v>0</v>
      </c>
      <c r="J44" s="154">
        <f>IFERROR(VLOOKUP($A$3:$A$116,'[1]NOV-2026'!$A$4:$ADL$124,MATCH('FY-(26-27)Q3'!$I$2:$J$2,'[1]NOV-2026'!$A$2:$DM$2,0),0),0)</f>
        <v>0</v>
      </c>
      <c r="K44" s="152">
        <f>IFERROR(VLOOKUP($A$3:$A$116,'[2]DEC-2026'!$A$4:$AEE$125,MATCH('FY-(26-27)Q3'!$K$2:$L$2,'[2]DEC-2026'!$A$2:$EF$2,0),0),0)</f>
        <v>0</v>
      </c>
      <c r="L44" s="154">
        <f>IFERROR(VLOOKUP($A$3:$A$116,'[2]DEC-2026'!$A$4:$AEE$125,MATCH('FY-(26-27)Q3'!$K$2:$L$2,'[2]DEC-2026'!$A$2:$EF$2,0),0),0)</f>
        <v>0</v>
      </c>
      <c r="M44" s="71">
        <f t="shared" si="0"/>
        <v>0</v>
      </c>
      <c r="N44" s="165">
        <f t="shared" si="0"/>
        <v>0</v>
      </c>
    </row>
    <row r="45" spans="1:14" x14ac:dyDescent="0.25">
      <c r="A45" s="142" t="s">
        <v>168</v>
      </c>
      <c r="B45" s="140" t="s">
        <v>169</v>
      </c>
      <c r="C45" s="132" t="s">
        <v>255</v>
      </c>
      <c r="D45" s="162" t="s">
        <v>253</v>
      </c>
      <c r="E45" s="162" t="s">
        <v>253</v>
      </c>
      <c r="F45" s="114">
        <v>4</v>
      </c>
      <c r="G45" s="152">
        <f>IFERROR(VLOOKUP($A$3:$A$116,'OCT-2026'!$A$4:$ADH$120,MATCH('FY-(26-27)Q3'!$G$2:$H$2,'OCT-2026'!$A$2:$DI$2,0),0),0)</f>
        <v>80210</v>
      </c>
      <c r="H45" s="154">
        <f>IFERROR(VLOOKUP($A$3:$A$116,'OCT-2026'!$A$4:$ADH$120,MATCH('FY-(26-27)Q3'!$G$2:$H$2,'OCT-2026'!$A$2:$DI$2,0),0),0)</f>
        <v>0.20052500000000001</v>
      </c>
      <c r="I45" s="152">
        <f>IFERROR(VLOOKUP($A$3:$A$116,'[1]NOV-2026'!$A$4:$ADL$124,MATCH('FY-(26-27)Q3'!$I$2:$J$2,'[1]NOV-2026'!$A$2:$DM$2,0),0),0)</f>
        <v>0</v>
      </c>
      <c r="J45" s="154">
        <f>IFERROR(VLOOKUP($A$3:$A$116,'[1]NOV-2026'!$A$4:$ADL$124,MATCH('FY-(26-27)Q3'!$I$2:$J$2,'[1]NOV-2026'!$A$2:$DM$2,0),0),0)</f>
        <v>0</v>
      </c>
      <c r="K45" s="152">
        <f>IFERROR(VLOOKUP($A$3:$A$116,'[2]DEC-2026'!$A$4:$AEE$125,MATCH('FY-(26-27)Q3'!$K$2:$L$2,'[2]DEC-2026'!$A$2:$EF$2,0),0),0)</f>
        <v>0</v>
      </c>
      <c r="L45" s="154">
        <f>IFERROR(VLOOKUP($A$3:$A$116,'[2]DEC-2026'!$A$4:$AEE$125,MATCH('FY-(26-27)Q3'!$K$2:$L$2,'[2]DEC-2026'!$A$2:$EF$2,0),0),0)</f>
        <v>0</v>
      </c>
      <c r="M45" s="71">
        <f t="shared" si="0"/>
        <v>80210</v>
      </c>
      <c r="N45" s="165">
        <f t="shared" si="0"/>
        <v>0.20052500000000001</v>
      </c>
    </row>
    <row r="46" spans="1:14" x14ac:dyDescent="0.25">
      <c r="A46" s="142" t="s">
        <v>202</v>
      </c>
      <c r="B46" s="140" t="s">
        <v>169</v>
      </c>
      <c r="C46" s="59" t="s">
        <v>255</v>
      </c>
      <c r="D46" s="162" t="s">
        <v>116</v>
      </c>
      <c r="E46" s="162" t="s">
        <v>256</v>
      </c>
      <c r="F46" s="114">
        <v>4</v>
      </c>
      <c r="G46" s="152">
        <f>IFERROR(VLOOKUP($A$3:$A$116,'OCT-2026'!$A$4:$ADH$120,MATCH('FY-(26-27)Q3'!$G$2:$H$2,'OCT-2026'!$A$2:$DI$2,0),0),0)</f>
        <v>8361</v>
      </c>
      <c r="H46" s="154">
        <f>IFERROR(VLOOKUP($A$3:$A$116,'OCT-2026'!$A$4:$ADH$120,MATCH('FY-(26-27)Q3'!$G$2:$H$2,'OCT-2026'!$A$2:$DI$2,0),0),0)</f>
        <v>2.0902500000000001E-2</v>
      </c>
      <c r="I46" s="152">
        <f>IFERROR(VLOOKUP($A$3:$A$116,'[1]NOV-2026'!$A$4:$ADL$124,MATCH('FY-(26-27)Q3'!$I$2:$J$2,'[1]NOV-2026'!$A$2:$DM$2,0),0),0)</f>
        <v>0</v>
      </c>
      <c r="J46" s="154">
        <f>IFERROR(VLOOKUP($A$3:$A$116,'[1]NOV-2026'!$A$4:$ADL$124,MATCH('FY-(26-27)Q3'!$I$2:$J$2,'[1]NOV-2026'!$A$2:$DM$2,0),0),0)</f>
        <v>0</v>
      </c>
      <c r="K46" s="152">
        <f>IFERROR(VLOOKUP($A$3:$A$116,'[2]DEC-2026'!$A$4:$AEE$125,MATCH('FY-(26-27)Q3'!$K$2:$L$2,'[2]DEC-2026'!$A$2:$EF$2,0),0),0)</f>
        <v>0</v>
      </c>
      <c r="L46" s="154">
        <f>IFERROR(VLOOKUP($A$3:$A$116,'[2]DEC-2026'!$A$4:$AEE$125,MATCH('FY-(26-27)Q3'!$K$2:$L$2,'[2]DEC-2026'!$A$2:$EF$2,0),0),0)</f>
        <v>0</v>
      </c>
      <c r="M46" s="71">
        <f t="shared" si="0"/>
        <v>8361</v>
      </c>
      <c r="N46" s="165">
        <f t="shared" si="0"/>
        <v>2.0902500000000001E-2</v>
      </c>
    </row>
    <row r="47" spans="1:14" x14ac:dyDescent="0.25">
      <c r="A47" s="59" t="s">
        <v>306</v>
      </c>
      <c r="B47" s="62" t="s">
        <v>304</v>
      </c>
      <c r="C47" s="59" t="s">
        <v>128</v>
      </c>
      <c r="D47" s="140"/>
      <c r="E47" s="140" t="s">
        <v>256</v>
      </c>
      <c r="F47" s="114">
        <v>0.1</v>
      </c>
      <c r="G47" s="152">
        <f>IFERROR(VLOOKUP($A$3:$A$116,'OCT-2026'!$A$4:$ADH$120,MATCH('FY-(26-27)Q3'!$G$2:$H$2,'OCT-2026'!$A$2:$DI$2,0),0),0)</f>
        <v>-3132740</v>
      </c>
      <c r="H47" s="154">
        <f>IFERROR(VLOOKUP($A$3:$A$116,'OCT-2026'!$A$4:$ADH$120,MATCH('FY-(26-27)Q3'!$G$2:$H$2,'OCT-2026'!$A$2:$DI$2,0),0),0)</f>
        <v>-3.1327400000000001</v>
      </c>
      <c r="I47" s="152">
        <f>IFERROR(VLOOKUP($A$3:$A$116,'[1]NOV-2026'!$A$4:$ADL$124,MATCH('FY-(26-27)Q3'!$I$2:$J$2,'[1]NOV-2026'!$A$2:$DM$2,0),0),0)</f>
        <v>0</v>
      </c>
      <c r="J47" s="154">
        <f>IFERROR(VLOOKUP($A$3:$A$116,'[1]NOV-2026'!$A$4:$ADL$124,MATCH('FY-(26-27)Q3'!$I$2:$J$2,'[1]NOV-2026'!$A$2:$DM$2,0),0),0)</f>
        <v>0</v>
      </c>
      <c r="K47" s="152">
        <f>IFERROR(VLOOKUP($A$3:$A$116,'[2]DEC-2026'!$A$4:$AEE$125,MATCH('FY-(26-27)Q3'!$K$2:$L$2,'[2]DEC-2026'!$A$2:$EF$2,0),0),0)</f>
        <v>0</v>
      </c>
      <c r="L47" s="154">
        <f>IFERROR(VLOOKUP($A$3:$A$116,'[2]DEC-2026'!$A$4:$AEE$125,MATCH('FY-(26-27)Q3'!$K$2:$L$2,'[2]DEC-2026'!$A$2:$EF$2,0),0),0)</f>
        <v>0</v>
      </c>
      <c r="M47" s="71">
        <f t="shared" si="0"/>
        <v>-3132740</v>
      </c>
      <c r="N47" s="165">
        <f t="shared" si="0"/>
        <v>-3.1327400000000001</v>
      </c>
    </row>
    <row r="48" spans="1:14" x14ac:dyDescent="0.25">
      <c r="A48" s="59"/>
      <c r="B48" s="62" t="s">
        <v>304</v>
      </c>
      <c r="C48" s="59" t="s">
        <v>274</v>
      </c>
      <c r="D48" s="140"/>
      <c r="E48" s="140" t="s">
        <v>256</v>
      </c>
      <c r="F48" s="114"/>
      <c r="G48" s="152">
        <f>IFERROR(VLOOKUP($A$3:$A$116,'OCT-2026'!$A$4:$ADH$120,MATCH('FY-(26-27)Q3'!$G$2:$H$2,'OCT-2026'!$A$2:$DI$2,0),0),0)</f>
        <v>0</v>
      </c>
      <c r="H48" s="154">
        <f>IFERROR(VLOOKUP($A$3:$A$116,'OCT-2026'!$A$4:$ADH$120,MATCH('FY-(26-27)Q3'!$G$2:$H$2,'OCT-2026'!$A$2:$DI$2,0),0),0)</f>
        <v>0</v>
      </c>
      <c r="I48" s="152">
        <f>IFERROR(VLOOKUP($A$3:$A$116,'[1]NOV-2026'!$A$4:$ADL$124,MATCH('FY-(26-27)Q3'!$I$2:$J$2,'[1]NOV-2026'!$A$2:$DM$2,0),0),0)</f>
        <v>0</v>
      </c>
      <c r="J48" s="154">
        <f>IFERROR(VLOOKUP($A$3:$A$116,'[1]NOV-2026'!$A$4:$ADL$124,MATCH('FY-(26-27)Q3'!$I$2:$J$2,'[1]NOV-2026'!$A$2:$DM$2,0),0),0)</f>
        <v>0</v>
      </c>
      <c r="K48" s="152">
        <f>IFERROR(VLOOKUP($A$3:$A$116,'[2]DEC-2026'!$A$4:$AEE$125,MATCH('FY-(26-27)Q3'!$K$2:$L$2,'[2]DEC-2026'!$A$2:$EF$2,0),0),0)</f>
        <v>0</v>
      </c>
      <c r="L48" s="154">
        <f>IFERROR(VLOOKUP($A$3:$A$116,'[2]DEC-2026'!$A$4:$AEE$125,MATCH('FY-(26-27)Q3'!$K$2:$L$2,'[2]DEC-2026'!$A$2:$EF$2,0),0),0)</f>
        <v>0</v>
      </c>
      <c r="M48" s="71">
        <f t="shared" si="0"/>
        <v>0</v>
      </c>
      <c r="N48" s="165">
        <f t="shared" si="0"/>
        <v>0</v>
      </c>
    </row>
    <row r="49" spans="1:14" x14ac:dyDescent="0.25">
      <c r="A49" s="59" t="s">
        <v>197</v>
      </c>
      <c r="B49" s="62" t="s">
        <v>195</v>
      </c>
      <c r="C49" s="59" t="s">
        <v>196</v>
      </c>
      <c r="D49" s="62" t="s">
        <v>195</v>
      </c>
      <c r="E49" s="162" t="s">
        <v>256</v>
      </c>
      <c r="F49" s="114">
        <v>0.5</v>
      </c>
      <c r="G49" s="152">
        <f>IFERROR(VLOOKUP($A$3:$A$116,'OCT-2026'!$A$4:$ADH$120,MATCH('FY-(26-27)Q3'!$G$2:$H$2,'OCT-2026'!$A$2:$DI$2,0),0),0)</f>
        <v>61459</v>
      </c>
      <c r="H49" s="154">
        <f>IFERROR(VLOOKUP($A$3:$A$116,'OCT-2026'!$A$4:$ADH$120,MATCH('FY-(26-27)Q3'!$G$2:$H$2,'OCT-2026'!$A$2:$DI$2,0),0),0)</f>
        <v>1.2291799999999999</v>
      </c>
      <c r="I49" s="152">
        <f>IFERROR(VLOOKUP($A$3:$A$116,'[1]NOV-2026'!$A$4:$ADL$124,MATCH('FY-(26-27)Q3'!$I$2:$J$2,'[1]NOV-2026'!$A$2:$DM$2,0),0),0)</f>
        <v>0</v>
      </c>
      <c r="J49" s="154">
        <f>IFERROR(VLOOKUP($A$3:$A$116,'[1]NOV-2026'!$A$4:$ADL$124,MATCH('FY-(26-27)Q3'!$I$2:$J$2,'[1]NOV-2026'!$A$2:$DM$2,0),0),0)</f>
        <v>0</v>
      </c>
      <c r="K49" s="152">
        <f>IFERROR(VLOOKUP($A$3:$A$116,'[2]DEC-2026'!$A$4:$AEE$125,MATCH('FY-(26-27)Q3'!$K$2:$L$2,'[2]DEC-2026'!$A$2:$EF$2,0),0),0)</f>
        <v>0</v>
      </c>
      <c r="L49" s="154">
        <f>IFERROR(VLOOKUP($A$3:$A$116,'[2]DEC-2026'!$A$4:$AEE$125,MATCH('FY-(26-27)Q3'!$K$2:$L$2,'[2]DEC-2026'!$A$2:$EF$2,0),0),0)</f>
        <v>0</v>
      </c>
      <c r="M49" s="71">
        <f t="shared" si="0"/>
        <v>61459</v>
      </c>
      <c r="N49" s="165">
        <f t="shared" si="0"/>
        <v>1.2291799999999999</v>
      </c>
    </row>
    <row r="50" spans="1:14" x14ac:dyDescent="0.25">
      <c r="A50" s="59" t="s">
        <v>213</v>
      </c>
      <c r="B50" s="62" t="s">
        <v>209</v>
      </c>
      <c r="C50" s="59" t="s">
        <v>210</v>
      </c>
      <c r="D50" s="62" t="s">
        <v>209</v>
      </c>
      <c r="E50" s="162" t="s">
        <v>256</v>
      </c>
      <c r="F50" s="114">
        <v>5</v>
      </c>
      <c r="G50" s="152">
        <f>IFERROR(VLOOKUP($A$3:$A$116,'OCT-2026'!$A$4:$ADH$120,MATCH('FY-(26-27)Q3'!$G$2:$H$2,'OCT-2026'!$A$2:$DI$2,0),0),0)</f>
        <v>369643</v>
      </c>
      <c r="H50" s="154">
        <f>IFERROR(VLOOKUP($A$3:$A$116,'OCT-2026'!$A$4:$ADH$120,MATCH('FY-(26-27)Q3'!$G$2:$H$2,'OCT-2026'!$A$2:$DI$2,0),0),0)</f>
        <v>0.56868153846153835</v>
      </c>
      <c r="I50" s="152">
        <f>IFERROR(VLOOKUP($A$3:$A$116,'[1]NOV-2026'!$A$4:$ADL$124,MATCH('FY-(26-27)Q3'!$I$2:$J$2,'[1]NOV-2026'!$A$2:$DM$2,0),0),0)</f>
        <v>0</v>
      </c>
      <c r="J50" s="154">
        <f>IFERROR(VLOOKUP($A$3:$A$116,'[1]NOV-2026'!$A$4:$ADL$124,MATCH('FY-(26-27)Q3'!$I$2:$J$2,'[1]NOV-2026'!$A$2:$DM$2,0),0),0)</f>
        <v>0</v>
      </c>
      <c r="K50" s="152">
        <f>IFERROR(VLOOKUP($A$3:$A$116,'[2]DEC-2026'!$A$4:$AEE$125,MATCH('FY-(26-27)Q3'!$K$2:$L$2,'[2]DEC-2026'!$A$2:$EF$2,0),0),0)</f>
        <v>0</v>
      </c>
      <c r="L50" s="154">
        <f>IFERROR(VLOOKUP($A$3:$A$116,'[2]DEC-2026'!$A$4:$AEE$125,MATCH('FY-(26-27)Q3'!$K$2:$L$2,'[2]DEC-2026'!$A$2:$EF$2,0),0),0)</f>
        <v>0</v>
      </c>
      <c r="M50" s="71">
        <f t="shared" si="0"/>
        <v>369643</v>
      </c>
      <c r="N50" s="165">
        <f t="shared" si="0"/>
        <v>0.56868153846153835</v>
      </c>
    </row>
    <row r="51" spans="1:14" x14ac:dyDescent="0.25">
      <c r="A51" s="59" t="s">
        <v>214</v>
      </c>
      <c r="B51" s="62" t="s">
        <v>209</v>
      </c>
      <c r="C51" s="59" t="s">
        <v>211</v>
      </c>
      <c r="D51" s="62" t="s">
        <v>209</v>
      </c>
      <c r="E51" s="162" t="s">
        <v>256</v>
      </c>
      <c r="F51" s="114">
        <v>1</v>
      </c>
      <c r="G51" s="152">
        <f>IFERROR(VLOOKUP($A$3:$A$116,'OCT-2026'!$A$4:$ADH$120,MATCH('FY-(26-27)Q3'!$G$2:$H$2,'OCT-2026'!$A$2:$DI$2,0),0),0)</f>
        <v>0</v>
      </c>
      <c r="H51" s="154">
        <f>IFERROR(VLOOKUP($A$3:$A$116,'OCT-2026'!$A$4:$ADH$120,MATCH('FY-(26-27)Q3'!$G$2:$H$2,'OCT-2026'!$A$2:$DI$2,0),0),0)</f>
        <v>0</v>
      </c>
      <c r="I51" s="152">
        <f>IFERROR(VLOOKUP($A$3:$A$116,'[1]NOV-2026'!$A$4:$ADL$124,MATCH('FY-(26-27)Q3'!$I$2:$J$2,'[1]NOV-2026'!$A$2:$DM$2,0),0),0)</f>
        <v>0</v>
      </c>
      <c r="J51" s="154">
        <f>IFERROR(VLOOKUP($A$3:$A$116,'[1]NOV-2026'!$A$4:$ADL$124,MATCH('FY-(26-27)Q3'!$I$2:$J$2,'[1]NOV-2026'!$A$2:$DM$2,0),0),0)</f>
        <v>0</v>
      </c>
      <c r="K51" s="152">
        <f>IFERROR(VLOOKUP($A$3:$A$116,'[2]DEC-2026'!$A$4:$AEE$125,MATCH('FY-(26-27)Q3'!$K$2:$L$2,'[2]DEC-2026'!$A$2:$EF$2,0),0),0)</f>
        <v>0</v>
      </c>
      <c r="L51" s="154">
        <f>IFERROR(VLOOKUP($A$3:$A$116,'[2]DEC-2026'!$A$4:$AEE$125,MATCH('FY-(26-27)Q3'!$K$2:$L$2,'[2]DEC-2026'!$A$2:$EF$2,0),0),0)</f>
        <v>0</v>
      </c>
      <c r="M51" s="71">
        <f t="shared" si="0"/>
        <v>0</v>
      </c>
      <c r="N51" s="165">
        <f t="shared" si="0"/>
        <v>0</v>
      </c>
    </row>
    <row r="52" spans="1:14" x14ac:dyDescent="0.25">
      <c r="A52" s="59" t="s">
        <v>49</v>
      </c>
      <c r="B52" s="59" t="s">
        <v>99</v>
      </c>
      <c r="C52" s="59" t="s">
        <v>100</v>
      </c>
      <c r="D52" s="59" t="s">
        <v>99</v>
      </c>
      <c r="E52" s="59" t="s">
        <v>256</v>
      </c>
      <c r="F52" s="114">
        <v>2.5</v>
      </c>
      <c r="G52" s="152">
        <f>IFERROR(VLOOKUP($A$3:$A$116,'OCT-2026'!$A$4:$ADH$120,MATCH('FY-(26-27)Q3'!$G$2:$H$2,'OCT-2026'!$A$2:$DI$2,0),0),0)</f>
        <v>311687</v>
      </c>
      <c r="H52" s="154">
        <f>IFERROR(VLOOKUP($A$3:$A$116,'OCT-2026'!$A$4:$ADH$120,MATCH('FY-(26-27)Q3'!$G$2:$H$2,'OCT-2026'!$A$2:$DI$2,0),0),0)</f>
        <v>1.0389566666666668</v>
      </c>
      <c r="I52" s="152">
        <f>IFERROR(VLOOKUP($A$3:$A$116,'[1]NOV-2026'!$A$4:$ADL$124,MATCH('FY-(26-27)Q3'!$I$2:$J$2,'[1]NOV-2026'!$A$2:$DM$2,0),0),0)</f>
        <v>0</v>
      </c>
      <c r="J52" s="154">
        <f>IFERROR(VLOOKUP($A$3:$A$116,'[1]NOV-2026'!$A$4:$ADL$124,MATCH('FY-(26-27)Q3'!$I$2:$J$2,'[1]NOV-2026'!$A$2:$DM$2,0),0),0)</f>
        <v>0</v>
      </c>
      <c r="K52" s="152">
        <f>IFERROR(VLOOKUP($A$3:$A$116,'[2]DEC-2026'!$A$4:$AEE$125,MATCH('FY-(26-27)Q3'!$K$2:$L$2,'[2]DEC-2026'!$A$2:$EF$2,0),0),0)</f>
        <v>0</v>
      </c>
      <c r="L52" s="154">
        <f>IFERROR(VLOOKUP($A$3:$A$116,'[2]DEC-2026'!$A$4:$AEE$125,MATCH('FY-(26-27)Q3'!$K$2:$L$2,'[2]DEC-2026'!$A$2:$EF$2,0),0),0)</f>
        <v>0</v>
      </c>
      <c r="M52" s="71">
        <f t="shared" si="0"/>
        <v>311687</v>
      </c>
      <c r="N52" s="165">
        <f t="shared" si="0"/>
        <v>1.0389566666666668</v>
      </c>
    </row>
    <row r="53" spans="1:14" x14ac:dyDescent="0.25">
      <c r="A53" s="59" t="s">
        <v>331</v>
      </c>
      <c r="B53" s="59" t="s">
        <v>286</v>
      </c>
      <c r="C53" s="59" t="s">
        <v>324</v>
      </c>
      <c r="D53" s="59" t="s">
        <v>286</v>
      </c>
      <c r="E53" s="59" t="s">
        <v>256</v>
      </c>
      <c r="F53" s="114">
        <v>0.25</v>
      </c>
      <c r="G53" s="152">
        <f>IFERROR(VLOOKUP($A$3:$A$116,'OCT-2026'!$A$4:$ADH$120,MATCH('FY-(26-27)Q3'!$G$2:$H$2,'OCT-2026'!$A$2:$DI$2,0),0),0)</f>
        <v>30634</v>
      </c>
      <c r="H53" s="154">
        <f>IFERROR(VLOOKUP($A$3:$A$116,'OCT-2026'!$A$4:$ADH$120,MATCH('FY-(26-27)Q3'!$G$2:$H$2,'OCT-2026'!$A$2:$DI$2,0),0),0)</f>
        <v>0.30634</v>
      </c>
      <c r="I53" s="152">
        <f>IFERROR(VLOOKUP($A$3:$A$116,'[1]NOV-2026'!$A$4:$ADL$124,MATCH('FY-(26-27)Q3'!$I$2:$J$2,'[1]NOV-2026'!$A$2:$DM$2,0),0),0)</f>
        <v>0</v>
      </c>
      <c r="J53" s="154">
        <f>IFERROR(VLOOKUP($A$3:$A$116,'[1]NOV-2026'!$A$4:$ADL$124,MATCH('FY-(26-27)Q3'!$I$2:$J$2,'[1]NOV-2026'!$A$2:$DM$2,0),0),0)</f>
        <v>0</v>
      </c>
      <c r="K53" s="152">
        <f>IFERROR(VLOOKUP($A$3:$A$116,'[2]DEC-2026'!$A$4:$AEE$125,MATCH('FY-(26-27)Q3'!$K$2:$L$2,'[2]DEC-2026'!$A$2:$EF$2,0),0),0)</f>
        <v>0</v>
      </c>
      <c r="L53" s="154">
        <f>IFERROR(VLOOKUP($A$3:$A$116,'[2]DEC-2026'!$A$4:$AEE$125,MATCH('FY-(26-27)Q3'!$K$2:$L$2,'[2]DEC-2026'!$A$2:$EF$2,0),0),0)</f>
        <v>0</v>
      </c>
      <c r="M53" s="71">
        <f t="shared" ref="M53:N54" si="7">G53+I53+K53</f>
        <v>30634</v>
      </c>
      <c r="N53" s="165">
        <f t="shared" si="7"/>
        <v>0.30634</v>
      </c>
    </row>
    <row r="54" spans="1:14" x14ac:dyDescent="0.25">
      <c r="A54" s="59" t="s">
        <v>288</v>
      </c>
      <c r="B54" s="59" t="s">
        <v>286</v>
      </c>
      <c r="C54" s="59" t="s">
        <v>285</v>
      </c>
      <c r="D54" s="59" t="s">
        <v>286</v>
      </c>
      <c r="E54" s="59" t="s">
        <v>287</v>
      </c>
      <c r="F54" s="114">
        <v>5</v>
      </c>
      <c r="G54" s="152">
        <f>IFERROR(VLOOKUP($A$3:$A$116,'OCT-2026'!$A$4:$ADH$120,MATCH('FY-(26-27)Q3'!$G$2:$H$2,'OCT-2026'!$A$2:$DI$2,0),0),0)</f>
        <v>881323</v>
      </c>
      <c r="H54" s="154">
        <f>IFERROR(VLOOKUP($A$3:$A$116,'OCT-2026'!$A$4:$ADH$120,MATCH('FY-(26-27)Q3'!$G$2:$H$2,'OCT-2026'!$A$2:$DI$2,0),0),0)</f>
        <v>0.88132299999999997</v>
      </c>
      <c r="I54" s="152">
        <f>IFERROR(VLOOKUP($A$3:$A$116,'[1]NOV-2026'!$A$4:$ADL$124,MATCH('FY-(26-27)Q3'!$I$2:$J$2,'[1]NOV-2026'!$A$2:$DM$2,0),0),0)</f>
        <v>0</v>
      </c>
      <c r="J54" s="154">
        <f>IFERROR(VLOOKUP($A$3:$A$116,'[1]NOV-2026'!$A$4:$ADL$124,MATCH('FY-(26-27)Q3'!$I$2:$J$2,'[1]NOV-2026'!$A$2:$DM$2,0),0),0)</f>
        <v>0</v>
      </c>
      <c r="K54" s="152">
        <f>IFERROR(VLOOKUP($A$3:$A$116,'[2]DEC-2026'!$A$4:$AEE$125,MATCH('FY-(26-27)Q3'!$K$2:$L$2,'[2]DEC-2026'!$A$2:$EF$2,0),0),0)</f>
        <v>0</v>
      </c>
      <c r="L54" s="154">
        <f>IFERROR(VLOOKUP($A$3:$A$116,'[2]DEC-2026'!$A$4:$AEE$125,MATCH('FY-(26-27)Q3'!$K$2:$L$2,'[2]DEC-2026'!$A$2:$EF$2,0),0),0)</f>
        <v>0</v>
      </c>
      <c r="M54" s="71">
        <f t="shared" si="7"/>
        <v>881323</v>
      </c>
      <c r="N54" s="165">
        <f t="shared" si="7"/>
        <v>0.88132299999999997</v>
      </c>
    </row>
    <row r="55" spans="1:14" x14ac:dyDescent="0.25">
      <c r="A55" s="186"/>
      <c r="B55" s="231"/>
      <c r="C55" s="186"/>
      <c r="D55" s="232"/>
      <c r="E55" s="232"/>
      <c r="F55" s="233"/>
      <c r="G55" s="230">
        <f>SUM(G4:G54)</f>
        <v>6781439</v>
      </c>
      <c r="H55" s="90"/>
      <c r="I55" s="230">
        <f>SUM(I4:I54)</f>
        <v>0</v>
      </c>
      <c r="J55" s="100"/>
      <c r="K55" s="230">
        <f>SUM(K4:K54)</f>
        <v>0</v>
      </c>
      <c r="L55" s="109"/>
      <c r="M55" s="230">
        <f>SUM(M4:M54)</f>
        <v>6781439</v>
      </c>
      <c r="N55" s="234"/>
    </row>
    <row r="56" spans="1:14" ht="15.75" thickBot="1" x14ac:dyDescent="0.3">
      <c r="G56" s="91"/>
      <c r="H56" s="92"/>
      <c r="I56" s="101"/>
      <c r="J56" s="102"/>
      <c r="K56" s="110"/>
      <c r="L56" s="111"/>
      <c r="M56" s="111"/>
      <c r="N56" s="111"/>
    </row>
    <row r="57" spans="1:14" ht="15.75" x14ac:dyDescent="0.25">
      <c r="G57" s="84" t="s">
        <v>149</v>
      </c>
      <c r="H57" s="85" t="s">
        <v>150</v>
      </c>
      <c r="I57" s="95" t="s">
        <v>159</v>
      </c>
      <c r="J57" s="96" t="s">
        <v>160</v>
      </c>
      <c r="K57" s="105" t="s">
        <v>161</v>
      </c>
      <c r="L57" s="106" t="s">
        <v>162</v>
      </c>
      <c r="M57" s="126" t="s">
        <v>101</v>
      </c>
      <c r="N57" s="68" t="s">
        <v>127</v>
      </c>
    </row>
    <row r="58" spans="1:14" ht="15.75" x14ac:dyDescent="0.25">
      <c r="G58" s="222"/>
      <c r="H58" s="223"/>
      <c r="I58" s="224"/>
      <c r="J58" s="225"/>
      <c r="K58" s="226"/>
      <c r="L58" s="227"/>
      <c r="M58" s="228"/>
      <c r="N58" s="229"/>
    </row>
    <row r="59" spans="1:14" x14ac:dyDescent="0.25">
      <c r="A59" s="79" t="s">
        <v>241</v>
      </c>
      <c r="B59" s="140" t="s">
        <v>240</v>
      </c>
      <c r="C59" s="140" t="s">
        <v>57</v>
      </c>
      <c r="D59" s="140"/>
      <c r="E59" s="208"/>
      <c r="F59" s="206"/>
      <c r="G59" s="152">
        <f>IFERROR(VLOOKUP($A$3:$A$116,'OCT-2026'!$A$4:$ADH$120,MATCH('FY-(26-27)Q3'!$G$2:$H$2,'OCT-2026'!$A$2:$DI$2,0),0),0)</f>
        <v>28620</v>
      </c>
      <c r="H59" s="154">
        <f>IFERROR(VLOOKUP($A$3:$A$116,'OCT-2026'!$A$4:$ADH$120,MATCH('FY-(26-27)Q3'!$G$2:$H$2,'OCT-2026'!$A$2:$DI$2,0),0),0)</f>
        <v>9.5399999999999999E-2</v>
      </c>
      <c r="I59" s="152">
        <f>IFERROR(VLOOKUP($A$3:$A$116,'[1]NOV-2026'!$A$4:$ADL$124,MATCH('FY-(26-27)Q3'!$I$2:$J$2,'[1]NOV-2026'!$A$2:$DM$2,0),0),0)</f>
        <v>0</v>
      </c>
      <c r="J59" s="154">
        <f>IFERROR(VLOOKUP($A$3:$A$116,'[1]NOV-2026'!$A$4:$ADL$124,MATCH('FY-(26-27)Q3'!$I$2:$J$2,'[1]NOV-2026'!$A$2:$DM$2,0),0),0)</f>
        <v>0</v>
      </c>
      <c r="K59" s="152">
        <f>IFERROR(VLOOKUP($A$3:$A$116,'[2]DEC-2026'!$A$4:$AEE$125,MATCH('FY-(26-27)Q3'!$K$2:$L$2,'[2]DEC-2026'!$A$2:$EF$2,0),0),0)</f>
        <v>0</v>
      </c>
      <c r="L59" s="154">
        <f>IFERROR(VLOOKUP($A$3:$A$116,'[2]DEC-2026'!$A$4:$AEE$125,MATCH('FY-(26-27)Q3'!$K$2:$L$2,'[2]DEC-2026'!$A$2:$EF$2,0),0),0)</f>
        <v>0</v>
      </c>
      <c r="M59" s="152">
        <f t="shared" ref="M59:N60" si="8">G59+I59+K59</f>
        <v>28620</v>
      </c>
      <c r="N59" s="166">
        <f t="shared" si="8"/>
        <v>9.5399999999999999E-2</v>
      </c>
    </row>
    <row r="60" spans="1:14" x14ac:dyDescent="0.25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37"/>
      <c r="G60" s="152">
        <f>IFERROR(VLOOKUP($A$3:$A$116,'OCT-2026'!$A$4:$ADH$120,MATCH('FY-(26-27)Q3'!$G$2:$H$2,'OCT-2026'!$A$2:$DI$2,0),0),0)</f>
        <v>-213294</v>
      </c>
      <c r="H60" s="154">
        <f>IFERROR(VLOOKUP($A$3:$A$116,'OCT-2026'!$A$4:$ADH$120,MATCH('FY-(26-27)Q3'!$G$2:$H$2,'OCT-2026'!$A$2:$DI$2,0),0),0)</f>
        <v>0</v>
      </c>
      <c r="I60" s="152">
        <f>IFERROR(VLOOKUP($A$3:$A$116,'[1]NOV-2026'!$A$4:$ADL$124,MATCH('FY-(26-27)Q3'!$I$2:$J$2,'[1]NOV-2026'!$A$2:$DM$2,0),0),0)</f>
        <v>0</v>
      </c>
      <c r="J60" s="154">
        <f>IFERROR(VLOOKUP($A$3:$A$116,'[1]NOV-2026'!$A$4:$ADL$124,MATCH('FY-(26-27)Q3'!$I$2:$J$2,'[1]NOV-2026'!$A$2:$DM$2,0),0),0)</f>
        <v>0</v>
      </c>
      <c r="K60" s="152">
        <f>IFERROR(VLOOKUP($A$3:$A$116,'[2]DEC-2026'!$A$4:$AEE$125,MATCH('FY-(26-27)Q3'!$K$2:$L$2,'[2]DEC-2026'!$A$2:$EF$2,0),0),0)</f>
        <v>0</v>
      </c>
      <c r="L60" s="154">
        <f>IFERROR(VLOOKUP($A$3:$A$116,'[2]DEC-2026'!$A$4:$AEE$125,MATCH('FY-(26-27)Q3'!$K$2:$L$2,'[2]DEC-2026'!$A$2:$EF$2,0),0),0)</f>
        <v>0</v>
      </c>
      <c r="M60" s="152">
        <f t="shared" si="8"/>
        <v>-213294</v>
      </c>
      <c r="N60" s="166">
        <f t="shared" si="8"/>
        <v>0</v>
      </c>
    </row>
    <row r="61" spans="1:14" ht="15.75" thickBot="1" x14ac:dyDescent="0.3">
      <c r="G61" s="93">
        <f>SUM(G59:G60)</f>
        <v>-184674</v>
      </c>
      <c r="H61" s="94"/>
      <c r="I61" s="93">
        <f>SUM(I59:I60)</f>
        <v>0</v>
      </c>
      <c r="J61" s="104"/>
      <c r="K61" s="93">
        <f>SUM(K59:K60)</f>
        <v>0</v>
      </c>
      <c r="L61" s="113"/>
      <c r="M61" s="93">
        <f>SUM(M59:M60)</f>
        <v>-184674</v>
      </c>
      <c r="N61" s="235"/>
    </row>
  </sheetData>
  <conditionalFormatting sqref="A37:C37 A10:C10 A3:F3 L2:L3 A33:C33 F10 F34:F35 F37 A52:C52 E33:F33 A40:F40 A21 A32:F32 A46:F46 F50:F52 E52 A22:F23 A55:E55 C44:F44 M21:N23 A26:F27 A43:F43 F47:F48 M26:N27 M10:N11 M45:N47 A16:F17 M16:N18 M59:N60 G61:N61 M5:N8 D5:F6 A29:F30 D28:F28 M29:N34 M36:N40 A13:F14 M13:N14 G4:L4 M49:N53 I29:L40 I25:L27 I42:L54 M42:N43 I41:N41 I5:L23 G5:H54 G55:N56">
    <cfRule type="expression" dxfId="532" priority="108">
      <formula>MOD(ROW(),2)=0</formula>
    </cfRule>
  </conditionalFormatting>
  <conditionalFormatting sqref="G2:I3">
    <cfRule type="expression" dxfId="531" priority="107">
      <formula>MOD(ROW(),2)=0</formula>
    </cfRule>
  </conditionalFormatting>
  <conditionalFormatting sqref="J2:J3">
    <cfRule type="expression" dxfId="530" priority="106">
      <formula>MOD(ROW(),2)=0</formula>
    </cfRule>
  </conditionalFormatting>
  <conditionalFormatting sqref="K2:K3">
    <cfRule type="expression" dxfId="529" priority="105">
      <formula>MOD(ROW(),2)=0</formula>
    </cfRule>
  </conditionalFormatting>
  <conditionalFormatting sqref="A34:C34 E34 A35">
    <cfRule type="expression" dxfId="528" priority="104">
      <formula>MOD(ROW(),2)=0</formula>
    </cfRule>
  </conditionalFormatting>
  <conditionalFormatting sqref="E37">
    <cfRule type="expression" dxfId="527" priority="103">
      <formula>MOD(ROW(),2)=0</formula>
    </cfRule>
  </conditionalFormatting>
  <conditionalFormatting sqref="A18:F18">
    <cfRule type="expression" dxfId="526" priority="102">
      <formula>MOD(ROW(),2)=0</formula>
    </cfRule>
  </conditionalFormatting>
  <conditionalFormatting sqref="M22:N22">
    <cfRule type="expression" dxfId="525" priority="98">
      <formula>MOD(ROW(),2)=0</formula>
    </cfRule>
  </conditionalFormatting>
  <conditionalFormatting sqref="A11:C11 E11:F11">
    <cfRule type="expression" dxfId="524" priority="100">
      <formula>MOD(ROW(),2)=0</formula>
    </cfRule>
  </conditionalFormatting>
  <conditionalFormatting sqref="N22">
    <cfRule type="expression" dxfId="523" priority="99">
      <formula>MOD(ROW(),2)=0</formula>
    </cfRule>
  </conditionalFormatting>
  <conditionalFormatting sqref="M11:N11">
    <cfRule type="expression" dxfId="522" priority="96">
      <formula>MOD(ROW(),2)=0</formula>
    </cfRule>
  </conditionalFormatting>
  <conditionalFormatting sqref="B21:C21 E21:F21">
    <cfRule type="expression" dxfId="521" priority="95">
      <formula>MOD(ROW(),2)=0</formula>
    </cfRule>
  </conditionalFormatting>
  <conditionalFormatting sqref="N11">
    <cfRule type="expression" dxfId="520" priority="97">
      <formula>MOD(ROW(),2)=0</formula>
    </cfRule>
  </conditionalFormatting>
  <conditionalFormatting sqref="A7:C7 E7:F7 A8:F8 A9:B9 D9:F9">
    <cfRule type="expression" dxfId="519" priority="94">
      <formula>MOD(ROW(),2)=0</formula>
    </cfRule>
  </conditionalFormatting>
  <conditionalFormatting sqref="N7:N8">
    <cfRule type="expression" dxfId="518" priority="93">
      <formula>MOD(ROW(),2)=0</formula>
    </cfRule>
  </conditionalFormatting>
  <conditionalFormatting sqref="M7:N8">
    <cfRule type="expression" dxfId="517" priority="92">
      <formula>MOD(ROW(),2)=0</formula>
    </cfRule>
  </conditionalFormatting>
  <conditionalFormatting sqref="A31:C31 E31:F31">
    <cfRule type="expression" dxfId="516" priority="91">
      <formula>MOD(ROW(),2)=0</formula>
    </cfRule>
  </conditionalFormatting>
  <conditionalFormatting sqref="M31:N31">
    <cfRule type="expression" dxfId="515" priority="89">
      <formula>MOD(ROW(),2)=0</formula>
    </cfRule>
  </conditionalFormatting>
  <conditionalFormatting sqref="N31">
    <cfRule type="expression" dxfId="514" priority="90">
      <formula>MOD(ROW(),2)=0</formula>
    </cfRule>
  </conditionalFormatting>
  <conditionalFormatting sqref="A39:C39 E39:F39">
    <cfRule type="expression" dxfId="513" priority="88">
      <formula>MOD(ROW(),2)=0</formula>
    </cfRule>
  </conditionalFormatting>
  <conditionalFormatting sqref="N21">
    <cfRule type="expression" dxfId="512" priority="87">
      <formula>MOD(ROW(),2)=0</formula>
    </cfRule>
  </conditionalFormatting>
  <conditionalFormatting sqref="M21:N21">
    <cfRule type="expression" dxfId="511" priority="86">
      <formula>MOD(ROW(),2)=0</formula>
    </cfRule>
  </conditionalFormatting>
  <conditionalFormatting sqref="A49:C49 E49:F49">
    <cfRule type="expression" dxfId="510" priority="85">
      <formula>MOD(ROW(),2)=0</formula>
    </cfRule>
  </conditionalFormatting>
  <conditionalFormatting sqref="L57:L58">
    <cfRule type="expression" dxfId="509" priority="84">
      <formula>MOD(ROW(),2)=0</formula>
    </cfRule>
  </conditionalFormatting>
  <conditionalFormatting sqref="G57:I58">
    <cfRule type="expression" dxfId="508" priority="83">
      <formula>MOD(ROW(),2)=0</formula>
    </cfRule>
  </conditionalFormatting>
  <conditionalFormatting sqref="J57:J58">
    <cfRule type="expression" dxfId="507" priority="82">
      <formula>MOD(ROW(),2)=0</formula>
    </cfRule>
  </conditionalFormatting>
  <conditionalFormatting sqref="K57:K58">
    <cfRule type="expression" dxfId="506" priority="81">
      <formula>MOD(ROW(),2)=0</formula>
    </cfRule>
  </conditionalFormatting>
  <conditionalFormatting sqref="D10:E10">
    <cfRule type="expression" dxfId="505" priority="77">
      <formula>MOD(ROW(),2)=0</formula>
    </cfRule>
  </conditionalFormatting>
  <conditionalFormatting sqref="A50:C51 E50:E51">
    <cfRule type="expression" dxfId="504" priority="76">
      <formula>MOD(ROW(),2)=0</formula>
    </cfRule>
  </conditionalFormatting>
  <conditionalFormatting sqref="M50:N51">
    <cfRule type="expression" dxfId="503" priority="75">
      <formula>MOD(ROW(),2)=0</formula>
    </cfRule>
  </conditionalFormatting>
  <conditionalFormatting sqref="A45:B45">
    <cfRule type="expression" dxfId="502" priority="73">
      <formula>MOD(ROW(),2)=0</formula>
    </cfRule>
  </conditionalFormatting>
  <conditionalFormatting sqref="A4:C4 E4:F4">
    <cfRule type="expression" dxfId="501" priority="72">
      <formula>MOD(ROW(),2)=0</formula>
    </cfRule>
  </conditionalFormatting>
  <conditionalFormatting sqref="M4:N4">
    <cfRule type="expression" dxfId="500" priority="71">
      <formula>MOD(ROW(),2)=0</formula>
    </cfRule>
  </conditionalFormatting>
  <conditionalFormatting sqref="M4:N4">
    <cfRule type="expression" dxfId="499" priority="69">
      <formula>MOD(ROW(),2)=0</formula>
    </cfRule>
  </conditionalFormatting>
  <conditionalFormatting sqref="N4">
    <cfRule type="expression" dxfId="498" priority="70">
      <formula>MOD(ROW(),2)=0</formula>
    </cfRule>
  </conditionalFormatting>
  <conditionalFormatting sqref="A36:C36 E36:F36">
    <cfRule type="expression" dxfId="497" priority="68">
      <formula>MOD(ROW(),2)=0</formula>
    </cfRule>
  </conditionalFormatting>
  <conditionalFormatting sqref="A59:F59 F60">
    <cfRule type="expression" dxfId="496" priority="67">
      <formula>MOD(ROW(),2)=0</formula>
    </cfRule>
  </conditionalFormatting>
  <conditionalFormatting sqref="A12:F12">
    <cfRule type="expression" dxfId="495" priority="66">
      <formula>MOD(ROW(),2)=0</formula>
    </cfRule>
  </conditionalFormatting>
  <conditionalFormatting sqref="M12:N12">
    <cfRule type="expression" dxfId="494" priority="65">
      <formula>MOD(ROW(),2)=0</formula>
    </cfRule>
  </conditionalFormatting>
  <conditionalFormatting sqref="M12:N12">
    <cfRule type="expression" dxfId="493" priority="63">
      <formula>MOD(ROW(),2)=0</formula>
    </cfRule>
  </conditionalFormatting>
  <conditionalFormatting sqref="N12">
    <cfRule type="expression" dxfId="492" priority="64">
      <formula>MOD(ROW(),2)=0</formula>
    </cfRule>
  </conditionalFormatting>
  <conditionalFormatting sqref="F45">
    <cfRule type="expression" dxfId="491" priority="62">
      <formula>MOD(ROW(),2)=0</formula>
    </cfRule>
  </conditionalFormatting>
  <conditionalFormatting sqref="D45:E45">
    <cfRule type="expression" dxfId="490" priority="61">
      <formula>MOD(ROW(),2)=0</formula>
    </cfRule>
  </conditionalFormatting>
  <conditionalFormatting sqref="D7">
    <cfRule type="expression" dxfId="489" priority="60">
      <formula>MOD(ROW(),2)=0</formula>
    </cfRule>
  </conditionalFormatting>
  <conditionalFormatting sqref="D4">
    <cfRule type="expression" dxfId="488" priority="59">
      <formula>MOD(ROW(),2)=0</formula>
    </cfRule>
  </conditionalFormatting>
  <conditionalFormatting sqref="D11">
    <cfRule type="expression" dxfId="487" priority="58">
      <formula>MOD(ROW(),2)=0</formula>
    </cfRule>
  </conditionalFormatting>
  <conditionalFormatting sqref="D21">
    <cfRule type="expression" dxfId="486" priority="57">
      <formula>MOD(ROW(),2)=0</formula>
    </cfRule>
  </conditionalFormatting>
  <conditionalFormatting sqref="D50:D51">
    <cfRule type="expression" dxfId="485" priority="47">
      <formula>MOD(ROW(),2)=0</formula>
    </cfRule>
  </conditionalFormatting>
  <conditionalFormatting sqref="D31">
    <cfRule type="expression" dxfId="484" priority="56">
      <formula>MOD(ROW(),2)=0</formula>
    </cfRule>
  </conditionalFormatting>
  <conditionalFormatting sqref="D34 D36">
    <cfRule type="expression" dxfId="483" priority="55">
      <formula>MOD(ROW(),2)=0</formula>
    </cfRule>
  </conditionalFormatting>
  <conditionalFormatting sqref="D33">
    <cfRule type="expression" dxfId="482" priority="54">
      <formula>MOD(ROW(),2)=0</formula>
    </cfRule>
  </conditionalFormatting>
  <conditionalFormatting sqref="D37">
    <cfRule type="expression" dxfId="481" priority="53">
      <formula>MOD(ROW(),2)=0</formula>
    </cfRule>
  </conditionalFormatting>
  <conditionalFormatting sqref="D39">
    <cfRule type="expression" dxfId="480" priority="50">
      <formula>MOD(ROW(),2)=0</formula>
    </cfRule>
  </conditionalFormatting>
  <conditionalFormatting sqref="D52">
    <cfRule type="expression" dxfId="479" priority="49">
      <formula>MOD(ROW(),2)=0</formula>
    </cfRule>
  </conditionalFormatting>
  <conditionalFormatting sqref="D49">
    <cfRule type="expression" dxfId="478" priority="48">
      <formula>MOD(ROW(),2)=0</formula>
    </cfRule>
  </conditionalFormatting>
  <conditionalFormatting sqref="A54:C54 E54:F54">
    <cfRule type="expression" dxfId="477" priority="42">
      <formula>MOD(ROW(),2)=0</formula>
    </cfRule>
  </conditionalFormatting>
  <conditionalFormatting sqref="M54:N54">
    <cfRule type="expression" dxfId="476" priority="41">
      <formula>MOD(ROW(),2)=0</formula>
    </cfRule>
  </conditionalFormatting>
  <conditionalFormatting sqref="A44:B44">
    <cfRule type="expression" dxfId="475" priority="40">
      <formula>MOD(ROW(),2)=0</formula>
    </cfRule>
  </conditionalFormatting>
  <conditionalFormatting sqref="M44:N44">
    <cfRule type="expression" dxfId="474" priority="39">
      <formula>MOD(ROW(),2)=0</formula>
    </cfRule>
  </conditionalFormatting>
  <conditionalFormatting sqref="A38:F38">
    <cfRule type="expression" dxfId="473" priority="36">
      <formula>MOD(ROW(),2)=0</formula>
    </cfRule>
  </conditionalFormatting>
  <conditionalFormatting sqref="A15:F15">
    <cfRule type="expression" dxfId="472" priority="35">
      <formula>MOD(ROW(),2)=0</formula>
    </cfRule>
  </conditionalFormatting>
  <conditionalFormatting sqref="M15:N15">
    <cfRule type="expression" dxfId="471" priority="34">
      <formula>MOD(ROW(),2)=0</formula>
    </cfRule>
  </conditionalFormatting>
  <conditionalFormatting sqref="B20:F20 C19:F19">
    <cfRule type="expression" dxfId="470" priority="33">
      <formula>MOD(ROW(),2)=0</formula>
    </cfRule>
  </conditionalFormatting>
  <conditionalFormatting sqref="M19:N20">
    <cfRule type="expression" dxfId="469" priority="32">
      <formula>MOD(ROW(),2)=0</formula>
    </cfRule>
  </conditionalFormatting>
  <conditionalFormatting sqref="M25:N25">
    <cfRule type="expression" dxfId="468" priority="28">
      <formula>MOD(ROW(),2)=0</formula>
    </cfRule>
  </conditionalFormatting>
  <conditionalFormatting sqref="A25:F25">
    <cfRule type="expression" dxfId="467" priority="31">
      <formula>MOD(ROW(),2)=0</formula>
    </cfRule>
  </conditionalFormatting>
  <conditionalFormatting sqref="A42:F42">
    <cfRule type="expression" dxfId="466" priority="30">
      <formula>MOD(ROW(),2)=0</formula>
    </cfRule>
  </conditionalFormatting>
  <conditionalFormatting sqref="A53:C53 E53:F53">
    <cfRule type="expression" dxfId="465" priority="29">
      <formula>MOD(ROW(),2)=0</formula>
    </cfRule>
  </conditionalFormatting>
  <conditionalFormatting sqref="A60:E60">
    <cfRule type="expression" dxfId="464" priority="27">
      <formula>MOD(ROW(),2)=0</formula>
    </cfRule>
  </conditionalFormatting>
  <conditionalFormatting sqref="A47:E47 A48">
    <cfRule type="expression" dxfId="463" priority="26">
      <formula>MOD(ROW(),2)=0</formula>
    </cfRule>
  </conditionalFormatting>
  <conditionalFormatting sqref="B48:E48">
    <cfRule type="expression" dxfId="462" priority="23">
      <formula>MOD(ROW(),2)=0</formula>
    </cfRule>
  </conditionalFormatting>
  <conditionalFormatting sqref="C9">
    <cfRule type="expression" dxfId="461" priority="21">
      <formula>MOD(ROW(),2)=0</formula>
    </cfRule>
  </conditionalFormatting>
  <conditionalFormatting sqref="M9:N9">
    <cfRule type="expression" dxfId="460" priority="20">
      <formula>MOD(ROW(),2)=0</formula>
    </cfRule>
  </conditionalFormatting>
  <conditionalFormatting sqref="N9">
    <cfRule type="expression" dxfId="459" priority="19">
      <formula>MOD(ROW(),2)=0</formula>
    </cfRule>
  </conditionalFormatting>
  <conditionalFormatting sqref="M9:N9">
    <cfRule type="expression" dxfId="458" priority="18">
      <formula>MOD(ROW(),2)=0</formula>
    </cfRule>
  </conditionalFormatting>
  <conditionalFormatting sqref="B35">
    <cfRule type="expression" dxfId="457" priority="17">
      <formula>MOD(ROW(),2)=0</formula>
    </cfRule>
  </conditionalFormatting>
  <conditionalFormatting sqref="C35">
    <cfRule type="expression" dxfId="456" priority="16">
      <formula>MOD(ROW(),2)=0</formula>
    </cfRule>
  </conditionalFormatting>
  <conditionalFormatting sqref="D35:E35">
    <cfRule type="expression" dxfId="455" priority="15">
      <formula>MOD(ROW(),2)=0</formula>
    </cfRule>
  </conditionalFormatting>
  <conditionalFormatting sqref="M35:N35">
    <cfRule type="expression" dxfId="454" priority="14">
      <formula>MOD(ROW(),2)=0</formula>
    </cfRule>
  </conditionalFormatting>
  <conditionalFormatting sqref="B19">
    <cfRule type="expression" dxfId="453" priority="13">
      <formula>MOD(ROW(),2)=0</formula>
    </cfRule>
  </conditionalFormatting>
  <conditionalFormatting sqref="A19:A20">
    <cfRule type="expression" dxfId="452" priority="12">
      <formula>MOD(ROW(),2)=0</formula>
    </cfRule>
  </conditionalFormatting>
  <conditionalFormatting sqref="M48:N48">
    <cfRule type="expression" dxfId="451" priority="11">
      <formula>MOD(ROW(),2)=0</formula>
    </cfRule>
  </conditionalFormatting>
  <conditionalFormatting sqref="G59:L60">
    <cfRule type="expression" dxfId="450" priority="9">
      <formula>MOD(ROW(),2)=0</formula>
    </cfRule>
  </conditionalFormatting>
  <conditionalFormatting sqref="D54">
    <cfRule type="expression" dxfId="449" priority="8">
      <formula>MOD(ROW(),2)=0</formula>
    </cfRule>
  </conditionalFormatting>
  <conditionalFormatting sqref="D53">
    <cfRule type="expression" dxfId="448" priority="7">
      <formula>MOD(ROW(),2)=0</formula>
    </cfRule>
  </conditionalFormatting>
  <conditionalFormatting sqref="A28:C28">
    <cfRule type="expression" dxfId="447" priority="6">
      <formula>MOD(ROW(),2)=0</formula>
    </cfRule>
  </conditionalFormatting>
  <conditionalFormatting sqref="I28:N28">
    <cfRule type="expression" dxfId="446" priority="5">
      <formula>MOD(ROW(),2)=0</formula>
    </cfRule>
  </conditionalFormatting>
  <conditionalFormatting sqref="A24:F24">
    <cfRule type="expression" dxfId="445" priority="4">
      <formula>MOD(ROW(),2)=0</formula>
    </cfRule>
  </conditionalFormatting>
  <conditionalFormatting sqref="I24:N24">
    <cfRule type="expression" dxfId="444" priority="3">
      <formula>MOD(ROW(),2)=0</formula>
    </cfRule>
  </conditionalFormatting>
  <conditionalFormatting sqref="A41:F41">
    <cfRule type="expression" dxfId="443" priority="2">
      <formula>MOD(ROW(),2)=0</formula>
    </cfRule>
  </conditionalFormatting>
  <conditionalFormatting sqref="A5:C6">
    <cfRule type="expression" dxfId="442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41" priority="21">
      <formula>MOD(ROW(),2)=0</formula>
    </cfRule>
  </conditionalFormatting>
  <conditionalFormatting sqref="AD36">
    <cfRule type="expression" dxfId="440" priority="20">
      <formula>MOD(ROW(),2)=0</formula>
    </cfRule>
  </conditionalFormatting>
  <conditionalFormatting sqref="AD39:AD40">
    <cfRule type="expression" dxfId="439" priority="19">
      <formula>MOD(ROW(),2)=0</formula>
    </cfRule>
  </conditionalFormatting>
  <conditionalFormatting sqref="AC4:AD4">
    <cfRule type="expression" dxfId="438" priority="18">
      <formula>MOD(ROW(),2)=0</formula>
    </cfRule>
  </conditionalFormatting>
  <conditionalFormatting sqref="AD38">
    <cfRule type="expression" dxfId="437" priority="17">
      <formula>MOD(ROW(),2)=0</formula>
    </cfRule>
  </conditionalFormatting>
  <conditionalFormatting sqref="AD22">
    <cfRule type="expression" dxfId="436" priority="14">
      <formula>MOD(ROW(),2)=0</formula>
    </cfRule>
  </conditionalFormatting>
  <conditionalFormatting sqref="AC57">
    <cfRule type="expression" dxfId="435" priority="13">
      <formula>MOD(ROW(),2)=0</formula>
    </cfRule>
  </conditionalFormatting>
  <conditionalFormatting sqref="AD41">
    <cfRule type="expression" dxfId="434" priority="12">
      <formula>MOD(ROW(),2)=0</formula>
    </cfRule>
  </conditionalFormatting>
  <conditionalFormatting sqref="AC26:AD26">
    <cfRule type="expression" dxfId="433" priority="11">
      <formula>MOD(ROW(),2)=0</formula>
    </cfRule>
  </conditionalFormatting>
  <conditionalFormatting sqref="AC54:AD55">
    <cfRule type="expression" dxfId="432" priority="10">
      <formula>MOD(ROW(),2)=0</formula>
    </cfRule>
  </conditionalFormatting>
  <conditionalFormatting sqref="AC44:AD44">
    <cfRule type="expression" dxfId="431" priority="9">
      <formula>MOD(ROW(),2)=0</formula>
    </cfRule>
  </conditionalFormatting>
  <conditionalFormatting sqref="AC61">
    <cfRule type="expression" dxfId="430" priority="8">
      <formula>MOD(ROW(),2)=0</formula>
    </cfRule>
  </conditionalFormatting>
  <conditionalFormatting sqref="AC42:AD42">
    <cfRule type="expression" dxfId="429" priority="6">
      <formula>MOD(ROW(),2)=0</formula>
    </cfRule>
  </conditionalFormatting>
  <conditionalFormatting sqref="AC23">
    <cfRule type="expression" dxfId="428" priority="5">
      <formula>MOD(ROW(),2)=0</formula>
    </cfRule>
  </conditionalFormatting>
  <conditionalFormatting sqref="AD23">
    <cfRule type="expression" dxfId="427" priority="4">
      <formula>MOD(ROW(),2)=0</formula>
    </cfRule>
  </conditionalFormatting>
  <conditionalFormatting sqref="AD37">
    <cfRule type="expression" dxfId="426" priority="2">
      <formula>MOD(ROW(),2)=0</formula>
    </cfRule>
  </conditionalFormatting>
  <conditionalFormatting sqref="A40:F40">
    <cfRule type="expression" dxfId="425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4" priority="22">
      <formula>MOD(ROW(),2)=0</formula>
    </cfRule>
  </conditionalFormatting>
  <conditionalFormatting sqref="AD43">
    <cfRule type="expression" dxfId="423" priority="21">
      <formula>MOD(ROW(),2)=0</formula>
    </cfRule>
  </conditionalFormatting>
  <conditionalFormatting sqref="AD46">
    <cfRule type="expression" dxfId="422" priority="20">
      <formula>MOD(ROW(),2)=0</formula>
    </cfRule>
  </conditionalFormatting>
  <conditionalFormatting sqref="AC4:AD4">
    <cfRule type="expression" dxfId="421" priority="19">
      <formula>MOD(ROW(),2)=0</formula>
    </cfRule>
  </conditionalFormatting>
  <conditionalFormatting sqref="AD45">
    <cfRule type="expression" dxfId="420" priority="18">
      <formula>MOD(ROW(),2)=0</formula>
    </cfRule>
  </conditionalFormatting>
  <conditionalFormatting sqref="AD20">
    <cfRule type="expression" dxfId="419" priority="17">
      <formula>MOD(ROW(),2)=0</formula>
    </cfRule>
  </conditionalFormatting>
  <conditionalFormatting sqref="AD54">
    <cfRule type="expression" dxfId="418" priority="16">
      <formula>MOD(ROW(),2)=0</formula>
    </cfRule>
  </conditionalFormatting>
  <conditionalFormatting sqref="AD24">
    <cfRule type="expression" dxfId="417" priority="15">
      <formula>MOD(ROW(),2)=0</formula>
    </cfRule>
  </conditionalFormatting>
  <conditionalFormatting sqref="AC68">
    <cfRule type="expression" dxfId="416" priority="14">
      <formula>MOD(ROW(),2)=0</formula>
    </cfRule>
  </conditionalFormatting>
  <conditionalFormatting sqref="AD49">
    <cfRule type="expression" dxfId="415" priority="13">
      <formula>MOD(ROW(),2)=0</formula>
    </cfRule>
  </conditionalFormatting>
  <conditionalFormatting sqref="AC28:AD28">
    <cfRule type="expression" dxfId="414" priority="12">
      <formula>MOD(ROW(),2)=0</formula>
    </cfRule>
  </conditionalFormatting>
  <conditionalFormatting sqref="AC65:AD65">
    <cfRule type="expression" dxfId="413" priority="11">
      <formula>MOD(ROW(),2)=0</formula>
    </cfRule>
  </conditionalFormatting>
  <conditionalFormatting sqref="AC53:AD53">
    <cfRule type="expression" dxfId="412" priority="10">
      <formula>MOD(ROW(),2)=0</formula>
    </cfRule>
  </conditionalFormatting>
  <conditionalFormatting sqref="AC73">
    <cfRule type="expression" dxfId="411" priority="9">
      <formula>MOD(ROW(),2)=0</formula>
    </cfRule>
  </conditionalFormatting>
  <conditionalFormatting sqref="H68:AB68">
    <cfRule type="expression" dxfId="410" priority="8">
      <formula>MOD(ROW(),2)=0</formula>
    </cfRule>
  </conditionalFormatting>
  <conditionalFormatting sqref="AC51:AD51">
    <cfRule type="expression" dxfId="409" priority="7">
      <formula>MOD(ROW(),2)=0</formula>
    </cfRule>
  </conditionalFormatting>
  <conditionalFormatting sqref="AC25">
    <cfRule type="expression" dxfId="408" priority="6">
      <formula>MOD(ROW(),2)=0</formula>
    </cfRule>
  </conditionalFormatting>
  <conditionalFormatting sqref="AD25">
    <cfRule type="expression" dxfId="407" priority="5">
      <formula>MOD(ROW(),2)=0</formula>
    </cfRule>
  </conditionalFormatting>
  <conditionalFormatting sqref="T44:AC44">
    <cfRule type="expression" dxfId="406" priority="4">
      <formula>MOD(ROW(),2)=0</formula>
    </cfRule>
  </conditionalFormatting>
  <conditionalFormatting sqref="AD44">
    <cfRule type="expression" dxfId="405" priority="3">
      <formula>MOD(ROW(),2)=0</formula>
    </cfRule>
  </conditionalFormatting>
  <conditionalFormatting sqref="A23:A25">
    <cfRule type="expression" dxfId="404" priority="2">
      <formula>MOD(ROW(),2)=0</formula>
    </cfRule>
  </conditionalFormatting>
  <conditionalFormatting sqref="A51">
    <cfRule type="expression" dxfId="403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2" priority="20">
      <formula>MOD(ROW(),2)=0</formula>
    </cfRule>
  </conditionalFormatting>
  <conditionalFormatting sqref="AF40">
    <cfRule type="expression" dxfId="401" priority="19">
      <formula>MOD(ROW(),2)=0</formula>
    </cfRule>
  </conditionalFormatting>
  <conditionalFormatting sqref="AF42">
    <cfRule type="expression" dxfId="400" priority="18">
      <formula>MOD(ROW(),2)=0</formula>
    </cfRule>
  </conditionalFormatting>
  <conditionalFormatting sqref="AE4:AF4">
    <cfRule type="expression" dxfId="399" priority="16">
      <formula>MOD(ROW(),2)=0</formula>
    </cfRule>
  </conditionalFormatting>
  <conditionalFormatting sqref="AF41">
    <cfRule type="expression" dxfId="398" priority="14">
      <formula>MOD(ROW(),2)=0</formula>
    </cfRule>
  </conditionalFormatting>
  <conditionalFormatting sqref="AF18">
    <cfRule type="expression" dxfId="397" priority="13">
      <formula>MOD(ROW(),2)=0</formula>
    </cfRule>
  </conditionalFormatting>
  <conditionalFormatting sqref="AF49">
    <cfRule type="expression" dxfId="396" priority="12">
      <formula>MOD(ROW(),2)=0</formula>
    </cfRule>
  </conditionalFormatting>
  <conditionalFormatting sqref="AF22">
    <cfRule type="expression" dxfId="395" priority="11">
      <formula>MOD(ROW(),2)=0</formula>
    </cfRule>
  </conditionalFormatting>
  <conditionalFormatting sqref="AE62">
    <cfRule type="expression" dxfId="394" priority="10">
      <formula>MOD(ROW(),2)=0</formula>
    </cfRule>
  </conditionalFormatting>
  <conditionalFormatting sqref="AF45">
    <cfRule type="expression" dxfId="393" priority="9">
      <formula>MOD(ROW(),2)=0</formula>
    </cfRule>
  </conditionalFormatting>
  <conditionalFormatting sqref="AE25:AF25">
    <cfRule type="expression" dxfId="392" priority="6">
      <formula>MOD(ROW(),2)=0</formula>
    </cfRule>
  </conditionalFormatting>
  <conditionalFormatting sqref="AE59:AF59">
    <cfRule type="expression" dxfId="391" priority="5">
      <formula>MOD(ROW(),2)=0</formula>
    </cfRule>
  </conditionalFormatting>
  <conditionalFormatting sqref="AE48:AF48">
    <cfRule type="expression" dxfId="390" priority="4">
      <formula>MOD(ROW(),2)=0</formula>
    </cfRule>
  </conditionalFormatting>
  <conditionalFormatting sqref="AE67">
    <cfRule type="expression" dxfId="389" priority="3">
      <formula>MOD(ROW(),2)=0</formula>
    </cfRule>
  </conditionalFormatting>
  <conditionalFormatting sqref="B21">
    <cfRule type="expression" dxfId="388" priority="2">
      <formula>MOD(ROW(),2)=0</formula>
    </cfRule>
  </conditionalFormatting>
  <conditionalFormatting sqref="A21:A22">
    <cfRule type="expression" dxfId="387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37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86" priority="229">
      <formula>MOD(ROW(),2)=0</formula>
    </cfRule>
  </conditionalFormatting>
  <conditionalFormatting sqref="G2:I3">
    <cfRule type="expression" dxfId="385" priority="228">
      <formula>MOD(ROW(),2)=0</formula>
    </cfRule>
  </conditionalFormatting>
  <conditionalFormatting sqref="J2:J3">
    <cfRule type="expression" dxfId="384" priority="227">
      <formula>MOD(ROW(),2)=0</formula>
    </cfRule>
  </conditionalFormatting>
  <conditionalFormatting sqref="K2:K3">
    <cfRule type="expression" dxfId="383" priority="226">
      <formula>MOD(ROW(),2)=0</formula>
    </cfRule>
  </conditionalFormatting>
  <conditionalFormatting sqref="A42:C42 E42 A43">
    <cfRule type="expression" dxfId="382" priority="222">
      <formula>MOD(ROW(),2)=0</formula>
    </cfRule>
  </conditionalFormatting>
  <conditionalFormatting sqref="E45">
    <cfRule type="expression" dxfId="381" priority="220">
      <formula>MOD(ROW(),2)=0</formula>
    </cfRule>
  </conditionalFormatting>
  <conditionalFormatting sqref="A20:F20">
    <cfRule type="expression" dxfId="380" priority="218">
      <formula>MOD(ROW(),2)=0</formula>
    </cfRule>
  </conditionalFormatting>
  <conditionalFormatting sqref="A47:C47 E47:F47">
    <cfRule type="expression" dxfId="379" priority="212">
      <formula>MOD(ROW(),2)=0</formula>
    </cfRule>
  </conditionalFormatting>
  <conditionalFormatting sqref="M25:N25">
    <cfRule type="expression" dxfId="378" priority="202">
      <formula>MOD(ROW(),2)=0</formula>
    </cfRule>
  </conditionalFormatting>
  <conditionalFormatting sqref="A12:C12 E12:F12">
    <cfRule type="expression" dxfId="377" priority="207">
      <formula>MOD(ROW(),2)=0</formula>
    </cfRule>
  </conditionalFormatting>
  <conditionalFormatting sqref="N25">
    <cfRule type="expression" dxfId="376" priority="203">
      <formula>MOD(ROW(),2)=0</formula>
    </cfRule>
  </conditionalFormatting>
  <conditionalFormatting sqref="M12:N12">
    <cfRule type="expression" dxfId="375" priority="188">
      <formula>MOD(ROW(),2)=0</formula>
    </cfRule>
  </conditionalFormatting>
  <conditionalFormatting sqref="B23:C23 E23:F23">
    <cfRule type="expression" dxfId="374" priority="183">
      <formula>MOD(ROW(),2)=0</formula>
    </cfRule>
  </conditionalFormatting>
  <conditionalFormatting sqref="N12">
    <cfRule type="expression" dxfId="373" priority="189">
      <formula>MOD(ROW(),2)=0</formula>
    </cfRule>
  </conditionalFormatting>
  <conditionalFormatting sqref="A8:C8 E8:F8 A9:F9 A10:B10 D10:F10">
    <cfRule type="expression" dxfId="372" priority="174">
      <formula>MOD(ROW(),2)=0</formula>
    </cfRule>
  </conditionalFormatting>
  <conditionalFormatting sqref="N8:N9">
    <cfRule type="expression" dxfId="371" priority="172">
      <formula>MOD(ROW(),2)=0</formula>
    </cfRule>
  </conditionalFormatting>
  <conditionalFormatting sqref="M8:N9">
    <cfRule type="expression" dxfId="370" priority="171">
      <formula>MOD(ROW(),2)=0</formula>
    </cfRule>
  </conditionalFormatting>
  <conditionalFormatting sqref="A37:C37 E37:F37">
    <cfRule type="expression" dxfId="369" priority="166">
      <formula>MOD(ROW(),2)=0</formula>
    </cfRule>
  </conditionalFormatting>
  <conditionalFormatting sqref="M37:N37">
    <cfRule type="expression" dxfId="368" priority="162">
      <formula>MOD(ROW(),2)=0</formula>
    </cfRule>
  </conditionalFormatting>
  <conditionalFormatting sqref="N37">
    <cfRule type="expression" dxfId="367" priority="163">
      <formula>MOD(ROW(),2)=0</formula>
    </cfRule>
  </conditionalFormatting>
  <conditionalFormatting sqref="A49:C49 E49:F49">
    <cfRule type="expression" dxfId="366" priority="157">
      <formula>MOD(ROW(),2)=0</formula>
    </cfRule>
  </conditionalFormatting>
  <conditionalFormatting sqref="N23">
    <cfRule type="expression" dxfId="365" priority="143">
      <formula>MOD(ROW(),2)=0</formula>
    </cfRule>
  </conditionalFormatting>
  <conditionalFormatting sqref="M23:N23">
    <cfRule type="expression" dxfId="364" priority="142">
      <formula>MOD(ROW(),2)=0</formula>
    </cfRule>
  </conditionalFormatting>
  <conditionalFormatting sqref="A58:C58 E58:F58">
    <cfRule type="expression" dxfId="363" priority="132">
      <formula>MOD(ROW(),2)=0</formula>
    </cfRule>
  </conditionalFormatting>
  <conditionalFormatting sqref="L67:L68">
    <cfRule type="expression" dxfId="362" priority="126">
      <formula>MOD(ROW(),2)=0</formula>
    </cfRule>
  </conditionalFormatting>
  <conditionalFormatting sqref="G67:I68">
    <cfRule type="expression" dxfId="361" priority="125">
      <formula>MOD(ROW(),2)=0</formula>
    </cfRule>
  </conditionalFormatting>
  <conditionalFormatting sqref="J67:J68">
    <cfRule type="expression" dxfId="360" priority="124">
      <formula>MOD(ROW(),2)=0</formula>
    </cfRule>
  </conditionalFormatting>
  <conditionalFormatting sqref="K67:K68">
    <cfRule type="expression" dxfId="359" priority="123">
      <formula>MOD(ROW(),2)=0</formula>
    </cfRule>
  </conditionalFormatting>
  <conditionalFormatting sqref="A30:F30">
    <cfRule type="expression" dxfId="358" priority="122">
      <formula>MOD(ROW(),2)=0</formula>
    </cfRule>
  </conditionalFormatting>
  <conditionalFormatting sqref="A31:F31">
    <cfRule type="expression" dxfId="357" priority="121">
      <formula>MOD(ROW(),2)=0</formula>
    </cfRule>
  </conditionalFormatting>
  <conditionalFormatting sqref="A33:F33">
    <cfRule type="expression" dxfId="356" priority="120">
      <formula>MOD(ROW(),2)=0</formula>
    </cfRule>
  </conditionalFormatting>
  <conditionalFormatting sqref="D11:E11">
    <cfRule type="expression" dxfId="355" priority="109">
      <formula>MOD(ROW(),2)=0</formula>
    </cfRule>
  </conditionalFormatting>
  <conditionalFormatting sqref="A59:C60 E59:E60">
    <cfRule type="expression" dxfId="354" priority="105">
      <formula>MOD(ROW(),2)=0</formula>
    </cfRule>
  </conditionalFormatting>
  <conditionalFormatting sqref="M59:N60">
    <cfRule type="expression" dxfId="353" priority="104">
      <formula>MOD(ROW(),2)=0</formula>
    </cfRule>
  </conditionalFormatting>
  <conditionalFormatting sqref="A46:C46 E46:F46">
    <cfRule type="expression" dxfId="352" priority="101">
      <formula>MOD(ROW(),2)=0</formula>
    </cfRule>
  </conditionalFormatting>
  <conditionalFormatting sqref="A54:B54">
    <cfRule type="expression" dxfId="351" priority="97">
      <formula>MOD(ROW(),2)=0</formula>
    </cfRule>
  </conditionalFormatting>
  <conditionalFormatting sqref="A4:C4 E4:F4">
    <cfRule type="expression" dxfId="350" priority="92">
      <formula>MOD(ROW(),2)=0</formula>
    </cfRule>
  </conditionalFormatting>
  <conditionalFormatting sqref="M4:N4">
    <cfRule type="expression" dxfId="349" priority="91">
      <formula>MOD(ROW(),2)=0</formula>
    </cfRule>
  </conditionalFormatting>
  <conditionalFormatting sqref="M4:N4">
    <cfRule type="expression" dxfId="348" priority="88">
      <formula>MOD(ROW(),2)=0</formula>
    </cfRule>
  </conditionalFormatting>
  <conditionalFormatting sqref="N4">
    <cfRule type="expression" dxfId="347" priority="89">
      <formula>MOD(ROW(),2)=0</formula>
    </cfRule>
  </conditionalFormatting>
  <conditionalFormatting sqref="A44:C44 E44:F44">
    <cfRule type="expression" dxfId="346" priority="83">
      <formula>MOD(ROW(),2)=0</formula>
    </cfRule>
  </conditionalFormatting>
  <conditionalFormatting sqref="A69:F69 F70">
    <cfRule type="expression" dxfId="345" priority="82">
      <formula>MOD(ROW(),2)=0</formula>
    </cfRule>
  </conditionalFormatting>
  <conditionalFormatting sqref="A13:F13">
    <cfRule type="expression" dxfId="344" priority="74">
      <formula>MOD(ROW(),2)=0</formula>
    </cfRule>
  </conditionalFormatting>
  <conditionalFormatting sqref="M13:N13">
    <cfRule type="expression" dxfId="343" priority="73">
      <formula>MOD(ROW(),2)=0</formula>
    </cfRule>
  </conditionalFormatting>
  <conditionalFormatting sqref="M13:N13">
    <cfRule type="expression" dxfId="342" priority="70">
      <formula>MOD(ROW(),2)=0</formula>
    </cfRule>
  </conditionalFormatting>
  <conditionalFormatting sqref="N13">
    <cfRule type="expression" dxfId="341" priority="71">
      <formula>MOD(ROW(),2)=0</formula>
    </cfRule>
  </conditionalFormatting>
  <conditionalFormatting sqref="F54">
    <cfRule type="expression" dxfId="340" priority="63">
      <formula>MOD(ROW(),2)=0</formula>
    </cfRule>
  </conditionalFormatting>
  <conditionalFormatting sqref="D54:E54">
    <cfRule type="expression" dxfId="339" priority="62">
      <formula>MOD(ROW(),2)=0</formula>
    </cfRule>
  </conditionalFormatting>
  <conditionalFormatting sqref="D8">
    <cfRule type="expression" dxfId="338" priority="61">
      <formula>MOD(ROW(),2)=0</formula>
    </cfRule>
  </conditionalFormatting>
  <conditionalFormatting sqref="D4">
    <cfRule type="expression" dxfId="337" priority="60">
      <formula>MOD(ROW(),2)=0</formula>
    </cfRule>
  </conditionalFormatting>
  <conditionalFormatting sqref="D12">
    <cfRule type="expression" dxfId="336" priority="59">
      <formula>MOD(ROW(),2)=0</formula>
    </cfRule>
  </conditionalFormatting>
  <conditionalFormatting sqref="D23">
    <cfRule type="expression" dxfId="335" priority="58">
      <formula>MOD(ROW(),2)=0</formula>
    </cfRule>
  </conditionalFormatting>
  <conditionalFormatting sqref="D59:D60">
    <cfRule type="expression" dxfId="334" priority="47">
      <formula>MOD(ROW(),2)=0</formula>
    </cfRule>
  </conditionalFormatting>
  <conditionalFormatting sqref="D37">
    <cfRule type="expression" dxfId="333" priority="57">
      <formula>MOD(ROW(),2)=0</formula>
    </cfRule>
  </conditionalFormatting>
  <conditionalFormatting sqref="D42 D44">
    <cfRule type="expression" dxfId="332" priority="56">
      <formula>MOD(ROW(),2)=0</formula>
    </cfRule>
  </conditionalFormatting>
  <conditionalFormatting sqref="D41">
    <cfRule type="expression" dxfId="331" priority="55">
      <formula>MOD(ROW(),2)=0</formula>
    </cfRule>
  </conditionalFormatting>
  <conditionalFormatting sqref="D45">
    <cfRule type="expression" dxfId="330" priority="54">
      <formula>MOD(ROW(),2)=0</formula>
    </cfRule>
  </conditionalFormatting>
  <conditionalFormatting sqref="D46">
    <cfRule type="expression" dxfId="329" priority="53">
      <formula>MOD(ROW(),2)=0</formula>
    </cfRule>
  </conditionalFormatting>
  <conditionalFormatting sqref="D47">
    <cfRule type="expression" dxfId="328" priority="52">
      <formula>MOD(ROW(),2)=0</formula>
    </cfRule>
  </conditionalFormatting>
  <conditionalFormatting sqref="D49">
    <cfRule type="expression" dxfId="327" priority="51">
      <formula>MOD(ROW(),2)=0</formula>
    </cfRule>
  </conditionalFormatting>
  <conditionalFormatting sqref="D61">
    <cfRule type="expression" dxfId="326" priority="50">
      <formula>MOD(ROW(),2)=0</formula>
    </cfRule>
  </conditionalFormatting>
  <conditionalFormatting sqref="D58">
    <cfRule type="expression" dxfId="325" priority="48">
      <formula>MOD(ROW(),2)=0</formula>
    </cfRule>
  </conditionalFormatting>
  <conditionalFormatting sqref="A24:F24">
    <cfRule type="expression" dxfId="324" priority="46">
      <formula>MOD(ROW(),2)=0</formula>
    </cfRule>
  </conditionalFormatting>
  <conditionalFormatting sqref="M24:N24">
    <cfRule type="expression" dxfId="323" priority="45">
      <formula>MOD(ROW(),2)=0</formula>
    </cfRule>
  </conditionalFormatting>
  <conditionalFormatting sqref="N24">
    <cfRule type="expression" dxfId="322" priority="42">
      <formula>MOD(ROW(),2)=0</formula>
    </cfRule>
  </conditionalFormatting>
  <conditionalFormatting sqref="M24:N24">
    <cfRule type="expression" dxfId="321" priority="41">
      <formula>MOD(ROW(),2)=0</formula>
    </cfRule>
  </conditionalFormatting>
  <conditionalFormatting sqref="A64:F64">
    <cfRule type="expression" dxfId="320" priority="34">
      <formula>MOD(ROW(),2)=0</formula>
    </cfRule>
  </conditionalFormatting>
  <conditionalFormatting sqref="G64:H64 M64:N64">
    <cfRule type="expression" dxfId="319" priority="33">
      <formula>MOD(ROW(),2)=0</formula>
    </cfRule>
  </conditionalFormatting>
  <conditionalFormatting sqref="A53:B53">
    <cfRule type="expression" dxfId="318" priority="32">
      <formula>MOD(ROW(),2)=0</formula>
    </cfRule>
  </conditionalFormatting>
  <conditionalFormatting sqref="G53:H53 M53:N53">
    <cfRule type="expression" dxfId="317" priority="31">
      <formula>MOD(ROW(),2)=0</formula>
    </cfRule>
  </conditionalFormatting>
  <conditionalFormatting sqref="A40:F40">
    <cfRule type="expression" dxfId="316" priority="30">
      <formula>MOD(ROW(),2)=0</formula>
    </cfRule>
  </conditionalFormatting>
  <conditionalFormatting sqref="G40:H40 M40:N40">
    <cfRule type="expression" dxfId="315" priority="29">
      <formula>MOD(ROW(),2)=0</formula>
    </cfRule>
  </conditionalFormatting>
  <conditionalFormatting sqref="A48:F48">
    <cfRule type="expression" dxfId="314" priority="28">
      <formula>MOD(ROW(),2)=0</formula>
    </cfRule>
  </conditionalFormatting>
  <conditionalFormatting sqref="A17:F17">
    <cfRule type="expression" dxfId="313" priority="27">
      <formula>MOD(ROW(),2)=0</formula>
    </cfRule>
  </conditionalFormatting>
  <conditionalFormatting sqref="G17:H17 M17:N17">
    <cfRule type="expression" dxfId="312" priority="26">
      <formula>MOD(ROW(),2)=0</formula>
    </cfRule>
  </conditionalFormatting>
  <conditionalFormatting sqref="B22:F22 C21:F21">
    <cfRule type="expression" dxfId="311" priority="25">
      <formula>MOD(ROW(),2)=0</formula>
    </cfRule>
  </conditionalFormatting>
  <conditionalFormatting sqref="G21:H22 M21:N22">
    <cfRule type="expression" dxfId="310" priority="24">
      <formula>MOD(ROW(),2)=0</formula>
    </cfRule>
  </conditionalFormatting>
  <conditionalFormatting sqref="G27:H27 M27:N27">
    <cfRule type="expression" dxfId="309" priority="20">
      <formula>MOD(ROW(),2)=0</formula>
    </cfRule>
  </conditionalFormatting>
  <conditionalFormatting sqref="A27:F27">
    <cfRule type="expression" dxfId="308" priority="23">
      <formula>MOD(ROW(),2)=0</formula>
    </cfRule>
  </conditionalFormatting>
  <conditionalFormatting sqref="A51:F51">
    <cfRule type="expression" dxfId="307" priority="22">
      <formula>MOD(ROW(),2)=0</formula>
    </cfRule>
  </conditionalFormatting>
  <conditionalFormatting sqref="A63:F63">
    <cfRule type="expression" dxfId="306" priority="21">
      <formula>MOD(ROW(),2)=0</formula>
    </cfRule>
  </conditionalFormatting>
  <conditionalFormatting sqref="A70:E70">
    <cfRule type="expression" dxfId="305" priority="19">
      <formula>MOD(ROW(),2)=0</formula>
    </cfRule>
  </conditionalFormatting>
  <conditionalFormatting sqref="A56:E56 A57">
    <cfRule type="expression" dxfId="304" priority="17">
      <formula>MOD(ROW(),2)=0</formula>
    </cfRule>
  </conditionalFormatting>
  <conditionalFormatting sqref="A6:F7">
    <cfRule type="expression" dxfId="303" priority="16">
      <formula>MOD(ROW(),2)=0</formula>
    </cfRule>
  </conditionalFormatting>
  <conditionalFormatting sqref="G6:J7">
    <cfRule type="expression" dxfId="302" priority="15">
      <formula>MOD(ROW(),2)=0</formula>
    </cfRule>
  </conditionalFormatting>
  <conditionalFormatting sqref="B57:E57">
    <cfRule type="expression" dxfId="301" priority="14">
      <formula>MOD(ROW(),2)=0</formula>
    </cfRule>
  </conditionalFormatting>
  <conditionalFormatting sqref="B5">
    <cfRule type="expression" dxfId="300" priority="13">
      <formula>MOD(ROW(),2)=0</formula>
    </cfRule>
  </conditionalFormatting>
  <conditionalFormatting sqref="C10">
    <cfRule type="expression" dxfId="299" priority="12">
      <formula>MOD(ROW(),2)=0</formula>
    </cfRule>
  </conditionalFormatting>
  <conditionalFormatting sqref="G10:J10 M10:N10">
    <cfRule type="expression" dxfId="298" priority="11">
      <formula>MOD(ROW(),2)=0</formula>
    </cfRule>
  </conditionalFormatting>
  <conditionalFormatting sqref="N10">
    <cfRule type="expression" dxfId="297" priority="10">
      <formula>MOD(ROW(),2)=0</formula>
    </cfRule>
  </conditionalFormatting>
  <conditionalFormatting sqref="M10:N10">
    <cfRule type="expression" dxfId="296" priority="9">
      <formula>MOD(ROW(),2)=0</formula>
    </cfRule>
  </conditionalFormatting>
  <conditionalFormatting sqref="B43">
    <cfRule type="expression" dxfId="295" priority="8">
      <formula>MOD(ROW(),2)=0</formula>
    </cfRule>
  </conditionalFormatting>
  <conditionalFormatting sqref="C43">
    <cfRule type="expression" dxfId="294" priority="7">
      <formula>MOD(ROW(),2)=0</formula>
    </cfRule>
  </conditionalFormatting>
  <conditionalFormatting sqref="D43:E43">
    <cfRule type="expression" dxfId="293" priority="6">
      <formula>MOD(ROW(),2)=0</formula>
    </cfRule>
  </conditionalFormatting>
  <conditionalFormatting sqref="G43:J43 M43:N43">
    <cfRule type="expression" dxfId="292" priority="5">
      <formula>MOD(ROW(),2)=0</formula>
    </cfRule>
  </conditionalFormatting>
  <conditionalFormatting sqref="B21">
    <cfRule type="expression" dxfId="291" priority="4">
      <formula>MOD(ROW(),2)=0</formula>
    </cfRule>
  </conditionalFormatting>
  <conditionalFormatting sqref="A21:A22">
    <cfRule type="expression" dxfId="290" priority="3">
      <formula>MOD(ROW(),2)=0</formula>
    </cfRule>
  </conditionalFormatting>
  <conditionalFormatting sqref="G57:J57 M57:N57">
    <cfRule type="expression" dxfId="289" priority="2">
      <formula>MOD(ROW(),2)=0</formula>
    </cfRule>
  </conditionalFormatting>
  <conditionalFormatting sqref="I69:L70">
    <cfRule type="expression" dxfId="288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87" priority="13">
      <formula>MOD(ROW(),2)=0</formula>
    </cfRule>
  </conditionalFormatting>
  <conditionalFormatting sqref="AE40">
    <cfRule type="expression" dxfId="286" priority="12">
      <formula>MOD(ROW(),2)=0</formula>
    </cfRule>
  </conditionalFormatting>
  <conditionalFormatting sqref="AE42">
    <cfRule type="expression" dxfId="285" priority="11">
      <formula>MOD(ROW(),2)=0</formula>
    </cfRule>
  </conditionalFormatting>
  <conditionalFormatting sqref="B48:B49">
    <cfRule type="expression" dxfId="284" priority="5">
      <formula>MOD(ROW(),2)=0</formula>
    </cfRule>
  </conditionalFormatting>
  <conditionalFormatting sqref="AD5:AE5">
    <cfRule type="expression" dxfId="283" priority="4">
      <formula>MOD(ROW(),2)=0</formula>
    </cfRule>
  </conditionalFormatting>
  <conditionalFormatting sqref="AD41">
    <cfRule type="expression" dxfId="282" priority="3">
      <formula>MOD(ROW(),2)=0</formula>
    </cfRule>
  </conditionalFormatting>
  <conditionalFormatting sqref="AE41">
    <cfRule type="expression" dxfId="281" priority="2">
      <formula>MOD(ROW(),2)=0</formula>
    </cfRule>
  </conditionalFormatting>
  <conditionalFormatting sqref="AD20:AE20">
    <cfRule type="expression" dxfId="280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79" priority="28">
      <formula>MOD(ROW(),2)=0</formula>
    </cfRule>
  </conditionalFormatting>
  <conditionalFormatting sqref="AC47">
    <cfRule type="expression" dxfId="278" priority="27">
      <formula>MOD(ROW(),2)=0</formula>
    </cfRule>
  </conditionalFormatting>
  <conditionalFormatting sqref="AC49">
    <cfRule type="expression" dxfId="277" priority="26">
      <formula>MOD(ROW(),2)=0</formula>
    </cfRule>
  </conditionalFormatting>
  <conditionalFormatting sqref="A30:C30 F30">
    <cfRule type="expression" dxfId="276" priority="25">
      <formula>MOD(ROW(),2)=0</formula>
    </cfRule>
  </conditionalFormatting>
  <conditionalFormatting sqref="A14:F14 A15:C15 E15:F15">
    <cfRule type="expression" dxfId="275" priority="23">
      <formula>MOD(ROW(),2)=0</formula>
    </cfRule>
  </conditionalFormatting>
  <conditionalFormatting sqref="D30:E30">
    <cfRule type="expression" dxfId="274" priority="22">
      <formula>MOD(ROW(),2)=0</formula>
    </cfRule>
  </conditionalFormatting>
  <conditionalFormatting sqref="A58:F58">
    <cfRule type="expression" dxfId="273" priority="20">
      <formula>MOD(ROW(),2)=0</formula>
    </cfRule>
  </conditionalFormatting>
  <conditionalFormatting sqref="B55:B56">
    <cfRule type="expression" dxfId="272" priority="19">
      <formula>MOD(ROW(),2)=0</formula>
    </cfRule>
  </conditionalFormatting>
  <conditionalFormatting sqref="AB6:AC6">
    <cfRule type="expression" dxfId="271" priority="15">
      <formula>MOD(ROW(),2)=0</formula>
    </cfRule>
  </conditionalFormatting>
  <conditionalFormatting sqref="AB48">
    <cfRule type="expression" dxfId="270" priority="14">
      <formula>MOD(ROW(),2)=0</formula>
    </cfRule>
  </conditionalFormatting>
  <conditionalFormatting sqref="AC48">
    <cfRule type="expression" dxfId="269" priority="13">
      <formula>MOD(ROW(),2)=0</formula>
    </cfRule>
  </conditionalFormatting>
  <conditionalFormatting sqref="D6">
    <cfRule type="expression" dxfId="268" priority="12">
      <formula>MOD(ROW(),2)=0</formula>
    </cfRule>
  </conditionalFormatting>
  <conditionalFormatting sqref="D9">
    <cfRule type="expression" dxfId="267" priority="11">
      <formula>MOD(ROW(),2)=0</formula>
    </cfRule>
  </conditionalFormatting>
  <conditionalFormatting sqref="D15">
    <cfRule type="expression" dxfId="266" priority="10">
      <formula>MOD(ROW(),2)=0</formula>
    </cfRule>
  </conditionalFormatting>
  <conditionalFormatting sqref="D28">
    <cfRule type="expression" dxfId="265" priority="9">
      <formula>MOD(ROW(),2)=0</formula>
    </cfRule>
  </conditionalFormatting>
  <conditionalFormatting sqref="D41">
    <cfRule type="expression" dxfId="264" priority="8">
      <formula>MOD(ROW(),2)=0</formula>
    </cfRule>
  </conditionalFormatting>
  <conditionalFormatting sqref="D46">
    <cfRule type="expression" dxfId="263" priority="7">
      <formula>MOD(ROW(),2)=0</formula>
    </cfRule>
  </conditionalFormatting>
  <conditionalFormatting sqref="D49">
    <cfRule type="expression" dxfId="262" priority="6">
      <formula>MOD(ROW(),2)=0</formula>
    </cfRule>
  </conditionalFormatting>
  <conditionalFormatting sqref="D60:D63">
    <cfRule type="expression" dxfId="261" priority="1">
      <formula>MOD(ROW(),2)=0</formula>
    </cfRule>
  </conditionalFormatting>
  <conditionalFormatting sqref="D50:D51">
    <cfRule type="expression" dxfId="260" priority="5">
      <formula>MOD(ROW(),2)=0</formula>
    </cfRule>
  </conditionalFormatting>
  <conditionalFormatting sqref="D52">
    <cfRule type="expression" dxfId="259" priority="4">
      <formula>MOD(ROW(),2)=0</formula>
    </cfRule>
  </conditionalFormatting>
  <conditionalFormatting sqref="D59">
    <cfRule type="expression" dxfId="258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57" priority="24">
      <formula>MOD(ROW(),2)=0</formula>
    </cfRule>
  </conditionalFormatting>
  <conditionalFormatting sqref="AC47">
    <cfRule type="expression" dxfId="256" priority="23">
      <formula>MOD(ROW(),2)=0</formula>
    </cfRule>
  </conditionalFormatting>
  <conditionalFormatting sqref="AC48">
    <cfRule type="expression" dxfId="255" priority="22">
      <formula>MOD(ROW(),2)=0</formula>
    </cfRule>
  </conditionalFormatting>
  <conditionalFormatting sqref="A29:C29 F29">
    <cfRule type="expression" dxfId="254" priority="21">
      <formula>MOD(ROW(),2)=0</formula>
    </cfRule>
  </conditionalFormatting>
  <conditionalFormatting sqref="AC59">
    <cfRule type="expression" dxfId="253" priority="20">
      <formula>MOD(ROW(),2)=0</formula>
    </cfRule>
  </conditionalFormatting>
  <conditionalFormatting sqref="A13:F13 A14:C14 E14:F14">
    <cfRule type="expression" dxfId="252" priority="19">
      <formula>MOD(ROW(),2)=0</formula>
    </cfRule>
  </conditionalFormatting>
  <conditionalFormatting sqref="D29:E29">
    <cfRule type="expression" dxfId="251" priority="18">
      <formula>MOD(ROW(),2)=0</formula>
    </cfRule>
  </conditionalFormatting>
  <conditionalFormatting sqref="A53:B53 F53">
    <cfRule type="expression" dxfId="250" priority="15">
      <formula>MOD(ROW(),2)=0</formula>
    </cfRule>
  </conditionalFormatting>
  <conditionalFormatting sqref="A57:F57">
    <cfRule type="expression" dxfId="249" priority="14">
      <formula>MOD(ROW(),2)=0</formula>
    </cfRule>
  </conditionalFormatting>
  <conditionalFormatting sqref="B54:B55">
    <cfRule type="expression" dxfId="248" priority="13">
      <formula>MOD(ROW(),2)=0</formula>
    </cfRule>
  </conditionalFormatting>
  <conditionalFormatting sqref="D53:E53 C54:E55">
    <cfRule type="expression" dxfId="247" priority="12">
      <formula>MOD(ROW(),2)=0</formula>
    </cfRule>
  </conditionalFormatting>
  <conditionalFormatting sqref="D58:D61">
    <cfRule type="expression" dxfId="246" priority="1">
      <formula>MOD(ROW(),2)=0</formula>
    </cfRule>
  </conditionalFormatting>
  <conditionalFormatting sqref="D8">
    <cfRule type="expression" dxfId="245" priority="10">
      <formula>MOD(ROW(),2)=0</formula>
    </cfRule>
  </conditionalFormatting>
  <conditionalFormatting sqref="D14">
    <cfRule type="expression" dxfId="244" priority="9">
      <formula>MOD(ROW(),2)=0</formula>
    </cfRule>
  </conditionalFormatting>
  <conditionalFormatting sqref="D27">
    <cfRule type="expression" dxfId="243" priority="8">
      <formula>MOD(ROW(),2)=0</formula>
    </cfRule>
  </conditionalFormatting>
  <conditionalFormatting sqref="D41">
    <cfRule type="expression" dxfId="242" priority="7">
      <formula>MOD(ROW(),2)=0</formula>
    </cfRule>
  </conditionalFormatting>
  <conditionalFormatting sqref="D47:D48">
    <cfRule type="expression" dxfId="241" priority="6">
      <formula>MOD(ROW(),2)=0</formula>
    </cfRule>
  </conditionalFormatting>
  <conditionalFormatting sqref="D46">
    <cfRule type="expression" dxfId="240" priority="5">
      <formula>MOD(ROW(),2)=0</formula>
    </cfRule>
  </conditionalFormatting>
  <conditionalFormatting sqref="D49">
    <cfRule type="expression" dxfId="239" priority="4">
      <formula>MOD(ROW(),2)=0</formula>
    </cfRule>
  </conditionalFormatting>
  <conditionalFormatting sqref="D50">
    <cfRule type="expression" dxfId="238" priority="3">
      <formula>MOD(ROW(),2)=0</formula>
    </cfRule>
  </conditionalFormatting>
  <conditionalFormatting sqref="D51">
    <cfRule type="expression" dxfId="237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90"/>
  <sheetViews>
    <sheetView topLeftCell="B13" zoomScaleNormal="100" workbookViewId="0">
      <selection activeCell="O11" sqref="O11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3" width="10.5703125" style="1" customWidth="1" collapsed="1"/>
    <col min="14" max="14" width="10.5703125" style="1" customWidth="1"/>
    <col min="15" max="15" width="10.5703125" style="131" customWidth="1"/>
    <col min="16" max="16" width="12.140625" style="1" customWidth="1" outlineLevel="1"/>
    <col min="17" max="17" width="10.5703125" style="1" customWidth="1" outlineLevel="1"/>
    <col min="18" max="18" width="10.5703125" style="131" customWidth="1"/>
    <col min="19" max="20" width="10.5703125" style="1" customWidth="1" outlineLevel="1"/>
    <col min="21" max="21" width="10.5703125" style="131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IFERROR(VLOOKUP($A$3:$A$144,'APR-2026'!$A$4:$ABX$112,MATCH('FY-(26-27)Q1'!$G$2:$H$2,'APR-2026'!$A$2:$BY$2,0),0),0)</f>
        <v>330000</v>
      </c>
      <c r="H4" s="154">
        <f>IFERROR(VLOOKUP($A$3:$A$144,'APR-2026'!$A$4:$ABX$112,MATCH('FY-(26-27)Q1'!$G$2:$H$2,'APR-2026'!$A$2:$BY$2,0),0),0)</f>
        <v>1.1000000000000001</v>
      </c>
      <c r="I4" s="152">
        <f>IFERROR(VLOOKUP($A$3:$A$144,'MAY-2026'!$A$4:$ACP$113,MATCH('FY-(26-27)Q1'!$I$2:$J$2,'MAY-2026'!$A$2:$CQ$2,0),0),0)</f>
        <v>-198725</v>
      </c>
      <c r="J4" s="154">
        <f>IFERROR(VLOOKUP($A$3:$A$144,'MAY-2026'!$A$4:$ACP$113,MATCH('FY-(26-27)Q1'!$I$2:$J$2,'MAY-2026'!$A$2:$CQ$2,0),0),0)</f>
        <v>-0.66241666666666665</v>
      </c>
      <c r="K4" s="152">
        <f>IFERROR(VLOOKUP($A$3:$A$144,'JUNE-2026'!$A$4:$ADJ$113,MATCH('FY-(26-27)Q1'!$K$2:$L$2,'JUNE-2026'!$A$2:$DK$2,0),0),0)</f>
        <v>50000</v>
      </c>
      <c r="L4" s="154">
        <f>IFERROR(VLOOKUP($A$3:$A$144,'JUNE-2026'!$A$4:$ADJ$113,MATCH('FY-(26-27)Q1'!$K$2:$L$2,'JUNE-2026'!$A$2:$DK$2,0),0),0)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IFERROR(VLOOKUP($A$3:$A$144,'FY-(26-27)Q2'!$A$4:$ABW$124,MATCH('FY-(26-27)Q1'!$P$2:$Q$2,'FY-(26-27)Q2'!$A$2:$BX$2,0),0),0)</f>
        <v>0</v>
      </c>
      <c r="Q4" s="154">
        <f>IFERROR(VLOOKUP($A$3:$A$144,'FY-(26-27)Q2'!$A$4:$ABW$124,MATCH('FY-(26-27)Q1'!$P$2:$Q$2,'FY-(26-27)Q2'!$A$2:$BX$2,0),0),0)</f>
        <v>0</v>
      </c>
      <c r="R4" s="158"/>
      <c r="S4" s="152">
        <f>IFERROR(VLOOKUP($A$3:$A$144,'FY-(26-27)Q3'!$A$4:$ABW$117,MATCH('FY-(26-27)Q1'!$S$2:$T$2,'FY-(26-27)Q3'!$A$2:$BX$2,0),0),0)</f>
        <v>0</v>
      </c>
      <c r="T4" s="154">
        <f>IFERROR(VLOOKUP($A$3:$A$144,'FY-(26-27)Q3'!$A$4:$ABW$117,MATCH('FY-(26-27)Q1'!$S$2:$T$3,'FY-(26-27)Q3'!$A$2:$BX$2,0),0),0)</f>
        <v>0</v>
      </c>
      <c r="U4" s="216"/>
      <c r="V4" s="71"/>
      <c r="W4" s="72"/>
      <c r="Y4" s="89">
        <f t="shared" ref="Y4" si="0">M4+P4+S4+V4</f>
        <v>181275</v>
      </c>
      <c r="Z4" s="167">
        <f t="shared" ref="Z4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IFERROR(VLOOKUP($A$3:$A$144,'APR-2026'!$A$4:$ABX$112,MATCH('FY-(26-27)Q1'!$G$2:$H$2,'APR-2026'!$A$2:$BY$2,0),0),0)</f>
        <v>-21500</v>
      </c>
      <c r="H5" s="154">
        <f>IFERROR(VLOOKUP($A$3:$A$144,'APR-2026'!$A$4:$ABX$112,MATCH('FY-(26-27)Q1'!$G$2:$H$2,'APR-2026'!$A$2:$BY$2,0),0),0)</f>
        <v>-7.166666666666667E-2</v>
      </c>
      <c r="I5" s="152">
        <f>IFERROR(VLOOKUP($A$3:$A$144,'MAY-2026'!$A$4:$ACP$113,MATCH('FY-(26-27)Q1'!$I$2:$J$2,'MAY-2026'!$A$2:$CQ$2,0),0),0)</f>
        <v>2411</v>
      </c>
      <c r="J5" s="154">
        <f>IFERROR(VLOOKUP($A$3:$A$144,'MAY-2026'!$A$4:$ACP$113,MATCH('FY-(26-27)Q1'!$I$2:$J$2,'MAY-2026'!$A$2:$CQ$2,0),0),0)</f>
        <v>8.0366666666666659E-3</v>
      </c>
      <c r="K5" s="152">
        <f>IFERROR(VLOOKUP($A$3:$A$144,'JUNE-2026'!$A$4:$ADJ$113,MATCH('FY-(26-27)Q1'!$K$2:$L$2,'JUNE-2026'!$A$2:$DK$2,0),0),0)</f>
        <v>0</v>
      </c>
      <c r="L5" s="154">
        <f>IFERROR(VLOOKUP($A$3:$A$144,'JUNE-2026'!$A$4:$ADJ$113,MATCH('FY-(26-27)Q1'!$K$2:$L$2,'JUNE-2026'!$A$2:$DK$2,0),0),0)</f>
        <v>0</v>
      </c>
      <c r="M5" s="71">
        <f t="shared" ref="M5:M9" si="2">G5+I5+K5</f>
        <v>-19089</v>
      </c>
      <c r="N5" s="165">
        <f t="shared" ref="N5:N9" si="3">H5+J5+L5</f>
        <v>-6.3630000000000006E-2</v>
      </c>
      <c r="O5" s="214"/>
      <c r="P5" s="152">
        <f>IFERROR(VLOOKUP($A$3:$A$144,'FY-(26-27)Q2'!$A$4:$ABW$124,MATCH('FY-(26-27)Q1'!$P$2:$Q$2,'FY-(26-27)Q2'!$A$2:$BX$2,0),0),0)</f>
        <v>0</v>
      </c>
      <c r="Q5" s="154">
        <f>IFERROR(VLOOKUP($A$3:$A$144,'FY-(26-27)Q2'!$A$4:$ABW$124,MATCH('FY-(26-27)Q1'!$P$2:$Q$2,'FY-(26-27)Q2'!$A$2:$BX$2,0),0),0)</f>
        <v>0</v>
      </c>
      <c r="R5" s="158"/>
      <c r="S5" s="152">
        <f>IFERROR(VLOOKUP($A$3:$A$144,'FY-(26-27)Q3'!$A$4:$ABW$117,MATCH('FY-(26-27)Q1'!$S$2:$T$2,'FY-(26-27)Q3'!$A$2:$BX$2,0),0),0)</f>
        <v>0</v>
      </c>
      <c r="T5" s="154">
        <f>IFERROR(VLOOKUP($A$3:$A$144,'FY-(26-27)Q3'!$A$4:$ABW$117,MATCH('FY-(26-27)Q1'!$S$2:$T$3,'FY-(26-27)Q3'!$A$2:$BX$2,0),0),0)</f>
        <v>0</v>
      </c>
      <c r="U5" s="216"/>
      <c r="V5" s="71"/>
      <c r="W5" s="72"/>
      <c r="Y5" s="153">
        <f t="shared" ref="Y5:Y70" si="4">M5+P5+S5+V5</f>
        <v>-19089</v>
      </c>
      <c r="Z5" s="167">
        <f t="shared" ref="Z5:Z70" si="5">(N5+Q5+T5+W5)</f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IFERROR(VLOOKUP($A$3:$A$144,'APR-2026'!$A$4:$ABX$112,MATCH('FY-(26-27)Q1'!$G$2:$H$2,'APR-2026'!$A$2:$BY$2,0),0),0)</f>
        <v>0</v>
      </c>
      <c r="H6" s="154">
        <f>IFERROR(VLOOKUP($A$3:$A$144,'APR-2026'!$A$4:$ABX$112,MATCH('FY-(26-27)Q1'!$G$2:$H$2,'APR-2026'!$A$2:$BY$2,0),0),0)</f>
        <v>0</v>
      </c>
      <c r="I6" s="152">
        <f>IFERROR(VLOOKUP($A$3:$A$144,'MAY-2026'!$A$4:$ACP$113,MATCH('FY-(26-27)Q1'!$I$2:$J$2,'MAY-2026'!$A$2:$CQ$2,0),0),0)</f>
        <v>-44821</v>
      </c>
      <c r="J6" s="154">
        <f>IFERROR(VLOOKUP($A$3:$A$144,'MAY-2026'!$A$4:$ACP$113,MATCH('FY-(26-27)Q1'!$I$2:$J$2,'MAY-2026'!$A$2:$CQ$2,0),0),0)</f>
        <v>-0.89641999999999999</v>
      </c>
      <c r="K6" s="152">
        <f>IFERROR(VLOOKUP($A$3:$A$144,'JUNE-2026'!$A$4:$ADJ$113,MATCH('FY-(26-27)Q1'!$K$2:$L$2,'JUNE-2026'!$A$2:$DK$2,0),0),0)</f>
        <v>-3515</v>
      </c>
      <c r="L6" s="154">
        <f>IFERROR(VLOOKUP($A$3:$A$144,'JUNE-2026'!$A$4:$ADJ$113,MATCH('FY-(26-27)Q1'!$K$2:$L$2,'JUNE-2026'!$A$2:$DK$2,0),0),0)</f>
        <v>-7.0300000000000001E-2</v>
      </c>
      <c r="M6" s="71">
        <f t="shared" si="2"/>
        <v>-48336</v>
      </c>
      <c r="N6" s="165">
        <f t="shared" si="3"/>
        <v>-0.96672000000000002</v>
      </c>
      <c r="O6" s="214"/>
      <c r="P6" s="152">
        <f>IFERROR(VLOOKUP($A$3:$A$144,'FY-(26-27)Q2'!$A$4:$ABW$124,MATCH('FY-(26-27)Q1'!$P$2:$Q$2,'FY-(26-27)Q2'!$A$2:$BX$2,0),0),0)</f>
        <v>-504138</v>
      </c>
      <c r="Q6" s="154">
        <f>IFERROR(VLOOKUP($A$3:$A$144,'FY-(26-27)Q2'!$A$4:$ABW$124,MATCH('FY-(26-27)Q1'!$P$2:$Q$2,'FY-(26-27)Q2'!$A$2:$BX$2,0),0),0)</f>
        <v>-10.08276</v>
      </c>
      <c r="R6" s="158"/>
      <c r="S6" s="152">
        <f>IFERROR(VLOOKUP($A$3:$A$144,'FY-(26-27)Q3'!$A$4:$ABW$117,MATCH('FY-(26-27)Q1'!$S$2:$T$2,'FY-(26-27)Q3'!$A$2:$BX$2,0),0),0)</f>
        <v>123203</v>
      </c>
      <c r="T6" s="154">
        <f>IFERROR(VLOOKUP($A$3:$A$144,'FY-(26-27)Q3'!$A$4:$ABW$117,MATCH('FY-(26-27)Q1'!$S$2:$T$3,'FY-(26-27)Q3'!$A$2:$BX$2,0),0),0)</f>
        <v>0</v>
      </c>
      <c r="U6" s="216"/>
      <c r="V6" s="71"/>
      <c r="W6" s="149"/>
      <c r="X6" s="131"/>
      <c r="Y6" s="153">
        <f t="shared" si="4"/>
        <v>-429271</v>
      </c>
      <c r="Z6" s="167">
        <f t="shared" si="5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IFERROR(VLOOKUP($A$3:$A$144,'APR-2026'!$A$4:$ABX$112,MATCH('FY-(26-27)Q1'!$G$2:$H$2,'APR-2026'!$A$2:$BY$2,0),0),0)</f>
        <v>602695</v>
      </c>
      <c r="H7" s="154">
        <f>IFERROR(VLOOKUP($A$3:$A$144,'APR-2026'!$A$4:$ABX$112,MATCH('FY-(26-27)Q1'!$G$2:$H$2,'APR-2026'!$A$2:$BY$2,0),0),0)</f>
        <v>2.0089833333333336</v>
      </c>
      <c r="I7" s="152">
        <f>IFERROR(VLOOKUP($A$3:$A$144,'MAY-2026'!$A$4:$ACP$113,MATCH('FY-(26-27)Q1'!$I$2:$J$2,'MAY-2026'!$A$2:$CQ$2,0),0),0)</f>
        <v>-40749</v>
      </c>
      <c r="J7" s="154">
        <f>IFERROR(VLOOKUP($A$3:$A$144,'MAY-2026'!$A$4:$ACP$113,MATCH('FY-(26-27)Q1'!$I$2:$J$2,'MAY-2026'!$A$2:$CQ$2,0),0),0)</f>
        <v>-0.13583000000000001</v>
      </c>
      <c r="K7" s="152">
        <f>IFERROR(VLOOKUP($A$3:$A$144,'JUNE-2026'!$A$4:$ADJ$113,MATCH('FY-(26-27)Q1'!$K$2:$L$2,'JUNE-2026'!$A$2:$DK$2,0),0),0)</f>
        <v>772328</v>
      </c>
      <c r="L7" s="154">
        <f>IFERROR(VLOOKUP($A$3:$A$144,'JUNE-2026'!$A$4:$ADJ$113,MATCH('FY-(26-27)Q1'!$K$2:$L$2,'JUNE-2026'!$A$2:$DK$2,0),0),0)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IFERROR(VLOOKUP($A$3:$A$144,'FY-(26-27)Q2'!$A$4:$ABW$124,MATCH('FY-(26-27)Q1'!$P$2:$Q$2,'FY-(26-27)Q2'!$A$2:$BX$2,0),0),0)</f>
        <v>-92060</v>
      </c>
      <c r="Q7" s="154">
        <f>IFERROR(VLOOKUP($A$3:$A$144,'FY-(26-27)Q2'!$A$4:$ABW$124,MATCH('FY-(26-27)Q1'!$P$2:$Q$2,'FY-(26-27)Q2'!$A$2:$BX$2,0),0),0)</f>
        <v>-0.30686666666666662</v>
      </c>
      <c r="R7" s="158"/>
      <c r="S7" s="152">
        <f>IFERROR(VLOOKUP($A$3:$A$144,'FY-(26-27)Q3'!$A$4:$ABW$117,MATCH('FY-(26-27)Q1'!$S$2:$T$2,'FY-(26-27)Q3'!$A$2:$BX$2,0),0),0)</f>
        <v>0</v>
      </c>
      <c r="T7" s="154">
        <f>IFERROR(VLOOKUP($A$3:$A$144,'FY-(26-27)Q3'!$A$4:$ABW$117,MATCH('FY-(26-27)Q1'!$S$2:$T$3,'FY-(26-27)Q3'!$A$2:$BX$2,0),0),0)</f>
        <v>0</v>
      </c>
      <c r="U7" s="158"/>
      <c r="V7" s="45"/>
      <c r="W7" s="72"/>
      <c r="X7"/>
      <c r="Y7" s="153">
        <f t="shared" si="4"/>
        <v>1242214</v>
      </c>
      <c r="Z7" s="167">
        <f t="shared" si="5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IFERROR(VLOOKUP($A$3:$A$144,'APR-2026'!$A$4:$ABX$112,MATCH('FY-(26-27)Q1'!$G$2:$H$2,'APR-2026'!$A$2:$BY$2,0),0),0)</f>
        <v>-115177</v>
      </c>
      <c r="H8" s="154">
        <f>IFERROR(VLOOKUP($A$3:$A$144,'APR-2026'!$A$4:$ABX$112,MATCH('FY-(26-27)Q1'!$G$2:$H$2,'APR-2026'!$A$2:$BY$2,0),0),0)</f>
        <v>-1.15177</v>
      </c>
      <c r="I8" s="152">
        <f>IFERROR(VLOOKUP($A$3:$A$144,'MAY-2026'!$A$4:$ACP$113,MATCH('FY-(26-27)Q1'!$I$2:$J$2,'MAY-2026'!$A$2:$CQ$2,0),0),0)</f>
        <v>-270250</v>
      </c>
      <c r="J8" s="154">
        <f>IFERROR(VLOOKUP($A$3:$A$144,'MAY-2026'!$A$4:$ACP$113,MATCH('FY-(26-27)Q1'!$I$2:$J$2,'MAY-2026'!$A$2:$CQ$2,0),0),0)</f>
        <v>-2.7025000000000001</v>
      </c>
      <c r="K8" s="152">
        <f>IFERROR(VLOOKUP($A$3:$A$144,'JUNE-2026'!$A$4:$ADJ$113,MATCH('FY-(26-27)Q1'!$K$2:$L$2,'JUNE-2026'!$A$2:$DK$2,0),0),0)</f>
        <v>0</v>
      </c>
      <c r="L8" s="154">
        <f>IFERROR(VLOOKUP($A$3:$A$144,'JUNE-2026'!$A$4:$ADJ$113,MATCH('FY-(26-27)Q1'!$K$2:$L$2,'JUNE-2026'!$A$2:$DK$2,0),0),0)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IFERROR(VLOOKUP($A$3:$A$144,'FY-(26-27)Q2'!$A$4:$ABW$124,MATCH('FY-(26-27)Q1'!$P$2:$Q$2,'FY-(26-27)Q2'!$A$2:$BX$2,0),0),0)</f>
        <v>109355</v>
      </c>
      <c r="Q8" s="154">
        <f>IFERROR(VLOOKUP($A$3:$A$144,'FY-(26-27)Q2'!$A$4:$ABW$124,MATCH('FY-(26-27)Q1'!$P$2:$Q$2,'FY-(26-27)Q2'!$A$2:$BX$2,0),0),0)</f>
        <v>1.09355</v>
      </c>
      <c r="R8" s="158"/>
      <c r="S8" s="152">
        <f>IFERROR(VLOOKUP($A$3:$A$144,'FY-(26-27)Q3'!$A$4:$ABW$117,MATCH('FY-(26-27)Q1'!$S$2:$T$2,'FY-(26-27)Q3'!$A$2:$BX$2,0),0),0)</f>
        <v>0</v>
      </c>
      <c r="T8" s="154">
        <f>IFERROR(VLOOKUP($A$3:$A$144,'FY-(26-27)Q3'!$A$4:$ABW$117,MATCH('FY-(26-27)Q1'!$S$2:$T$3,'FY-(26-27)Q3'!$A$2:$BX$2,0),0),0)</f>
        <v>0</v>
      </c>
      <c r="U8" s="158"/>
      <c r="V8" s="143"/>
      <c r="W8" s="149"/>
      <c r="X8" s="1"/>
      <c r="Y8" s="153">
        <f t="shared" si="4"/>
        <v>-276072</v>
      </c>
      <c r="Z8" s="167">
        <f t="shared" si="5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>
        <f>IFERROR(VLOOKUP($A$3:$A$144,'APR-2026'!$A$4:$ABX$112,MATCH('FY-(26-27)Q1'!$G$2:$H$2,'APR-2026'!$A$2:$BY$2,0),0),0)</f>
        <v>0</v>
      </c>
      <c r="H9" s="154">
        <f>IFERROR(VLOOKUP($A$3:$A$144,'APR-2026'!$A$4:$ABX$112,MATCH('FY-(26-27)Q1'!$G$2:$H$2,'APR-2026'!$A$2:$BY$2,0),0),0)</f>
        <v>0</v>
      </c>
      <c r="I9" s="152">
        <f>IFERROR(VLOOKUP($A$3:$A$144,'MAY-2026'!$A$4:$ACP$113,MATCH('FY-(26-27)Q1'!$I$2:$J$2,'MAY-2026'!$A$2:$CQ$2,0),0),0)</f>
        <v>0</v>
      </c>
      <c r="J9" s="154">
        <f>IFERROR(VLOOKUP($A$3:$A$144,'MAY-2026'!$A$4:$ACP$113,MATCH('FY-(26-27)Q1'!$I$2:$J$2,'MAY-2026'!$A$2:$CQ$2,0),0),0)</f>
        <v>0</v>
      </c>
      <c r="K9" s="152">
        <f>IFERROR(VLOOKUP($A$3:$A$144,'JUNE-2026'!$A$4:$ADJ$113,MATCH('FY-(26-27)Q1'!$K$2:$L$2,'JUNE-2026'!$A$2:$DK$2,0),0),0)</f>
        <v>0</v>
      </c>
      <c r="L9" s="154">
        <f>IFERROR(VLOOKUP($A$3:$A$144,'JUNE-2026'!$A$4:$ADJ$113,MATCH('FY-(26-27)Q1'!$K$2:$L$2,'JUNE-2026'!$A$2:$DK$2,0),0),0)</f>
        <v>0</v>
      </c>
      <c r="M9" s="71">
        <f t="shared" si="2"/>
        <v>0</v>
      </c>
      <c r="N9" s="165">
        <f t="shared" si="3"/>
        <v>0</v>
      </c>
      <c r="O9" s="214"/>
      <c r="P9" s="152">
        <f>IFERROR(VLOOKUP($A$3:$A$144,'FY-(26-27)Q2'!$A$4:$ABW$124,MATCH('FY-(26-27)Q1'!$P$2:$Q$2,'FY-(26-27)Q2'!$A$2:$BX$2,0),0),0)</f>
        <v>-136386</v>
      </c>
      <c r="Q9" s="154">
        <f>IFERROR(VLOOKUP($A$3:$A$144,'FY-(26-27)Q2'!$A$4:$ABW$124,MATCH('FY-(26-27)Q1'!$P$2:$Q$2,'FY-(26-27)Q2'!$A$2:$BX$2,0),0),0)</f>
        <v>-1.07396</v>
      </c>
      <c r="R9" s="158"/>
      <c r="S9" s="152">
        <f>IFERROR(VLOOKUP($A$3:$A$144,'FY-(26-27)Q3'!$A$4:$ABW$117,MATCH('FY-(26-27)Q1'!$S$2:$T$2,'FY-(26-27)Q3'!$A$2:$BX$2,0),0),0)</f>
        <v>0</v>
      </c>
      <c r="T9" s="154">
        <f>IFERROR(VLOOKUP($A$3:$A$144,'FY-(26-27)Q3'!$A$4:$ABW$117,MATCH('FY-(26-27)Q1'!$S$2:$T$3,'FY-(26-27)Q3'!$A$2:$BX$2,0),0),0)</f>
        <v>0</v>
      </c>
      <c r="U9" s="158"/>
      <c r="V9" s="143"/>
      <c r="W9" s="149"/>
      <c r="Y9" s="153">
        <f t="shared" si="4"/>
        <v>-136386</v>
      </c>
      <c r="Z9" s="167">
        <f t="shared" si="5"/>
        <v>-1.07396</v>
      </c>
    </row>
    <row r="10" spans="1:26" s="131" customFormat="1" ht="15" customHeight="1" x14ac:dyDescent="0.25">
      <c r="A10" s="141" t="s">
        <v>343</v>
      </c>
      <c r="B10" s="140" t="s">
        <v>341</v>
      </c>
      <c r="C10" s="140" t="s">
        <v>345</v>
      </c>
      <c r="D10" s="38" t="s">
        <v>138</v>
      </c>
      <c r="E10" s="38" t="s">
        <v>256</v>
      </c>
      <c r="F10" s="155">
        <v>3.5</v>
      </c>
      <c r="G10" s="152"/>
      <c r="H10" s="154"/>
      <c r="I10" s="152"/>
      <c r="J10" s="154"/>
      <c r="K10" s="152"/>
      <c r="L10" s="154"/>
      <c r="M10" s="71">
        <f t="shared" ref="M10:M11" si="6">G10+I10+K10</f>
        <v>0</v>
      </c>
      <c r="N10" s="165">
        <f t="shared" ref="N10:N11" si="7">H10+J10+L10</f>
        <v>0</v>
      </c>
      <c r="O10" s="214"/>
      <c r="P10" s="152">
        <f>IFERROR(VLOOKUP($A$3:$A$144,'FY-(26-27)Q2'!$A$4:$ABW$124,MATCH('FY-(26-27)Q1'!$P$2:$Q$2,'FY-(26-27)Q2'!$A$2:$BX$2,0),0),0)</f>
        <v>0</v>
      </c>
      <c r="Q10" s="154">
        <f>IFERROR(VLOOKUP($A$3:$A$144,'FY-(26-27)Q2'!$A$4:$ABW$124,MATCH('FY-(26-27)Q1'!$P$2:$Q$2,'FY-(26-27)Q2'!$A$2:$BX$2,0),0),0)</f>
        <v>0</v>
      </c>
      <c r="R10" s="158"/>
      <c r="S10" s="152">
        <f>IFERROR(VLOOKUP($A$3:$A$144,'FY-(26-27)Q3'!$A$4:$ABW$117,MATCH('FY-(26-27)Q1'!$S$2:$T$2,'FY-(26-27)Q3'!$A$2:$BX$2,0),0),0)</f>
        <v>380973</v>
      </c>
      <c r="T10" s="154">
        <f>IFERROR(VLOOKUP($A$3:$A$144,'FY-(26-27)Q3'!$A$4:$ABW$117,MATCH('FY-(26-27)Q1'!$S$2:$T$3,'FY-(26-27)Q3'!$A$2:$BX$2,0),0),0)</f>
        <v>0</v>
      </c>
      <c r="U10" s="158"/>
      <c r="V10" s="143"/>
      <c r="W10" s="149"/>
      <c r="Y10" s="153">
        <f t="shared" ref="Y10:Y11" si="8">M10+P10+S10+V10</f>
        <v>380973</v>
      </c>
      <c r="Z10" s="167">
        <f t="shared" ref="Z10:Z11" si="9">(N10+Q10+T10+W10)</f>
        <v>0</v>
      </c>
    </row>
    <row r="11" spans="1:26" s="131" customFormat="1" ht="15" customHeight="1" x14ac:dyDescent="0.25">
      <c r="A11" s="141" t="s">
        <v>344</v>
      </c>
      <c r="B11" s="140" t="s">
        <v>341</v>
      </c>
      <c r="C11" s="140" t="s">
        <v>312</v>
      </c>
      <c r="D11" s="159" t="s">
        <v>311</v>
      </c>
      <c r="E11" s="159" t="s">
        <v>256</v>
      </c>
      <c r="F11" s="155">
        <v>1</v>
      </c>
      <c r="G11" s="152"/>
      <c r="H11" s="154"/>
      <c r="I11" s="152"/>
      <c r="J11" s="154"/>
      <c r="K11" s="152"/>
      <c r="L11" s="154"/>
      <c r="M11" s="71">
        <f t="shared" si="6"/>
        <v>0</v>
      </c>
      <c r="N11" s="165">
        <f t="shared" si="7"/>
        <v>0</v>
      </c>
      <c r="O11" s="214"/>
      <c r="P11" s="152">
        <f>IFERROR(VLOOKUP($A$3:$A$144,'FY-(26-27)Q2'!$A$4:$ABW$124,MATCH('FY-(26-27)Q1'!$P$2:$Q$2,'FY-(26-27)Q2'!$A$2:$BX$2,0),0),0)</f>
        <v>0</v>
      </c>
      <c r="Q11" s="154">
        <f>IFERROR(VLOOKUP($A$3:$A$144,'FY-(26-27)Q2'!$A$4:$ABW$124,MATCH('FY-(26-27)Q1'!$P$2:$Q$2,'FY-(26-27)Q2'!$A$2:$BX$2,0),0),0)</f>
        <v>0</v>
      </c>
      <c r="R11" s="158"/>
      <c r="S11" s="152">
        <f>IFERROR(VLOOKUP($A$3:$A$144,'FY-(26-27)Q3'!$A$4:$ABW$117,MATCH('FY-(26-27)Q1'!$S$2:$T$2,'FY-(26-27)Q3'!$A$2:$BX$2,0),0),0)</f>
        <v>252087</v>
      </c>
      <c r="T11" s="154">
        <f>IFERROR(VLOOKUP($A$3:$A$144,'FY-(26-27)Q3'!$A$4:$ABW$117,MATCH('FY-(26-27)Q1'!$S$2:$T$3,'FY-(26-27)Q3'!$A$2:$BX$2,0),0),0)</f>
        <v>0</v>
      </c>
      <c r="U11" s="158"/>
      <c r="V11" s="143"/>
      <c r="W11" s="149"/>
      <c r="Y11" s="153">
        <f t="shared" si="8"/>
        <v>252087</v>
      </c>
      <c r="Z11" s="167">
        <f t="shared" si="9"/>
        <v>0</v>
      </c>
    </row>
    <row r="12" spans="1:26" ht="15" customHeight="1" x14ac:dyDescent="0.25">
      <c r="A12" s="35" t="s">
        <v>134</v>
      </c>
      <c r="B12" s="34" t="s">
        <v>133</v>
      </c>
      <c r="C12" s="34" t="s">
        <v>135</v>
      </c>
      <c r="D12" s="159" t="s">
        <v>258</v>
      </c>
      <c r="E12" s="38" t="s">
        <v>256</v>
      </c>
      <c r="F12" s="116">
        <v>3</v>
      </c>
      <c r="G12" s="152">
        <f>IFERROR(VLOOKUP($A$3:$A$144,'APR-2026'!$A$4:$ABX$112,MATCH('FY-(26-27)Q1'!$G$2:$H$2,'APR-2026'!$A$2:$BY$2,0),0),0)</f>
        <v>-86659</v>
      </c>
      <c r="H12" s="154">
        <f>IFERROR(VLOOKUP($A$3:$A$144,'APR-2026'!$A$4:$ABX$112,MATCH('FY-(26-27)Q1'!$G$2:$H$2,'APR-2026'!$A$2:$BY$2,0),0),0)</f>
        <v>-1.7331799999999999</v>
      </c>
      <c r="I12" s="152">
        <f>IFERROR(VLOOKUP($A$3:$A$144,'MAY-2026'!$A$4:$ACP$113,MATCH('FY-(26-27)Q1'!$I$2:$J$2,'MAY-2026'!$A$2:$CQ$2,0),0),0)</f>
        <v>165574</v>
      </c>
      <c r="J12" s="154">
        <f>IFERROR(VLOOKUP($A$3:$A$144,'MAY-2026'!$A$4:$ACP$113,MATCH('FY-(26-27)Q1'!$I$2:$J$2,'MAY-2026'!$A$2:$CQ$2,0),0),0)</f>
        <v>0.55191333333333337</v>
      </c>
      <c r="K12" s="152">
        <f>IFERROR(VLOOKUP($A$3:$A$144,'JUNE-2026'!$A$4:$ADJ$113,MATCH('FY-(26-27)Q1'!$K$2:$L$2,'JUNE-2026'!$A$2:$DK$2,0),0),0)</f>
        <v>-437824</v>
      </c>
      <c r="L12" s="154">
        <f>IFERROR(VLOOKUP($A$3:$A$144,'JUNE-2026'!$A$4:$ADJ$113,MATCH('FY-(26-27)Q1'!$K$2:$L$2,'JUNE-2026'!$A$2:$DK$2,0),0),0)</f>
        <v>-1.4594133333333335</v>
      </c>
      <c r="M12" s="71">
        <f t="shared" ref="M12:M75" si="10">G12+I12+K12</f>
        <v>-358909</v>
      </c>
      <c r="N12" s="165">
        <f t="shared" ref="N12:N75" si="11">H12+J12+L12</f>
        <v>-2.6406800000000001</v>
      </c>
      <c r="O12" s="214"/>
      <c r="P12" s="152">
        <f>IFERROR(VLOOKUP($A$3:$A$144,'FY-(26-27)Q2'!$A$4:$ABW$124,MATCH('FY-(26-27)Q1'!$P$2:$Q$2,'FY-(26-27)Q2'!$A$2:$BX$2,0),0),0)</f>
        <v>-817158</v>
      </c>
      <c r="Q12" s="154">
        <f>IFERROR(VLOOKUP($A$3:$A$144,'FY-(26-27)Q2'!$A$4:$ABW$124,MATCH('FY-(26-27)Q1'!$P$2:$Q$2,'FY-(26-27)Q2'!$A$2:$BX$2,0),0),0)</f>
        <v>-2.7238600000000002</v>
      </c>
      <c r="R12" s="158"/>
      <c r="S12" s="152">
        <f>IFERROR(VLOOKUP($A$3:$A$144,'FY-(26-27)Q3'!$A$4:$ABW$117,MATCH('FY-(26-27)Q1'!$S$2:$T$2,'FY-(26-27)Q3'!$A$2:$BX$2,0),0),0)</f>
        <v>-8360</v>
      </c>
      <c r="T12" s="154">
        <f>IFERROR(VLOOKUP($A$3:$A$144,'FY-(26-27)Q3'!$A$4:$ABW$117,MATCH('FY-(26-27)Q1'!$S$2:$T$3,'FY-(26-27)Q3'!$A$2:$BX$2,0),0),0)</f>
        <v>0</v>
      </c>
      <c r="U12" s="158"/>
      <c r="V12" s="45"/>
      <c r="W12" s="72"/>
      <c r="Y12" s="153">
        <f t="shared" si="4"/>
        <v>-1184427</v>
      </c>
      <c r="Z12" s="167">
        <f t="shared" si="5"/>
        <v>-5.3645399999999999</v>
      </c>
    </row>
    <row r="13" spans="1:26" s="131" customFormat="1" ht="15" customHeight="1" x14ac:dyDescent="0.25">
      <c r="A13" s="141" t="s">
        <v>217</v>
      </c>
      <c r="B13" s="140" t="s">
        <v>133</v>
      </c>
      <c r="C13" s="140" t="s">
        <v>96</v>
      </c>
      <c r="D13" s="38" t="s">
        <v>116</v>
      </c>
      <c r="E13" s="38" t="s">
        <v>256</v>
      </c>
      <c r="F13" s="155">
        <v>1.5</v>
      </c>
      <c r="G13" s="152">
        <f>IFERROR(VLOOKUP($A$3:$A$144,'APR-2026'!$A$4:$ABX$112,MATCH('FY-(26-27)Q1'!$G$2:$H$2,'APR-2026'!$A$2:$BY$2,0),0),0)</f>
        <v>0</v>
      </c>
      <c r="H13" s="154">
        <f>IFERROR(VLOOKUP($A$3:$A$144,'APR-2026'!$A$4:$ABX$112,MATCH('FY-(26-27)Q1'!$G$2:$H$2,'APR-2026'!$A$2:$BY$2,0),0),0)</f>
        <v>0</v>
      </c>
      <c r="I13" s="152">
        <f>IFERROR(VLOOKUP($A$3:$A$144,'MAY-2026'!$A$4:$ACP$113,MATCH('FY-(26-27)Q1'!$I$2:$J$2,'MAY-2026'!$A$2:$CQ$2,0),0),0)</f>
        <v>-175097</v>
      </c>
      <c r="J13" s="154">
        <f>IFERROR(VLOOKUP($A$3:$A$144,'MAY-2026'!$A$4:$ACP$113,MATCH('FY-(26-27)Q1'!$I$2:$J$2,'MAY-2026'!$A$2:$CQ$2,0),0),0)</f>
        <v>-1.1673133333333332</v>
      </c>
      <c r="K13" s="152">
        <f>IFERROR(VLOOKUP($A$3:$A$144,'JUNE-2026'!$A$4:$ADJ$113,MATCH('FY-(26-27)Q1'!$K$2:$L$2,'JUNE-2026'!$A$2:$DK$2,0),0),0)</f>
        <v>135</v>
      </c>
      <c r="L13" s="154">
        <f>IFERROR(VLOOKUP($A$3:$A$144,'JUNE-2026'!$A$4:$ADJ$113,MATCH('FY-(26-27)Q1'!$K$2:$L$2,'JUNE-2026'!$A$2:$DK$2,0),0),0)</f>
        <v>8.9999999999999998E-4</v>
      </c>
      <c r="M13" s="71">
        <f t="shared" si="10"/>
        <v>-174962</v>
      </c>
      <c r="N13" s="165">
        <f t="shared" si="11"/>
        <v>-1.1664133333333333</v>
      </c>
      <c r="O13" s="214"/>
      <c r="P13" s="152">
        <f>IFERROR(VLOOKUP($A$3:$A$144,'FY-(26-27)Q2'!$A$4:$ABW$124,MATCH('FY-(26-27)Q1'!$P$2:$Q$2,'FY-(26-27)Q2'!$A$2:$BX$2,0),0),0)</f>
        <v>-226913</v>
      </c>
      <c r="Q13" s="154">
        <f>IFERROR(VLOOKUP($A$3:$A$144,'FY-(26-27)Q2'!$A$4:$ABW$124,MATCH('FY-(26-27)Q1'!$P$2:$Q$2,'FY-(26-27)Q2'!$A$2:$BX$2,0),0),0)</f>
        <v>-1.5127533333333336</v>
      </c>
      <c r="R13" s="158"/>
      <c r="S13" s="152">
        <f>IFERROR(VLOOKUP($A$3:$A$144,'FY-(26-27)Q3'!$A$4:$ABW$117,MATCH('FY-(26-27)Q1'!$S$2:$T$2,'FY-(26-27)Q3'!$A$2:$BX$2,0),0),0)</f>
        <v>255986</v>
      </c>
      <c r="T13" s="154">
        <f>IFERROR(VLOOKUP($A$3:$A$144,'FY-(26-27)Q3'!$A$4:$ABW$117,MATCH('FY-(26-27)Q1'!$S$2:$T$3,'FY-(26-27)Q3'!$A$2:$BX$2,0),0),0)</f>
        <v>0</v>
      </c>
      <c r="U13" s="158"/>
      <c r="V13" s="143"/>
      <c r="W13" s="149"/>
      <c r="Y13" s="153">
        <f t="shared" si="4"/>
        <v>-145889</v>
      </c>
      <c r="Z13" s="167">
        <f t="shared" si="5"/>
        <v>-2.6791666666666671</v>
      </c>
    </row>
    <row r="14" spans="1:26" s="131" customFormat="1" ht="15" customHeight="1" x14ac:dyDescent="0.25">
      <c r="A14" s="141" t="s">
        <v>313</v>
      </c>
      <c r="B14" s="140" t="s">
        <v>133</v>
      </c>
      <c r="C14" s="140" t="s">
        <v>294</v>
      </c>
      <c r="D14" s="38" t="s">
        <v>116</v>
      </c>
      <c r="E14" s="38" t="s">
        <v>256</v>
      </c>
      <c r="F14" s="155">
        <v>0.6</v>
      </c>
      <c r="G14" s="152">
        <f>IFERROR(VLOOKUP($A$3:$A$144,'APR-2026'!$A$4:$ABX$112,MATCH('FY-(26-27)Q1'!$G$2:$H$2,'APR-2026'!$A$2:$BY$2,0),0),0)</f>
        <v>0</v>
      </c>
      <c r="H14" s="154">
        <f>IFERROR(VLOOKUP($A$3:$A$144,'APR-2026'!$A$4:$ABX$112,MATCH('FY-(26-27)Q1'!$G$2:$H$2,'APR-2026'!$A$2:$BY$2,0),0),0)</f>
        <v>0</v>
      </c>
      <c r="I14" s="152">
        <f>IFERROR(VLOOKUP($A$3:$A$144,'MAY-2026'!$A$4:$ACP$113,MATCH('FY-(26-27)Q1'!$I$2:$J$2,'MAY-2026'!$A$2:$CQ$2,0),0),0)</f>
        <v>0</v>
      </c>
      <c r="J14" s="154">
        <f>IFERROR(VLOOKUP($A$3:$A$144,'MAY-2026'!$A$4:$ACP$113,MATCH('FY-(26-27)Q1'!$I$2:$J$2,'MAY-2026'!$A$2:$CQ$2,0),0),0)</f>
        <v>0</v>
      </c>
      <c r="K14" s="152">
        <f>IFERROR(VLOOKUP($A$3:$A$144,'JUNE-2026'!$A$4:$ADJ$113,MATCH('FY-(26-27)Q1'!$K$2:$L$2,'JUNE-2026'!$A$2:$DK$2,0),0),0)</f>
        <v>0</v>
      </c>
      <c r="L14" s="154">
        <f>IFERROR(VLOOKUP($A$3:$A$144,'JUNE-2026'!$A$4:$ADJ$113,MATCH('FY-(26-27)Q1'!$K$2:$L$2,'JUNE-2026'!$A$2:$DK$2,0),0),0)</f>
        <v>0</v>
      </c>
      <c r="M14" s="71">
        <f t="shared" si="10"/>
        <v>0</v>
      </c>
      <c r="N14" s="165">
        <f t="shared" si="11"/>
        <v>0</v>
      </c>
      <c r="O14" s="214"/>
      <c r="P14" s="152">
        <f>IFERROR(VLOOKUP($A$3:$A$144,'FY-(26-27)Q2'!$A$4:$ABW$124,MATCH('FY-(26-27)Q1'!$P$2:$Q$2,'FY-(26-27)Q2'!$A$2:$BX$2,0),0),0)</f>
        <v>-89929</v>
      </c>
      <c r="Q14" s="154">
        <f>IFERROR(VLOOKUP($A$3:$A$144,'FY-(26-27)Q2'!$A$4:$ABW$124,MATCH('FY-(26-27)Q1'!$P$2:$Q$2,'FY-(26-27)Q2'!$A$2:$BX$2,0),0),0)</f>
        <v>-1.4988166666666667</v>
      </c>
      <c r="R14" s="158"/>
      <c r="S14" s="152">
        <f>IFERROR(VLOOKUP($A$3:$A$144,'FY-(26-27)Q3'!$A$4:$ABW$117,MATCH('FY-(26-27)Q1'!$S$2:$T$2,'FY-(26-27)Q3'!$A$2:$BX$2,0),0),0)</f>
        <v>213427</v>
      </c>
      <c r="T14" s="154">
        <f>IFERROR(VLOOKUP($A$3:$A$144,'FY-(26-27)Q3'!$A$4:$ABW$117,MATCH('FY-(26-27)Q1'!$S$2:$T$3,'FY-(26-27)Q3'!$A$2:$BX$2,0),0),0)</f>
        <v>0</v>
      </c>
      <c r="U14" s="158"/>
      <c r="V14" s="143"/>
      <c r="W14" s="149"/>
      <c r="Y14" s="153">
        <f t="shared" si="4"/>
        <v>123498</v>
      </c>
      <c r="Z14" s="167">
        <f t="shared" si="5"/>
        <v>-1.4988166666666667</v>
      </c>
    </row>
    <row r="15" spans="1:26" s="1" customFormat="1" ht="15" customHeight="1" x14ac:dyDescent="0.25">
      <c r="A15" s="36" t="s">
        <v>35</v>
      </c>
      <c r="B15" s="34" t="s">
        <v>55</v>
      </c>
      <c r="C15" s="34" t="s">
        <v>79</v>
      </c>
      <c r="D15" s="142" t="s">
        <v>112</v>
      </c>
      <c r="E15" s="142" t="s">
        <v>256</v>
      </c>
      <c r="F15" s="117">
        <v>15</v>
      </c>
      <c r="G15" s="152">
        <f>IFERROR(VLOOKUP($A$3:$A$144,'APR-2026'!$A$4:$ABX$112,MATCH('FY-(26-27)Q1'!$G$2:$H$2,'APR-2026'!$A$2:$BY$2,0),0),0)</f>
        <v>194000</v>
      </c>
      <c r="H15" s="154">
        <f>IFERROR(VLOOKUP($A$3:$A$144,'APR-2026'!$A$4:$ABX$112,MATCH('FY-(26-27)Q1'!$G$2:$H$2,'APR-2026'!$A$2:$BY$2,0),0),0)</f>
        <v>0.12933333333333336</v>
      </c>
      <c r="I15" s="152">
        <f>IFERROR(VLOOKUP($A$3:$A$144,'MAY-2026'!$A$4:$ACP$113,MATCH('FY-(26-27)Q1'!$I$2:$J$2,'MAY-2026'!$A$2:$CQ$2,0),0),0)</f>
        <v>-774466</v>
      </c>
      <c r="J15" s="154">
        <f>IFERROR(VLOOKUP($A$3:$A$144,'MAY-2026'!$A$4:$ACP$113,MATCH('FY-(26-27)Q1'!$I$2:$J$2,'MAY-2026'!$A$2:$CQ$2,0),0),0)</f>
        <v>-0.5163106666666667</v>
      </c>
      <c r="K15" s="152">
        <f>IFERROR(VLOOKUP($A$3:$A$144,'JUNE-2026'!$A$4:$ADJ$113,MATCH('FY-(26-27)Q1'!$K$2:$L$2,'JUNE-2026'!$A$2:$DK$2,0),0),0)</f>
        <v>-787733</v>
      </c>
      <c r="L15" s="154">
        <f>IFERROR(VLOOKUP($A$3:$A$144,'JUNE-2026'!$A$4:$ADJ$113,MATCH('FY-(26-27)Q1'!$K$2:$L$2,'JUNE-2026'!$A$2:$DK$2,0),0),0)</f>
        <v>-0.52515533333333331</v>
      </c>
      <c r="M15" s="71">
        <f t="shared" si="10"/>
        <v>-1368199</v>
      </c>
      <c r="N15" s="165">
        <f t="shared" si="11"/>
        <v>-0.9121326666666667</v>
      </c>
      <c r="O15" s="214"/>
      <c r="P15" s="152">
        <f>IFERROR(VLOOKUP($A$3:$A$144,'FY-(26-27)Q2'!$A$4:$ABW$124,MATCH('FY-(26-27)Q1'!$P$2:$Q$2,'FY-(26-27)Q2'!$A$2:$BX$2,0),0),0)</f>
        <v>383931</v>
      </c>
      <c r="Q15" s="154">
        <f>IFERROR(VLOOKUP($A$3:$A$144,'FY-(26-27)Q2'!$A$4:$ABW$124,MATCH('FY-(26-27)Q1'!$P$2:$Q$2,'FY-(26-27)Q2'!$A$2:$BX$2,0),0),0)</f>
        <v>0.25595400000000007</v>
      </c>
      <c r="R15" s="158"/>
      <c r="S15" s="152">
        <f>IFERROR(VLOOKUP($A$3:$A$144,'FY-(26-27)Q3'!$A$4:$ABW$117,MATCH('FY-(26-27)Q1'!$S$2:$T$2,'FY-(26-27)Q3'!$A$2:$BX$2,0),0),0)</f>
        <v>-87379</v>
      </c>
      <c r="T15" s="154">
        <f>IFERROR(VLOOKUP($A$3:$A$144,'FY-(26-27)Q3'!$A$4:$ABW$117,MATCH('FY-(26-27)Q1'!$S$2:$T$3,'FY-(26-27)Q3'!$A$2:$BX$2,0),0),0)</f>
        <v>0</v>
      </c>
      <c r="U15" s="158"/>
      <c r="V15" s="45"/>
      <c r="W15" s="72"/>
      <c r="X15"/>
      <c r="Y15" s="153">
        <f t="shared" si="4"/>
        <v>-1071647</v>
      </c>
      <c r="Z15" s="167">
        <f t="shared" si="5"/>
        <v>-0.65617866666666669</v>
      </c>
    </row>
    <row r="16" spans="1:26" s="131" customFormat="1" ht="15" customHeight="1" x14ac:dyDescent="0.25">
      <c r="A16" s="142" t="s">
        <v>81</v>
      </c>
      <c r="B16" s="140" t="s">
        <v>55</v>
      </c>
      <c r="C16" s="140" t="s">
        <v>80</v>
      </c>
      <c r="D16" s="142" t="s">
        <v>107</v>
      </c>
      <c r="E16" s="142" t="s">
        <v>107</v>
      </c>
      <c r="F16" s="156">
        <v>2</v>
      </c>
      <c r="G16" s="152">
        <f>IFERROR(VLOOKUP($A$3:$A$144,'APR-2026'!$A$4:$ABX$112,MATCH('FY-(26-27)Q1'!$G$2:$H$2,'APR-2026'!$A$2:$BY$2,0),0),0)</f>
        <v>803317</v>
      </c>
      <c r="H16" s="154">
        <f>IFERROR(VLOOKUP($A$3:$A$144,'APR-2026'!$A$4:$ABX$112,MATCH('FY-(26-27)Q1'!$G$2:$H$2,'APR-2026'!$A$2:$BY$2,0),0),0)</f>
        <v>4.0165850000000001</v>
      </c>
      <c r="I16" s="152">
        <f>IFERROR(VLOOKUP($A$3:$A$144,'MAY-2026'!$A$4:$ACP$113,MATCH('FY-(26-27)Q1'!$I$2:$J$2,'MAY-2026'!$A$2:$CQ$2,0),0),0)</f>
        <v>0</v>
      </c>
      <c r="J16" s="154">
        <f>IFERROR(VLOOKUP($A$3:$A$144,'MAY-2026'!$A$4:$ACP$113,MATCH('FY-(26-27)Q1'!$I$2:$J$2,'MAY-2026'!$A$2:$CQ$2,0),0),0)</f>
        <v>0</v>
      </c>
      <c r="K16" s="152">
        <f>IFERROR(VLOOKUP($A$3:$A$144,'JUNE-2026'!$A$4:$ADJ$113,MATCH('FY-(26-27)Q1'!$K$2:$L$2,'JUNE-2026'!$A$2:$DK$2,0),0),0)</f>
        <v>0</v>
      </c>
      <c r="L16" s="154">
        <f>IFERROR(VLOOKUP($A$3:$A$144,'JUNE-2026'!$A$4:$ADJ$113,MATCH('FY-(26-27)Q1'!$K$2:$L$2,'JUNE-2026'!$A$2:$DK$2,0),0),0)</f>
        <v>0</v>
      </c>
      <c r="M16" s="71">
        <f t="shared" si="10"/>
        <v>803317</v>
      </c>
      <c r="N16" s="165">
        <f t="shared" si="11"/>
        <v>4.0165850000000001</v>
      </c>
      <c r="O16" s="214"/>
      <c r="P16" s="152">
        <f>IFERROR(VLOOKUP($A$3:$A$144,'FY-(26-27)Q2'!$A$4:$ABW$124,MATCH('FY-(26-27)Q1'!$P$2:$Q$2,'FY-(26-27)Q2'!$A$2:$BX$2,0),0),0)</f>
        <v>0</v>
      </c>
      <c r="Q16" s="154">
        <f>IFERROR(VLOOKUP($A$3:$A$144,'FY-(26-27)Q2'!$A$4:$ABW$124,MATCH('FY-(26-27)Q1'!$P$2:$Q$2,'FY-(26-27)Q2'!$A$2:$BX$2,0),0),0)</f>
        <v>0</v>
      </c>
      <c r="R16" s="158"/>
      <c r="S16" s="152">
        <f>IFERROR(VLOOKUP($A$3:$A$144,'FY-(26-27)Q3'!$A$4:$ABW$117,MATCH('FY-(26-27)Q1'!$S$2:$T$2,'FY-(26-27)Q3'!$A$2:$BX$2,0),0),0)</f>
        <v>0</v>
      </c>
      <c r="T16" s="154">
        <f>IFERROR(VLOOKUP($A$3:$A$144,'FY-(26-27)Q3'!$A$4:$ABW$117,MATCH('FY-(26-27)Q1'!$S$2:$T$3,'FY-(26-27)Q3'!$A$2:$BX$2,0),0),0)</f>
        <v>0</v>
      </c>
      <c r="U16" s="158"/>
      <c r="V16" s="143"/>
      <c r="W16" s="149"/>
      <c r="X16" s="1"/>
      <c r="Y16" s="153">
        <f t="shared" si="4"/>
        <v>803317</v>
      </c>
      <c r="Z16" s="167">
        <f t="shared" si="5"/>
        <v>4.0165850000000001</v>
      </c>
    </row>
    <row r="17" spans="1:34" s="1" customFormat="1" ht="15" customHeight="1" x14ac:dyDescent="0.25">
      <c r="A17" s="142" t="s">
        <v>190</v>
      </c>
      <c r="B17" s="140" t="s">
        <v>182</v>
      </c>
      <c r="C17" s="140" t="s">
        <v>181</v>
      </c>
      <c r="D17" s="142" t="s">
        <v>112</v>
      </c>
      <c r="E17" s="142" t="s">
        <v>256</v>
      </c>
      <c r="F17" s="156">
        <v>3</v>
      </c>
      <c r="G17" s="152">
        <f>IFERROR(VLOOKUP($A$3:$A$144,'APR-2026'!$A$4:$ABX$112,MATCH('FY-(26-27)Q1'!$G$2:$H$2,'APR-2026'!$A$2:$BY$2,0),0),0)</f>
        <v>88900</v>
      </c>
      <c r="H17" s="154">
        <f>IFERROR(VLOOKUP($A$3:$A$144,'APR-2026'!$A$4:$ABX$112,MATCH('FY-(26-27)Q1'!$G$2:$H$2,'APR-2026'!$A$2:$BY$2,0),0),0)</f>
        <v>0.29633333333333328</v>
      </c>
      <c r="I17" s="152">
        <f>IFERROR(VLOOKUP($A$3:$A$144,'MAY-2026'!$A$4:$ACP$113,MATCH('FY-(26-27)Q1'!$I$2:$J$2,'MAY-2026'!$A$2:$CQ$2,0),0),0)</f>
        <v>-191000</v>
      </c>
      <c r="J17" s="154">
        <f>IFERROR(VLOOKUP($A$3:$A$144,'MAY-2026'!$A$4:$ACP$113,MATCH('FY-(26-27)Q1'!$I$2:$J$2,'MAY-2026'!$A$2:$CQ$2,0),0),0)</f>
        <v>-0.6366666666666666</v>
      </c>
      <c r="K17" s="152">
        <f>IFERROR(VLOOKUP($A$3:$A$144,'JUNE-2026'!$A$4:$ADJ$113,MATCH('FY-(26-27)Q1'!$K$2:$L$2,'JUNE-2026'!$A$2:$DK$2,0),0),0)</f>
        <v>0</v>
      </c>
      <c r="L17" s="154">
        <f>IFERROR(VLOOKUP($A$3:$A$144,'JUNE-2026'!$A$4:$ADJ$113,MATCH('FY-(26-27)Q1'!$K$2:$L$2,'JUNE-2026'!$A$2:$DK$2,0),0),0)</f>
        <v>0</v>
      </c>
      <c r="M17" s="71">
        <f t="shared" si="10"/>
        <v>-102100</v>
      </c>
      <c r="N17" s="165">
        <f t="shared" si="11"/>
        <v>-0.34033333333333332</v>
      </c>
      <c r="O17" s="214"/>
      <c r="P17" s="152">
        <f>IFERROR(VLOOKUP($A$3:$A$144,'FY-(26-27)Q2'!$A$4:$ABW$124,MATCH('FY-(26-27)Q1'!$P$2:$Q$2,'FY-(26-27)Q2'!$A$2:$BX$2,0),0),0)</f>
        <v>0</v>
      </c>
      <c r="Q17" s="154">
        <f>IFERROR(VLOOKUP($A$3:$A$144,'FY-(26-27)Q2'!$A$4:$ABW$124,MATCH('FY-(26-27)Q1'!$P$2:$Q$2,'FY-(26-27)Q2'!$A$2:$BX$2,0),0),0)</f>
        <v>0</v>
      </c>
      <c r="R17" s="158"/>
      <c r="S17" s="152">
        <f>IFERROR(VLOOKUP($A$3:$A$144,'FY-(26-27)Q3'!$A$4:$ABW$117,MATCH('FY-(26-27)Q1'!$S$2:$T$2,'FY-(26-27)Q3'!$A$2:$BX$2,0),0),0)</f>
        <v>0</v>
      </c>
      <c r="T17" s="154">
        <f>IFERROR(VLOOKUP($A$3:$A$144,'FY-(26-27)Q3'!$A$4:$ABW$117,MATCH('FY-(26-27)Q1'!$S$2:$T$3,'FY-(26-27)Q3'!$A$2:$BX$2,0),0),0)</f>
        <v>0</v>
      </c>
      <c r="U17" s="158"/>
      <c r="V17" s="143"/>
      <c r="W17" s="149"/>
      <c r="X17" s="131"/>
      <c r="Y17" s="153">
        <f t="shared" si="4"/>
        <v>-102100</v>
      </c>
      <c r="Z17" s="167">
        <f t="shared" si="5"/>
        <v>-0.34033333333333332</v>
      </c>
    </row>
    <row r="18" spans="1:34" ht="15" customHeight="1" x14ac:dyDescent="0.25">
      <c r="A18" s="142" t="s">
        <v>189</v>
      </c>
      <c r="B18" s="140" t="s">
        <v>183</v>
      </c>
      <c r="C18" s="140" t="s">
        <v>179</v>
      </c>
      <c r="D18" s="142" t="s">
        <v>112</v>
      </c>
      <c r="E18" s="142" t="s">
        <v>256</v>
      </c>
      <c r="F18" s="156">
        <v>3</v>
      </c>
      <c r="G18" s="152">
        <f>IFERROR(VLOOKUP($A$3:$A$144,'APR-2026'!$A$4:$ABX$112,MATCH('FY-(26-27)Q1'!$G$2:$H$2,'APR-2026'!$A$2:$BY$2,0),0),0)</f>
        <v>63500</v>
      </c>
      <c r="H18" s="154">
        <f>IFERROR(VLOOKUP($A$3:$A$144,'APR-2026'!$A$4:$ABX$112,MATCH('FY-(26-27)Q1'!$G$2:$H$2,'APR-2026'!$A$2:$BY$2,0),0),0)</f>
        <v>0.2116666666666667</v>
      </c>
      <c r="I18" s="152">
        <f>IFERROR(VLOOKUP($A$3:$A$144,'MAY-2026'!$A$4:$ACP$113,MATCH('FY-(26-27)Q1'!$I$2:$J$2,'MAY-2026'!$A$2:$CQ$2,0),0),0)</f>
        <v>-244500</v>
      </c>
      <c r="J18" s="154">
        <f>IFERROR(VLOOKUP($A$3:$A$144,'MAY-2026'!$A$4:$ACP$113,MATCH('FY-(26-27)Q1'!$I$2:$J$2,'MAY-2026'!$A$2:$CQ$2,0),0),0)</f>
        <v>-0.81499999999999995</v>
      </c>
      <c r="K18" s="152">
        <f>IFERROR(VLOOKUP($A$3:$A$144,'JUNE-2026'!$A$4:$ADJ$113,MATCH('FY-(26-27)Q1'!$K$2:$L$2,'JUNE-2026'!$A$2:$DK$2,0),0),0)</f>
        <v>0</v>
      </c>
      <c r="L18" s="154">
        <f>IFERROR(VLOOKUP($A$3:$A$144,'JUNE-2026'!$A$4:$ADJ$113,MATCH('FY-(26-27)Q1'!$K$2:$L$2,'JUNE-2026'!$A$2:$DK$2,0),0),0)</f>
        <v>0</v>
      </c>
      <c r="M18" s="71">
        <f t="shared" si="10"/>
        <v>-181000</v>
      </c>
      <c r="N18" s="165">
        <f t="shared" si="11"/>
        <v>-0.60333333333333328</v>
      </c>
      <c r="O18" s="214"/>
      <c r="P18" s="152">
        <f>IFERROR(VLOOKUP($A$3:$A$144,'FY-(26-27)Q2'!$A$4:$ABW$124,MATCH('FY-(26-27)Q1'!$P$2:$Q$2,'FY-(26-27)Q2'!$A$2:$BX$2,0),0),0)</f>
        <v>0</v>
      </c>
      <c r="Q18" s="154">
        <f>IFERROR(VLOOKUP($A$3:$A$144,'FY-(26-27)Q2'!$A$4:$ABW$124,MATCH('FY-(26-27)Q1'!$P$2:$Q$2,'FY-(26-27)Q2'!$A$2:$BX$2,0),0),0)</f>
        <v>0</v>
      </c>
      <c r="R18" s="158"/>
      <c r="S18" s="152">
        <f>IFERROR(VLOOKUP($A$3:$A$144,'FY-(26-27)Q3'!$A$4:$ABW$117,MATCH('FY-(26-27)Q1'!$S$2:$T$2,'FY-(26-27)Q3'!$A$2:$BX$2,0),0),0)</f>
        <v>0</v>
      </c>
      <c r="T18" s="154">
        <f>IFERROR(VLOOKUP($A$3:$A$144,'FY-(26-27)Q3'!$A$4:$ABW$117,MATCH('FY-(26-27)Q1'!$S$2:$T$3,'FY-(26-27)Q3'!$A$2:$BX$2,0),0),0)</f>
        <v>0</v>
      </c>
      <c r="U18" s="158"/>
      <c r="V18" s="143"/>
      <c r="W18" s="149"/>
      <c r="X18" s="1"/>
      <c r="Y18" s="153">
        <f t="shared" si="4"/>
        <v>-181000</v>
      </c>
      <c r="Z18" s="167">
        <f t="shared" si="5"/>
        <v>-0.60333333333333328</v>
      </c>
    </row>
    <row r="19" spans="1:34" ht="15" customHeight="1" x14ac:dyDescent="0.25">
      <c r="A19" s="36" t="s">
        <v>123</v>
      </c>
      <c r="B19" s="34" t="s">
        <v>122</v>
      </c>
      <c r="C19" s="34" t="s">
        <v>239</v>
      </c>
      <c r="D19" s="39" t="s">
        <v>116</v>
      </c>
      <c r="E19" s="39" t="s">
        <v>256</v>
      </c>
      <c r="F19" s="117">
        <v>1</v>
      </c>
      <c r="G19" s="152">
        <f>IFERROR(VLOOKUP($A$3:$A$144,'APR-2026'!$A$4:$ABX$112,MATCH('FY-(26-27)Q1'!$G$2:$H$2,'APR-2026'!$A$2:$BY$2,0),0),0)</f>
        <v>460500</v>
      </c>
      <c r="H19" s="154">
        <f>IFERROR(VLOOKUP($A$3:$A$144,'APR-2026'!$A$4:$ABX$112,MATCH('FY-(26-27)Q1'!$G$2:$H$2,'APR-2026'!$A$2:$BY$2,0),0),0)</f>
        <v>1.5349999999999999</v>
      </c>
      <c r="I19" s="152">
        <f>IFERROR(VLOOKUP($A$3:$A$144,'MAY-2026'!$A$4:$ACP$113,MATCH('FY-(26-27)Q1'!$I$2:$J$2,'MAY-2026'!$A$2:$CQ$2,0),0),0)</f>
        <v>-255000</v>
      </c>
      <c r="J19" s="154">
        <f>IFERROR(VLOOKUP($A$3:$A$144,'MAY-2026'!$A$4:$ACP$113,MATCH('FY-(26-27)Q1'!$I$2:$J$2,'MAY-2026'!$A$2:$CQ$2,0),0),0)</f>
        <v>-0.63749999999999996</v>
      </c>
      <c r="K19" s="152">
        <f>IFERROR(VLOOKUP($A$3:$A$144,'JUNE-2026'!$A$4:$ADJ$113,MATCH('FY-(26-27)Q1'!$K$2:$L$2,'JUNE-2026'!$A$2:$DK$2,0),0),0)</f>
        <v>0</v>
      </c>
      <c r="L19" s="154">
        <f>IFERROR(VLOOKUP($A$3:$A$144,'JUNE-2026'!$A$4:$ADJ$113,MATCH('FY-(26-27)Q1'!$K$2:$L$2,'JUNE-2026'!$A$2:$DK$2,0),0),0)</f>
        <v>0</v>
      </c>
      <c r="M19" s="71">
        <f t="shared" si="10"/>
        <v>205500</v>
      </c>
      <c r="N19" s="165">
        <f t="shared" si="11"/>
        <v>0.89749999999999996</v>
      </c>
      <c r="O19" s="214"/>
      <c r="P19" s="152">
        <f>IFERROR(VLOOKUP($A$3:$A$144,'FY-(26-27)Q2'!$A$4:$ABW$124,MATCH('FY-(26-27)Q1'!$P$2:$Q$2,'FY-(26-27)Q2'!$A$2:$BX$2,0),0),0)</f>
        <v>0</v>
      </c>
      <c r="Q19" s="154">
        <f>IFERROR(VLOOKUP($A$3:$A$144,'FY-(26-27)Q2'!$A$4:$ABW$124,MATCH('FY-(26-27)Q1'!$P$2:$Q$2,'FY-(26-27)Q2'!$A$2:$BX$2,0),0),0)</f>
        <v>0</v>
      </c>
      <c r="R19" s="158"/>
      <c r="S19" s="152">
        <f>IFERROR(VLOOKUP($A$3:$A$144,'FY-(26-27)Q3'!$A$4:$ABW$117,MATCH('FY-(26-27)Q1'!$S$2:$T$2,'FY-(26-27)Q3'!$A$2:$BX$2,0),0),0)</f>
        <v>0</v>
      </c>
      <c r="T19" s="154">
        <f>IFERROR(VLOOKUP($A$3:$A$144,'FY-(26-27)Q3'!$A$4:$ABW$117,MATCH('FY-(26-27)Q1'!$S$2:$T$3,'FY-(26-27)Q3'!$A$2:$BX$2,0),0),0)</f>
        <v>0</v>
      </c>
      <c r="U19" s="158"/>
      <c r="V19" s="45"/>
      <c r="W19" s="72"/>
      <c r="Y19" s="153">
        <f t="shared" si="4"/>
        <v>205500</v>
      </c>
      <c r="Z19" s="167">
        <f t="shared" si="5"/>
        <v>0.89749999999999996</v>
      </c>
    </row>
    <row r="20" spans="1:34" ht="15" customHeight="1" x14ac:dyDescent="0.25">
      <c r="A20" s="36" t="s">
        <v>137</v>
      </c>
      <c r="B20" s="34" t="s">
        <v>122</v>
      </c>
      <c r="C20" s="34" t="s">
        <v>136</v>
      </c>
      <c r="D20" s="142" t="s">
        <v>259</v>
      </c>
      <c r="E20" s="39" t="s">
        <v>256</v>
      </c>
      <c r="F20" s="117">
        <v>6</v>
      </c>
      <c r="G20" s="152">
        <f>IFERROR(VLOOKUP($A$3:$A$144,'APR-2026'!$A$4:$ABX$112,MATCH('FY-(26-27)Q1'!$G$2:$H$2,'APR-2026'!$A$2:$BY$2,0),0),0)</f>
        <v>-168658</v>
      </c>
      <c r="H20" s="154">
        <f>IFERROR(VLOOKUP($A$3:$A$144,'APR-2026'!$A$4:$ABX$112,MATCH('FY-(26-27)Q1'!$G$2:$H$2,'APR-2026'!$A$2:$BY$2,0),0),0)</f>
        <v>-3.3731599999999999</v>
      </c>
      <c r="I20" s="152">
        <f>IFERROR(VLOOKUP($A$3:$A$144,'MAY-2026'!$A$4:$ACP$113,MATCH('FY-(26-27)Q1'!$I$2:$J$2,'MAY-2026'!$A$2:$CQ$2,0),0),0)</f>
        <v>-103041</v>
      </c>
      <c r="J20" s="154">
        <f>IFERROR(VLOOKUP($A$3:$A$144,'MAY-2026'!$A$4:$ACP$113,MATCH('FY-(26-27)Q1'!$I$2:$J$2,'MAY-2026'!$A$2:$CQ$2,0),0),0)</f>
        <v>-0.171735</v>
      </c>
      <c r="K20" s="152">
        <f>IFERROR(VLOOKUP($A$3:$A$144,'JUNE-2026'!$A$4:$ADJ$113,MATCH('FY-(26-27)Q1'!$K$2:$L$2,'JUNE-2026'!$A$2:$DK$2,0),0),0)</f>
        <v>76365</v>
      </c>
      <c r="L20" s="154">
        <f>IFERROR(VLOOKUP($A$3:$A$144,'JUNE-2026'!$A$4:$ADJ$113,MATCH('FY-(26-27)Q1'!$K$2:$L$2,'JUNE-2026'!$A$2:$DK$2,0),0),0)</f>
        <v>0.127275</v>
      </c>
      <c r="M20" s="71">
        <f t="shared" si="10"/>
        <v>-195334</v>
      </c>
      <c r="N20" s="165">
        <f t="shared" si="11"/>
        <v>-3.4176199999999999</v>
      </c>
      <c r="O20" s="214"/>
      <c r="P20" s="152">
        <f>IFERROR(VLOOKUP($A$3:$A$144,'FY-(26-27)Q2'!$A$4:$ABW$124,MATCH('FY-(26-27)Q1'!$P$2:$Q$2,'FY-(26-27)Q2'!$A$2:$BX$2,0),0),0)</f>
        <v>395386</v>
      </c>
      <c r="Q20" s="154">
        <f>IFERROR(VLOOKUP($A$3:$A$144,'FY-(26-27)Q2'!$A$4:$ABW$124,MATCH('FY-(26-27)Q1'!$P$2:$Q$2,'FY-(26-27)Q2'!$A$2:$BX$2,0),0),0)</f>
        <v>0.65897666666666677</v>
      </c>
      <c r="R20" s="158"/>
      <c r="S20" s="152">
        <f>IFERROR(VLOOKUP($A$3:$A$144,'FY-(26-27)Q3'!$A$4:$ABW$117,MATCH('FY-(26-27)Q1'!$S$2:$T$2,'FY-(26-27)Q3'!$A$2:$BX$2,0),0),0)</f>
        <v>385774</v>
      </c>
      <c r="T20" s="154">
        <f>IFERROR(VLOOKUP($A$3:$A$144,'FY-(26-27)Q3'!$A$4:$ABW$117,MATCH('FY-(26-27)Q1'!$S$2:$T$3,'FY-(26-27)Q3'!$A$2:$BX$2,0),0),0)</f>
        <v>0</v>
      </c>
      <c r="U20" s="158"/>
      <c r="V20" s="45"/>
      <c r="W20" s="72"/>
      <c r="Y20" s="153">
        <f t="shared" si="4"/>
        <v>585826</v>
      </c>
      <c r="Z20" s="167">
        <f t="shared" si="5"/>
        <v>-2.7586433333333331</v>
      </c>
    </row>
    <row r="21" spans="1:34" s="131" customFormat="1" ht="15" customHeight="1" x14ac:dyDescent="0.25">
      <c r="A21" s="142" t="s">
        <v>42</v>
      </c>
      <c r="B21" s="140" t="s">
        <v>230</v>
      </c>
      <c r="C21" s="140" t="s">
        <v>85</v>
      </c>
      <c r="D21" s="142" t="s">
        <v>107</v>
      </c>
      <c r="E21" s="142" t="s">
        <v>107</v>
      </c>
      <c r="F21" s="156">
        <v>1</v>
      </c>
      <c r="G21" s="152">
        <f>IFERROR(VLOOKUP($A$3:$A$144,'APR-2026'!$A$4:$ABX$112,MATCH('FY-(26-27)Q1'!$G$2:$H$2,'APR-2026'!$A$2:$BY$2,0),0),0)</f>
        <v>4927</v>
      </c>
      <c r="H21" s="154">
        <f>IFERROR(VLOOKUP($A$3:$A$144,'APR-2026'!$A$4:$ABX$112,MATCH('FY-(26-27)Q1'!$G$2:$H$2,'APR-2026'!$A$2:$BY$2,0),0),0)</f>
        <v>4.9270000000000001E-2</v>
      </c>
      <c r="I21" s="152">
        <f>IFERROR(VLOOKUP($A$3:$A$144,'MAY-2026'!$A$4:$ACP$113,MATCH('FY-(26-27)Q1'!$I$2:$J$2,'MAY-2026'!$A$2:$CQ$2,0),0),0)</f>
        <v>1404</v>
      </c>
      <c r="J21" s="154">
        <f>IFERROR(VLOOKUP($A$3:$A$144,'MAY-2026'!$A$4:$ACP$113,MATCH('FY-(26-27)Q1'!$I$2:$J$2,'MAY-2026'!$A$2:$CQ$2,0),0),0)</f>
        <v>1.404E-2</v>
      </c>
      <c r="K21" s="152">
        <f>IFERROR(VLOOKUP($A$3:$A$144,'JUNE-2026'!$A$4:$ADJ$113,MATCH('FY-(26-27)Q1'!$K$2:$L$2,'JUNE-2026'!$A$2:$DK$2,0),0),0)</f>
        <v>-2652</v>
      </c>
      <c r="L21" s="154">
        <f>IFERROR(VLOOKUP($A$3:$A$144,'JUNE-2026'!$A$4:$ADJ$113,MATCH('FY-(26-27)Q1'!$K$2:$L$2,'JUNE-2026'!$A$2:$DK$2,0),0),0)</f>
        <v>-2.6519999999999998E-2</v>
      </c>
      <c r="M21" s="71">
        <f t="shared" si="10"/>
        <v>3679</v>
      </c>
      <c r="N21" s="165">
        <f t="shared" si="11"/>
        <v>3.6790000000000003E-2</v>
      </c>
      <c r="O21" s="214"/>
      <c r="P21" s="152">
        <f>IFERROR(VLOOKUP($A$3:$A$144,'FY-(26-27)Q2'!$A$4:$ABW$124,MATCH('FY-(26-27)Q1'!$P$2:$Q$2,'FY-(26-27)Q2'!$A$2:$BX$2,0),0),0)</f>
        <v>-1104</v>
      </c>
      <c r="Q21" s="154">
        <f>IFERROR(VLOOKUP($A$3:$A$144,'FY-(26-27)Q2'!$A$4:$ABW$124,MATCH('FY-(26-27)Q1'!$P$2:$Q$2,'FY-(26-27)Q2'!$A$2:$BX$2,0),0),0)</f>
        <v>-1.1039999999999994E-2</v>
      </c>
      <c r="R21" s="158"/>
      <c r="S21" s="152">
        <f>IFERROR(VLOOKUP($A$3:$A$144,'FY-(26-27)Q3'!$A$4:$ABW$117,MATCH('FY-(26-27)Q1'!$S$2:$T$2,'FY-(26-27)Q3'!$A$2:$BX$2,0),0),0)</f>
        <v>-12535</v>
      </c>
      <c r="T21" s="154">
        <f>IFERROR(VLOOKUP($A$3:$A$144,'FY-(26-27)Q3'!$A$4:$ABW$117,MATCH('FY-(26-27)Q1'!$S$2:$T$3,'FY-(26-27)Q3'!$A$2:$BX$2,0),0),0)</f>
        <v>0</v>
      </c>
      <c r="U21" s="158"/>
      <c r="V21" s="143"/>
      <c r="W21" s="149"/>
      <c r="Y21" s="153">
        <f t="shared" si="4"/>
        <v>-9960</v>
      </c>
      <c r="Z21" s="167">
        <f t="shared" si="5"/>
        <v>2.5750000000000009E-2</v>
      </c>
    </row>
    <row r="22" spans="1:34" ht="15" customHeight="1" x14ac:dyDescent="0.25">
      <c r="A22" s="35" t="s">
        <v>83</v>
      </c>
      <c r="B22" s="34" t="s">
        <v>230</v>
      </c>
      <c r="C22" s="34" t="s">
        <v>82</v>
      </c>
      <c r="D22" s="39" t="s">
        <v>107</v>
      </c>
      <c r="E22" s="39" t="s">
        <v>107</v>
      </c>
      <c r="F22" s="117">
        <v>1</v>
      </c>
      <c r="G22" s="152">
        <f>IFERROR(VLOOKUP($A$3:$A$144,'APR-2026'!$A$4:$ABX$112,MATCH('FY-(26-27)Q1'!$G$2:$H$2,'APR-2026'!$A$2:$BY$2,0),0),0)</f>
        <v>1240967</v>
      </c>
      <c r="H22" s="154">
        <f>IFERROR(VLOOKUP($A$3:$A$144,'APR-2026'!$A$4:$ABX$112,MATCH('FY-(26-27)Q1'!$G$2:$H$2,'APR-2026'!$A$2:$BY$2,0),0),0)</f>
        <v>12.40967</v>
      </c>
      <c r="I22" s="152">
        <f>IFERROR(VLOOKUP($A$3:$A$144,'MAY-2026'!$A$4:$ACP$113,MATCH('FY-(26-27)Q1'!$I$2:$J$2,'MAY-2026'!$A$2:$CQ$2,0),0),0)</f>
        <v>0</v>
      </c>
      <c r="J22" s="154">
        <f>IFERROR(VLOOKUP($A$3:$A$144,'MAY-2026'!$A$4:$ACP$113,MATCH('FY-(26-27)Q1'!$I$2:$J$2,'MAY-2026'!$A$2:$CQ$2,0),0),0)</f>
        <v>0</v>
      </c>
      <c r="K22" s="152">
        <f>IFERROR(VLOOKUP($A$3:$A$144,'JUNE-2026'!$A$4:$ADJ$113,MATCH('FY-(26-27)Q1'!$K$2:$L$2,'JUNE-2026'!$A$2:$DK$2,0),0),0)</f>
        <v>0</v>
      </c>
      <c r="L22" s="154">
        <f>IFERROR(VLOOKUP($A$3:$A$144,'JUNE-2026'!$A$4:$ADJ$113,MATCH('FY-(26-27)Q1'!$K$2:$L$2,'JUNE-2026'!$A$2:$DK$2,0),0),0)</f>
        <v>0</v>
      </c>
      <c r="M22" s="71">
        <f t="shared" si="10"/>
        <v>1240967</v>
      </c>
      <c r="N22" s="165">
        <f t="shared" si="11"/>
        <v>12.40967</v>
      </c>
      <c r="O22" s="214"/>
      <c r="P22" s="152">
        <f>IFERROR(VLOOKUP($A$3:$A$144,'FY-(26-27)Q2'!$A$4:$ABW$124,MATCH('FY-(26-27)Q1'!$P$2:$Q$2,'FY-(26-27)Q2'!$A$2:$BX$2,0),0),0)</f>
        <v>0</v>
      </c>
      <c r="Q22" s="154">
        <f>IFERROR(VLOOKUP($A$3:$A$144,'FY-(26-27)Q2'!$A$4:$ABW$124,MATCH('FY-(26-27)Q1'!$P$2:$Q$2,'FY-(26-27)Q2'!$A$2:$BX$2,0),0),0)</f>
        <v>0</v>
      </c>
      <c r="R22" s="158"/>
      <c r="S22" s="152">
        <f>IFERROR(VLOOKUP($A$3:$A$144,'FY-(26-27)Q3'!$A$4:$ABW$117,MATCH('FY-(26-27)Q1'!$S$2:$T$2,'FY-(26-27)Q3'!$A$2:$BX$2,0),0),0)</f>
        <v>0</v>
      </c>
      <c r="T22" s="154">
        <f>IFERROR(VLOOKUP($A$3:$A$144,'FY-(26-27)Q3'!$A$4:$ABW$117,MATCH('FY-(26-27)Q1'!$S$2:$T$3,'FY-(26-27)Q3'!$A$2:$BX$2,0),0),0)</f>
        <v>0</v>
      </c>
      <c r="U22" s="158"/>
      <c r="V22" s="45"/>
      <c r="W22" s="72"/>
      <c r="X22" s="131"/>
      <c r="Y22" s="153">
        <f t="shared" si="4"/>
        <v>1240967</v>
      </c>
      <c r="Z22" s="167">
        <f t="shared" si="5"/>
        <v>12.40967</v>
      </c>
      <c r="AA22" s="131"/>
      <c r="AB22" s="131"/>
      <c r="AC22" s="131"/>
      <c r="AD22" s="131"/>
      <c r="AE22" s="131"/>
      <c r="AF22" s="131"/>
      <c r="AG22" s="131"/>
      <c r="AH22" s="131"/>
    </row>
    <row r="23" spans="1:34" ht="15" customHeight="1" x14ac:dyDescent="0.25">
      <c r="A23" s="35" t="s">
        <v>212</v>
      </c>
      <c r="B23" s="34" t="s">
        <v>230</v>
      </c>
      <c r="C23" s="35" t="s">
        <v>12</v>
      </c>
      <c r="D23" s="37" t="s">
        <v>39</v>
      </c>
      <c r="E23" s="37" t="s">
        <v>256</v>
      </c>
      <c r="F23" s="116">
        <v>1</v>
      </c>
      <c r="G23" s="152">
        <f>IFERROR(VLOOKUP($A$3:$A$144,'APR-2026'!$A$4:$ABX$112,MATCH('FY-(26-27)Q1'!$G$2:$H$2,'APR-2026'!$A$2:$BY$2,0),0),0)</f>
        <v>0</v>
      </c>
      <c r="H23" s="154">
        <f>IFERROR(VLOOKUP($A$3:$A$144,'APR-2026'!$A$4:$ABX$112,MATCH('FY-(26-27)Q1'!$G$2:$H$2,'APR-2026'!$A$2:$BY$2,0),0),0)</f>
        <v>0</v>
      </c>
      <c r="I23" s="152">
        <f>IFERROR(VLOOKUP($A$3:$A$144,'MAY-2026'!$A$4:$ACP$113,MATCH('FY-(26-27)Q1'!$I$2:$J$2,'MAY-2026'!$A$2:$CQ$2,0),0),0)</f>
        <v>-35229</v>
      </c>
      <c r="J23" s="154">
        <f>IFERROR(VLOOKUP($A$3:$A$144,'MAY-2026'!$A$4:$ACP$113,MATCH('FY-(26-27)Q1'!$I$2:$J$2,'MAY-2026'!$A$2:$CQ$2,0),0),0)</f>
        <v>-0.35228999999999999</v>
      </c>
      <c r="K23" s="152">
        <f>IFERROR(VLOOKUP($A$3:$A$144,'JUNE-2026'!$A$4:$ADJ$113,MATCH('FY-(26-27)Q1'!$K$2:$L$2,'JUNE-2026'!$A$2:$DK$2,0),0),0)</f>
        <v>-232187</v>
      </c>
      <c r="L23" s="154">
        <f>IFERROR(VLOOKUP($A$3:$A$144,'JUNE-2026'!$A$4:$ADJ$113,MATCH('FY-(26-27)Q1'!$K$2:$L$2,'JUNE-2026'!$A$2:$DK$2,0),0),0)</f>
        <v>-2.3218700000000001</v>
      </c>
      <c r="M23" s="71">
        <f t="shared" si="10"/>
        <v>-267416</v>
      </c>
      <c r="N23" s="165">
        <f t="shared" si="11"/>
        <v>-2.6741600000000001</v>
      </c>
      <c r="O23" s="214"/>
      <c r="P23" s="152">
        <f>IFERROR(VLOOKUP($A$3:$A$144,'FY-(26-27)Q2'!$A$4:$ABW$124,MATCH('FY-(26-27)Q1'!$P$2:$Q$2,'FY-(26-27)Q2'!$A$2:$BX$2,0),0),0)</f>
        <v>16234</v>
      </c>
      <c r="Q23" s="154">
        <f>IFERROR(VLOOKUP($A$3:$A$144,'FY-(26-27)Q2'!$A$4:$ABW$124,MATCH('FY-(26-27)Q1'!$P$2:$Q$2,'FY-(26-27)Q2'!$A$2:$BX$2,0),0),0)</f>
        <v>6.4935999999999952E-2</v>
      </c>
      <c r="R23" s="158"/>
      <c r="S23" s="152">
        <f>IFERROR(VLOOKUP($A$3:$A$144,'FY-(26-27)Q3'!$A$4:$ABW$117,MATCH('FY-(26-27)Q1'!$S$2:$T$2,'FY-(26-27)Q3'!$A$2:$BX$2,0),0),0)</f>
        <v>106535</v>
      </c>
      <c r="T23" s="154">
        <f>IFERROR(VLOOKUP($A$3:$A$144,'FY-(26-27)Q3'!$A$4:$ABW$117,MATCH('FY-(26-27)Q1'!$S$2:$T$3,'FY-(26-27)Q3'!$A$2:$BX$2,0),0),0)</f>
        <v>0</v>
      </c>
      <c r="U23" s="158"/>
      <c r="V23" s="45"/>
      <c r="W23" s="72"/>
      <c r="Y23" s="153">
        <f t="shared" si="4"/>
        <v>-144647</v>
      </c>
      <c r="Z23" s="167">
        <f t="shared" si="5"/>
        <v>-2.6092240000000002</v>
      </c>
    </row>
    <row r="24" spans="1:34" ht="15" customHeight="1" x14ac:dyDescent="0.25">
      <c r="A24" s="35" t="s">
        <v>51</v>
      </c>
      <c r="B24" s="34" t="s">
        <v>230</v>
      </c>
      <c r="C24" s="34" t="s">
        <v>225</v>
      </c>
      <c r="D24" s="37" t="s">
        <v>39</v>
      </c>
      <c r="E24" s="37" t="s">
        <v>256</v>
      </c>
      <c r="F24" s="116">
        <v>1</v>
      </c>
      <c r="G24" s="152">
        <f>IFERROR(VLOOKUP($A$3:$A$144,'APR-2026'!$A$4:$ABX$112,MATCH('FY-(26-27)Q1'!$G$2:$H$2,'APR-2026'!$A$2:$BY$2,0),0),0)</f>
        <v>0</v>
      </c>
      <c r="H24" s="154">
        <f>IFERROR(VLOOKUP($A$3:$A$144,'APR-2026'!$A$4:$ABX$112,MATCH('FY-(26-27)Q1'!$G$2:$H$2,'APR-2026'!$A$2:$BY$2,0),0),0)</f>
        <v>0</v>
      </c>
      <c r="I24" s="152">
        <f>IFERROR(VLOOKUP($A$3:$A$144,'MAY-2026'!$A$4:$ACP$113,MATCH('FY-(26-27)Q1'!$I$2:$J$2,'MAY-2026'!$A$2:$CQ$2,0),0),0)</f>
        <v>-88900</v>
      </c>
      <c r="J24" s="154">
        <f>IFERROR(VLOOKUP($A$3:$A$144,'MAY-2026'!$A$4:$ACP$113,MATCH('FY-(26-27)Q1'!$I$2:$J$2,'MAY-2026'!$A$2:$CQ$2,0),0),0)</f>
        <v>-0.88900000000000001</v>
      </c>
      <c r="K24" s="152">
        <f>IFERROR(VLOOKUP($A$3:$A$144,'JUNE-2026'!$A$4:$ADJ$113,MATCH('FY-(26-27)Q1'!$K$2:$L$2,'JUNE-2026'!$A$2:$DK$2,0),0),0)</f>
        <v>0</v>
      </c>
      <c r="L24" s="154">
        <f>IFERROR(VLOOKUP($A$3:$A$144,'JUNE-2026'!$A$4:$ADJ$113,MATCH('FY-(26-27)Q1'!$K$2:$L$2,'JUNE-2026'!$A$2:$DK$2,0),0),0)</f>
        <v>0</v>
      </c>
      <c r="M24" s="71">
        <f t="shared" si="10"/>
        <v>-88900</v>
      </c>
      <c r="N24" s="165">
        <f t="shared" si="11"/>
        <v>-0.88900000000000001</v>
      </c>
      <c r="O24" s="214"/>
      <c r="P24" s="152">
        <f>IFERROR(VLOOKUP($A$3:$A$144,'FY-(26-27)Q2'!$A$4:$ABW$124,MATCH('FY-(26-27)Q1'!$P$2:$Q$2,'FY-(26-27)Q2'!$A$2:$BX$2,0),0),0)</f>
        <v>-114723</v>
      </c>
      <c r="Q24" s="154">
        <f>IFERROR(VLOOKUP($A$3:$A$144,'FY-(26-27)Q2'!$A$4:$ABW$124,MATCH('FY-(26-27)Q1'!$P$2:$Q$2,'FY-(26-27)Q2'!$A$2:$BX$2,0),0),0)</f>
        <v>-0.52146818181818178</v>
      </c>
      <c r="R24" s="158"/>
      <c r="S24" s="152">
        <f>IFERROR(VLOOKUP($A$3:$A$144,'FY-(26-27)Q3'!$A$4:$ABW$117,MATCH('FY-(26-27)Q1'!$S$2:$T$2,'FY-(26-27)Q3'!$A$2:$BX$2,0),0),0)</f>
        <v>139118</v>
      </c>
      <c r="T24" s="154">
        <f>IFERROR(VLOOKUP($A$3:$A$144,'FY-(26-27)Q3'!$A$4:$ABW$117,MATCH('FY-(26-27)Q1'!$S$2:$T$3,'FY-(26-27)Q3'!$A$2:$BX$2,0),0),0)</f>
        <v>0</v>
      </c>
      <c r="U24" s="158"/>
      <c r="V24" s="45"/>
      <c r="W24" s="72"/>
      <c r="Y24" s="153">
        <f t="shared" si="4"/>
        <v>-64505</v>
      </c>
      <c r="Z24" s="167">
        <f t="shared" si="5"/>
        <v>-1.4104681818181817</v>
      </c>
    </row>
    <row r="25" spans="1:34" ht="15" customHeight="1" x14ac:dyDescent="0.25">
      <c r="A25" s="35" t="s">
        <v>62</v>
      </c>
      <c r="B25" s="34" t="s">
        <v>230</v>
      </c>
      <c r="C25" s="34" t="s">
        <v>224</v>
      </c>
      <c r="D25" s="37" t="s">
        <v>39</v>
      </c>
      <c r="E25" s="37" t="s">
        <v>253</v>
      </c>
      <c r="F25" s="116">
        <v>1</v>
      </c>
      <c r="G25" s="152">
        <f>IFERROR(VLOOKUP($A$3:$A$144,'APR-2026'!$A$4:$ABX$112,MATCH('FY-(26-27)Q1'!$G$2:$H$2,'APR-2026'!$A$2:$BY$2,0),0),0)</f>
        <v>141000</v>
      </c>
      <c r="H25" s="154">
        <f>IFERROR(VLOOKUP($A$3:$A$144,'APR-2026'!$A$4:$ABX$112,MATCH('FY-(26-27)Q1'!$G$2:$H$2,'APR-2026'!$A$2:$BY$2,0),0),0)</f>
        <v>1.41</v>
      </c>
      <c r="I25" s="152">
        <f>IFERROR(VLOOKUP($A$3:$A$144,'MAY-2026'!$A$4:$ACP$113,MATCH('FY-(26-27)Q1'!$I$2:$J$2,'MAY-2026'!$A$2:$CQ$2,0),0),0)</f>
        <v>-66086</v>
      </c>
      <c r="J25" s="154">
        <f>IFERROR(VLOOKUP($A$3:$A$144,'MAY-2026'!$A$4:$ACP$113,MATCH('FY-(26-27)Q1'!$I$2:$J$2,'MAY-2026'!$A$2:$CQ$2,0),0),0)</f>
        <v>-0.66086</v>
      </c>
      <c r="K25" s="152">
        <f>IFERROR(VLOOKUP($A$3:$A$144,'JUNE-2026'!$A$4:$ADJ$113,MATCH('FY-(26-27)Q1'!$K$2:$L$2,'JUNE-2026'!$A$2:$DK$2,0),0),0)</f>
        <v>-8863</v>
      </c>
      <c r="L25" s="154">
        <f>IFERROR(VLOOKUP($A$3:$A$144,'JUNE-2026'!$A$4:$ADJ$113,MATCH('FY-(26-27)Q1'!$K$2:$L$2,'JUNE-2026'!$A$2:$DK$2,0),0),0)</f>
        <v>-8.863E-2</v>
      </c>
      <c r="M25" s="71">
        <f t="shared" si="10"/>
        <v>66051</v>
      </c>
      <c r="N25" s="165">
        <f t="shared" si="11"/>
        <v>0.66050999999999993</v>
      </c>
      <c r="O25" s="214"/>
      <c r="P25" s="152">
        <f>IFERROR(VLOOKUP($A$3:$A$144,'FY-(26-27)Q2'!$A$4:$ABW$124,MATCH('FY-(26-27)Q1'!$P$2:$Q$2,'FY-(26-27)Q2'!$A$2:$BX$2,0),0),0)</f>
        <v>7426</v>
      </c>
      <c r="Q25" s="154">
        <f>IFERROR(VLOOKUP($A$3:$A$144,'FY-(26-27)Q2'!$A$4:$ABW$124,MATCH('FY-(26-27)Q1'!$P$2:$Q$2,'FY-(26-27)Q2'!$A$2:$BX$2,0),0),0)</f>
        <v>7.4260000000000007E-2</v>
      </c>
      <c r="R25" s="158"/>
      <c r="S25" s="152">
        <f>IFERROR(VLOOKUP($A$3:$A$144,'FY-(26-27)Q3'!$A$4:$ABW$117,MATCH('FY-(26-27)Q1'!$S$2:$T$2,'FY-(26-27)Q3'!$A$2:$BX$2,0),0),0)</f>
        <v>0</v>
      </c>
      <c r="T25" s="154">
        <f>IFERROR(VLOOKUP($A$3:$A$144,'FY-(26-27)Q3'!$A$4:$ABW$117,MATCH('FY-(26-27)Q1'!$S$2:$T$3,'FY-(26-27)Q3'!$A$2:$BX$2,0),0),0)</f>
        <v>0</v>
      </c>
      <c r="U25" s="158"/>
      <c r="V25" s="45"/>
      <c r="W25" s="72"/>
      <c r="Y25" s="153">
        <f t="shared" si="4"/>
        <v>73477</v>
      </c>
      <c r="Z25" s="167">
        <f t="shared" si="5"/>
        <v>0.73476999999999992</v>
      </c>
    </row>
    <row r="26" spans="1:34" ht="15" customHeight="1" x14ac:dyDescent="0.25">
      <c r="A26" s="35" t="s">
        <v>43</v>
      </c>
      <c r="B26" s="34" t="s">
        <v>84</v>
      </c>
      <c r="C26" s="34" t="s">
        <v>85</v>
      </c>
      <c r="D26" s="37" t="s">
        <v>107</v>
      </c>
      <c r="E26" s="37" t="s">
        <v>107</v>
      </c>
      <c r="F26" s="117">
        <v>1</v>
      </c>
      <c r="G26" s="152">
        <f>IFERROR(VLOOKUP($A$3:$A$144,'APR-2026'!$A$4:$ABX$112,MATCH('FY-(26-27)Q1'!$G$2:$H$2,'APR-2026'!$A$2:$BY$2,0),0),0)</f>
        <v>1642522</v>
      </c>
      <c r="H26" s="154">
        <f>IFERROR(VLOOKUP($A$3:$A$144,'APR-2026'!$A$4:$ABX$112,MATCH('FY-(26-27)Q1'!$G$2:$H$2,'APR-2026'!$A$2:$BY$2,0),0),0)</f>
        <v>16.425219999999999</v>
      </c>
      <c r="I26" s="152">
        <f>IFERROR(VLOOKUP($A$3:$A$144,'MAY-2026'!$A$4:$ACP$113,MATCH('FY-(26-27)Q1'!$I$2:$J$2,'MAY-2026'!$A$2:$CQ$2,0),0),0)</f>
        <v>42324</v>
      </c>
      <c r="J26" s="154">
        <f>IFERROR(VLOOKUP($A$3:$A$144,'MAY-2026'!$A$4:$ACP$113,MATCH('FY-(26-27)Q1'!$I$2:$J$2,'MAY-2026'!$A$2:$CQ$2,0),0),0)</f>
        <v>0.42324000000000001</v>
      </c>
      <c r="K26" s="152">
        <f>IFERROR(VLOOKUP($A$3:$A$144,'JUNE-2026'!$A$4:$ADJ$113,MATCH('FY-(26-27)Q1'!$K$2:$L$2,'JUNE-2026'!$A$2:$DK$2,0),0),0)</f>
        <v>30499</v>
      </c>
      <c r="L26" s="154">
        <f>IFERROR(VLOOKUP($A$3:$A$144,'JUNE-2026'!$A$4:$ADJ$113,MATCH('FY-(26-27)Q1'!$K$2:$L$2,'JUNE-2026'!$A$2:$DK$2,0),0),0)</f>
        <v>0.30498999999999998</v>
      </c>
      <c r="M26" s="71">
        <f t="shared" si="10"/>
        <v>1715345</v>
      </c>
      <c r="N26" s="165">
        <f t="shared" si="11"/>
        <v>17.153449999999999</v>
      </c>
      <c r="O26" s="214"/>
      <c r="P26" s="152">
        <f>IFERROR(VLOOKUP($A$3:$A$144,'FY-(26-27)Q2'!$A$4:$ABW$124,MATCH('FY-(26-27)Q1'!$P$2:$Q$2,'FY-(26-27)Q2'!$A$2:$BX$2,0),0),0)</f>
        <v>30836</v>
      </c>
      <c r="Q26" s="154">
        <f>IFERROR(VLOOKUP($A$3:$A$144,'FY-(26-27)Q2'!$A$4:$ABW$124,MATCH('FY-(26-27)Q1'!$P$2:$Q$2,'FY-(26-27)Q2'!$A$2:$BX$2,0),0),0)</f>
        <v>0.30836000000000002</v>
      </c>
      <c r="R26" s="158"/>
      <c r="S26" s="152">
        <f>IFERROR(VLOOKUP($A$3:$A$144,'FY-(26-27)Q3'!$A$4:$ABW$117,MATCH('FY-(26-27)Q1'!$S$2:$T$2,'FY-(26-27)Q3'!$A$2:$BX$2,0),0),0)</f>
        <v>-30633</v>
      </c>
      <c r="T26" s="154">
        <f>IFERROR(VLOOKUP($A$3:$A$144,'FY-(26-27)Q3'!$A$4:$ABW$117,MATCH('FY-(26-27)Q1'!$S$2:$T$3,'FY-(26-27)Q3'!$A$2:$BX$2,0),0),0)</f>
        <v>0</v>
      </c>
      <c r="U26" s="158"/>
      <c r="V26" s="45"/>
      <c r="W26" s="72"/>
      <c r="Y26" s="153">
        <f t="shared" si="4"/>
        <v>1715548</v>
      </c>
      <c r="Z26" s="167">
        <f t="shared" si="5"/>
        <v>17.46181</v>
      </c>
    </row>
    <row r="27" spans="1:34" ht="15" customHeight="1" x14ac:dyDescent="0.25">
      <c r="A27" s="35" t="s">
        <v>44</v>
      </c>
      <c r="B27" s="34" t="s">
        <v>84</v>
      </c>
      <c r="C27" s="34" t="s">
        <v>172</v>
      </c>
      <c r="D27" s="37" t="s">
        <v>271</v>
      </c>
      <c r="E27" s="37" t="s">
        <v>256</v>
      </c>
      <c r="F27" s="117">
        <v>1</v>
      </c>
      <c r="G27" s="152">
        <f>IFERROR(VLOOKUP($A$3:$A$144,'APR-2026'!$A$4:$ABX$112,MATCH('FY-(26-27)Q1'!$G$2:$H$2,'APR-2026'!$A$2:$BY$2,0),0),0)</f>
        <v>10517</v>
      </c>
      <c r="H27" s="154">
        <f>IFERROR(VLOOKUP($A$3:$A$144,'APR-2026'!$A$4:$ABX$112,MATCH('FY-(26-27)Q1'!$G$2:$H$2,'APR-2026'!$A$2:$BY$2,0),0),0)</f>
        <v>0.10517</v>
      </c>
      <c r="I27" s="152">
        <f>IFERROR(VLOOKUP($A$3:$A$144,'MAY-2026'!$A$4:$ACP$113,MATCH('FY-(26-27)Q1'!$I$2:$J$2,'MAY-2026'!$A$2:$CQ$2,0),0),0)</f>
        <v>25727</v>
      </c>
      <c r="J27" s="154">
        <f>IFERROR(VLOOKUP($A$3:$A$144,'MAY-2026'!$A$4:$ACP$113,MATCH('FY-(26-27)Q1'!$I$2:$J$2,'MAY-2026'!$A$2:$CQ$2,0),0),0)</f>
        <v>0.25727</v>
      </c>
      <c r="K27" s="152">
        <f>IFERROR(VLOOKUP($A$3:$A$144,'JUNE-2026'!$A$4:$ADJ$113,MATCH('FY-(26-27)Q1'!$K$2:$L$2,'JUNE-2026'!$A$2:$DK$2,0),0),0)</f>
        <v>-71637</v>
      </c>
      <c r="L27" s="154">
        <f>IFERROR(VLOOKUP($A$3:$A$144,'JUNE-2026'!$A$4:$ADJ$113,MATCH('FY-(26-27)Q1'!$K$2:$L$2,'JUNE-2026'!$A$2:$DK$2,0),0),0)</f>
        <v>-0.71636999999999995</v>
      </c>
      <c r="M27" s="71">
        <f t="shared" si="10"/>
        <v>-35393</v>
      </c>
      <c r="N27" s="165">
        <f t="shared" si="11"/>
        <v>-0.35392999999999997</v>
      </c>
      <c r="O27" s="214"/>
      <c r="P27" s="152">
        <f>IFERROR(VLOOKUP($A$3:$A$144,'FY-(26-27)Q2'!$A$4:$ABW$124,MATCH('FY-(26-27)Q1'!$P$2:$Q$2,'FY-(26-27)Q2'!$A$2:$BX$2,0),0),0)</f>
        <v>0</v>
      </c>
      <c r="Q27" s="154">
        <f>IFERROR(VLOOKUP($A$3:$A$144,'FY-(26-27)Q2'!$A$4:$ABW$124,MATCH('FY-(26-27)Q1'!$P$2:$Q$2,'FY-(26-27)Q2'!$A$2:$BX$2,0),0),0)</f>
        <v>0</v>
      </c>
      <c r="R27" s="158"/>
      <c r="S27" s="152">
        <f>IFERROR(VLOOKUP($A$3:$A$144,'FY-(26-27)Q3'!$A$4:$ABW$117,MATCH('FY-(26-27)Q1'!$S$2:$T$2,'FY-(26-27)Q3'!$A$2:$BX$2,0),0),0)</f>
        <v>0</v>
      </c>
      <c r="T27" s="154">
        <f>IFERROR(VLOOKUP($A$3:$A$144,'FY-(26-27)Q3'!$A$4:$ABW$117,MATCH('FY-(26-27)Q1'!$S$2:$T$3,'FY-(26-27)Q3'!$A$2:$BX$2,0),0),0)</f>
        <v>0</v>
      </c>
      <c r="U27" s="158"/>
      <c r="V27" s="45"/>
      <c r="W27" s="72"/>
      <c r="Y27" s="153">
        <f t="shared" si="4"/>
        <v>-35393</v>
      </c>
      <c r="Z27" s="167">
        <f t="shared" si="5"/>
        <v>-0.35392999999999997</v>
      </c>
    </row>
    <row r="28" spans="1:34" ht="15" customHeight="1" x14ac:dyDescent="0.25">
      <c r="A28" s="35" t="s">
        <v>108</v>
      </c>
      <c r="B28" s="34" t="s">
        <v>84</v>
      </c>
      <c r="C28" s="34" t="s">
        <v>57</v>
      </c>
      <c r="D28" s="37"/>
      <c r="E28" s="37" t="s">
        <v>256</v>
      </c>
      <c r="F28" s="117">
        <v>1</v>
      </c>
      <c r="G28" s="152">
        <f>IFERROR(VLOOKUP($A$3:$A$144,'APR-2026'!$A$4:$ABX$112,MATCH('FY-(26-27)Q1'!$G$2:$H$2,'APR-2026'!$A$2:$BY$2,0),0),0)</f>
        <v>-45133</v>
      </c>
      <c r="H28" s="154">
        <f>IFERROR(VLOOKUP($A$3:$A$144,'APR-2026'!$A$4:$ABX$112,MATCH('FY-(26-27)Q1'!$G$2:$H$2,'APR-2026'!$A$2:$BY$2,0),0),0)</f>
        <v>-0.45133000000000001</v>
      </c>
      <c r="I28" s="152">
        <f>IFERROR(VLOOKUP($A$3:$A$144,'MAY-2026'!$A$4:$ACP$113,MATCH('FY-(26-27)Q1'!$I$2:$J$2,'MAY-2026'!$A$2:$CQ$2,0),0),0)</f>
        <v>-98600</v>
      </c>
      <c r="J28" s="154">
        <f>IFERROR(VLOOKUP($A$3:$A$144,'MAY-2026'!$A$4:$ACP$113,MATCH('FY-(26-27)Q1'!$I$2:$J$2,'MAY-2026'!$A$2:$CQ$2,0),0),0)</f>
        <v>-0.98599999999999999</v>
      </c>
      <c r="K28" s="152">
        <f>IFERROR(VLOOKUP($A$3:$A$144,'JUNE-2026'!$A$4:$ADJ$113,MATCH('FY-(26-27)Q1'!$K$2:$L$2,'JUNE-2026'!$A$2:$DK$2,0),0),0)</f>
        <v>-26270</v>
      </c>
      <c r="L28" s="154">
        <f>IFERROR(VLOOKUP($A$3:$A$144,'JUNE-2026'!$A$4:$ADJ$113,MATCH('FY-(26-27)Q1'!$K$2:$L$2,'JUNE-2026'!$A$2:$DK$2,0),0),0)</f>
        <v>-0.26269999999999999</v>
      </c>
      <c r="M28" s="71">
        <f t="shared" si="10"/>
        <v>-170003</v>
      </c>
      <c r="N28" s="165">
        <f t="shared" si="11"/>
        <v>-1.7000299999999999</v>
      </c>
      <c r="O28" s="214"/>
      <c r="P28" s="152">
        <f>IFERROR(VLOOKUP($A$3:$A$144,'FY-(26-27)Q2'!$A$4:$ABW$124,MATCH('FY-(26-27)Q1'!$P$2:$Q$2,'FY-(26-27)Q2'!$A$2:$BX$2,0),0),0)</f>
        <v>0</v>
      </c>
      <c r="Q28" s="154">
        <f>IFERROR(VLOOKUP($A$3:$A$144,'FY-(26-27)Q2'!$A$4:$ABW$124,MATCH('FY-(26-27)Q1'!$P$2:$Q$2,'FY-(26-27)Q2'!$A$2:$BX$2,0),0),0)</f>
        <v>0</v>
      </c>
      <c r="R28" s="158"/>
      <c r="S28" s="152">
        <f>IFERROR(VLOOKUP($A$3:$A$144,'FY-(26-27)Q3'!$A$4:$ABW$117,MATCH('FY-(26-27)Q1'!$S$2:$T$2,'FY-(26-27)Q3'!$A$2:$BX$2,0),0),0)</f>
        <v>0</v>
      </c>
      <c r="T28" s="154">
        <f>IFERROR(VLOOKUP($A$3:$A$144,'FY-(26-27)Q3'!$A$4:$ABW$117,MATCH('FY-(26-27)Q1'!$S$2:$T$3,'FY-(26-27)Q3'!$A$2:$BX$2,0),0),0)</f>
        <v>0</v>
      </c>
      <c r="U28" s="158"/>
      <c r="V28" s="45"/>
      <c r="W28" s="72"/>
      <c r="Y28" s="153">
        <f t="shared" si="4"/>
        <v>-170003</v>
      </c>
      <c r="Z28" s="167">
        <f t="shared" si="5"/>
        <v>-1.7000299999999999</v>
      </c>
    </row>
    <row r="29" spans="1:34" ht="15" customHeight="1" x14ac:dyDescent="0.25">
      <c r="A29" s="35" t="s">
        <v>94</v>
      </c>
      <c r="B29" s="34" t="s">
        <v>230</v>
      </c>
      <c r="C29" s="34" t="s">
        <v>8</v>
      </c>
      <c r="D29" s="37" t="s">
        <v>39</v>
      </c>
      <c r="E29" s="37" t="s">
        <v>256</v>
      </c>
      <c r="F29" s="117">
        <v>1</v>
      </c>
      <c r="G29" s="152">
        <f>IFERROR(VLOOKUP($A$3:$A$144,'APR-2026'!$A$4:$ABX$112,MATCH('FY-(26-27)Q1'!$G$2:$H$2,'APR-2026'!$A$2:$BY$2,0),0),0)</f>
        <v>100262</v>
      </c>
      <c r="H29" s="154">
        <f>IFERROR(VLOOKUP($A$3:$A$144,'APR-2026'!$A$4:$ABX$112,MATCH('FY-(26-27)Q1'!$G$2:$H$2,'APR-2026'!$A$2:$BY$2,0),0),0)</f>
        <v>1.0026200000000001</v>
      </c>
      <c r="I29" s="152">
        <f>IFERROR(VLOOKUP($A$3:$A$144,'MAY-2026'!$A$4:$ACP$113,MATCH('FY-(26-27)Q1'!$I$2:$J$2,'MAY-2026'!$A$2:$CQ$2,0),0),0)</f>
        <v>-159139</v>
      </c>
      <c r="J29" s="154">
        <f>IFERROR(VLOOKUP($A$3:$A$144,'MAY-2026'!$A$4:$ACP$113,MATCH('FY-(26-27)Q1'!$I$2:$J$2,'MAY-2026'!$A$2:$CQ$2,0),0),0)</f>
        <v>-1.5913900000000001</v>
      </c>
      <c r="K29" s="152">
        <f>IFERROR(VLOOKUP($A$3:$A$144,'JUNE-2026'!$A$4:$ADJ$113,MATCH('FY-(26-27)Q1'!$K$2:$L$2,'JUNE-2026'!$A$2:$DK$2,0),0),0)</f>
        <v>5762</v>
      </c>
      <c r="L29" s="154">
        <f>IFERROR(VLOOKUP($A$3:$A$144,'JUNE-2026'!$A$4:$ADJ$113,MATCH('FY-(26-27)Q1'!$K$2:$L$2,'JUNE-2026'!$A$2:$DK$2,0),0),0)</f>
        <v>5.7619999999999998E-2</v>
      </c>
      <c r="M29" s="71">
        <f t="shared" si="10"/>
        <v>-53115</v>
      </c>
      <c r="N29" s="165">
        <f t="shared" si="11"/>
        <v>-0.53115000000000001</v>
      </c>
      <c r="O29" s="214"/>
      <c r="P29" s="152">
        <f>IFERROR(VLOOKUP($A$3:$A$144,'FY-(26-27)Q2'!$A$4:$ABW$124,MATCH('FY-(26-27)Q1'!$P$2:$Q$2,'FY-(26-27)Q2'!$A$2:$BX$2,0),0),0)</f>
        <v>0</v>
      </c>
      <c r="Q29" s="154">
        <f>IFERROR(VLOOKUP($A$3:$A$144,'FY-(26-27)Q2'!$A$4:$ABW$124,MATCH('FY-(26-27)Q1'!$P$2:$Q$2,'FY-(26-27)Q2'!$A$2:$BX$2,0),0),0)</f>
        <v>0</v>
      </c>
      <c r="R29" s="158"/>
      <c r="S29" s="152">
        <f>IFERROR(VLOOKUP($A$3:$A$144,'FY-(26-27)Q3'!$A$4:$ABW$117,MATCH('FY-(26-27)Q1'!$S$2:$T$2,'FY-(26-27)Q3'!$A$2:$BX$2,0),0),0)</f>
        <v>0</v>
      </c>
      <c r="T29" s="154">
        <f>IFERROR(VLOOKUP($A$3:$A$144,'FY-(26-27)Q3'!$A$4:$ABW$117,MATCH('FY-(26-27)Q1'!$S$2:$T$3,'FY-(26-27)Q3'!$A$2:$BX$2,0),0),0)</f>
        <v>0</v>
      </c>
      <c r="U29" s="158"/>
      <c r="V29" s="45"/>
      <c r="W29" s="72"/>
      <c r="Y29" s="153">
        <f t="shared" si="4"/>
        <v>-53115</v>
      </c>
      <c r="Z29" s="167">
        <f t="shared" si="5"/>
        <v>-0.53115000000000001</v>
      </c>
    </row>
    <row r="30" spans="1:34" ht="15" customHeight="1" x14ac:dyDescent="0.25">
      <c r="A30" s="35" t="s">
        <v>24</v>
      </c>
      <c r="B30" s="34" t="s">
        <v>73</v>
      </c>
      <c r="C30" s="34" t="s">
        <v>58</v>
      </c>
      <c r="D30" s="37" t="s">
        <v>20</v>
      </c>
      <c r="E30" s="37" t="s">
        <v>256</v>
      </c>
      <c r="F30" s="116">
        <v>2.5</v>
      </c>
      <c r="G30" s="152">
        <f>IFERROR(VLOOKUP($A$3:$A$144,'APR-2026'!$A$4:$ABX$112,MATCH('FY-(26-27)Q1'!$G$2:$H$2,'APR-2026'!$A$2:$BY$2,0),0),0)</f>
        <v>308939</v>
      </c>
      <c r="H30" s="154">
        <f>IFERROR(VLOOKUP($A$3:$A$144,'APR-2026'!$A$4:$ABX$112,MATCH('FY-(26-27)Q1'!$G$2:$H$2,'APR-2026'!$A$2:$BY$2,0),0),0)</f>
        <v>1.2357560000000001</v>
      </c>
      <c r="I30" s="152">
        <f>IFERROR(VLOOKUP($A$3:$A$144,'MAY-2026'!$A$4:$ACP$113,MATCH('FY-(26-27)Q1'!$I$2:$J$2,'MAY-2026'!$A$2:$CQ$2,0),0),0)</f>
        <v>79409</v>
      </c>
      <c r="J30" s="154">
        <f>IFERROR(VLOOKUP($A$3:$A$144,'MAY-2026'!$A$4:$ACP$113,MATCH('FY-(26-27)Q1'!$I$2:$J$2,'MAY-2026'!$A$2:$CQ$2,0),0),0)</f>
        <v>0.31763599999999997</v>
      </c>
      <c r="K30" s="152">
        <f>IFERROR(VLOOKUP($A$3:$A$144,'JUNE-2026'!$A$4:$ADJ$113,MATCH('FY-(26-27)Q1'!$K$2:$L$2,'JUNE-2026'!$A$2:$DK$2,0),0),0)</f>
        <v>-30135</v>
      </c>
      <c r="L30" s="154">
        <f>IFERROR(VLOOKUP($A$3:$A$144,'JUNE-2026'!$A$4:$ADJ$113,MATCH('FY-(26-27)Q1'!$K$2:$L$2,'JUNE-2026'!$A$2:$DK$2,0),0),0)</f>
        <v>-0.12053999999999999</v>
      </c>
      <c r="M30" s="71">
        <f t="shared" si="10"/>
        <v>358213</v>
      </c>
      <c r="N30" s="165">
        <f t="shared" si="11"/>
        <v>1.432852</v>
      </c>
      <c r="O30" s="214"/>
      <c r="P30" s="152">
        <f>IFERROR(VLOOKUP($A$3:$A$144,'FY-(26-27)Q2'!$A$4:$ABW$124,MATCH('FY-(26-27)Q1'!$P$2:$Q$2,'FY-(26-27)Q2'!$A$2:$BX$2,0),0),0)</f>
        <v>20055</v>
      </c>
      <c r="Q30" s="154">
        <f>IFERROR(VLOOKUP($A$3:$A$144,'FY-(26-27)Q2'!$A$4:$ABW$124,MATCH('FY-(26-27)Q1'!$P$2:$Q$2,'FY-(26-27)Q2'!$A$2:$BX$2,0),0),0)</f>
        <v>8.0220000000000014E-2</v>
      </c>
      <c r="R30" s="158"/>
      <c r="S30" s="152">
        <f>IFERROR(VLOOKUP($A$3:$A$144,'FY-(26-27)Q3'!$A$4:$ABW$117,MATCH('FY-(26-27)Q1'!$S$2:$T$2,'FY-(26-27)Q3'!$A$2:$BX$2,0),0),0)</f>
        <v>428868</v>
      </c>
      <c r="T30" s="154">
        <f>IFERROR(VLOOKUP($A$3:$A$144,'FY-(26-27)Q3'!$A$4:$ABW$117,MATCH('FY-(26-27)Q1'!$S$2:$T$3,'FY-(26-27)Q3'!$A$2:$BX$2,0),0),0)</f>
        <v>0</v>
      </c>
      <c r="U30" s="158"/>
      <c r="V30" s="45"/>
      <c r="W30" s="72"/>
      <c r="Y30" s="153">
        <f t="shared" si="4"/>
        <v>807136</v>
      </c>
      <c r="Z30" s="167">
        <f t="shared" si="5"/>
        <v>1.513072</v>
      </c>
    </row>
    <row r="31" spans="1:34" ht="15" customHeight="1" x14ac:dyDescent="0.25">
      <c r="A31" s="35" t="s">
        <v>23</v>
      </c>
      <c r="B31" s="34" t="s">
        <v>74</v>
      </c>
      <c r="C31" s="34" t="s">
        <v>59</v>
      </c>
      <c r="D31" s="37" t="s">
        <v>3</v>
      </c>
      <c r="E31" s="37" t="s">
        <v>256</v>
      </c>
      <c r="F31" s="116">
        <v>4</v>
      </c>
      <c r="G31" s="152">
        <f>IFERROR(VLOOKUP($A$3:$A$144,'APR-2026'!$A$4:$ABX$112,MATCH('FY-(26-27)Q1'!$G$2:$H$2,'APR-2026'!$A$2:$BY$2,0),0),0)</f>
        <v>405124</v>
      </c>
      <c r="H31" s="154">
        <f>IFERROR(VLOOKUP($A$3:$A$144,'APR-2026'!$A$4:$ABX$112,MATCH('FY-(26-27)Q1'!$G$2:$H$2,'APR-2026'!$A$2:$BY$2,0),0),0)</f>
        <v>1.01281</v>
      </c>
      <c r="I31" s="152">
        <f>IFERROR(VLOOKUP($A$3:$A$144,'MAY-2026'!$A$4:$ACP$113,MATCH('FY-(26-27)Q1'!$I$2:$J$2,'MAY-2026'!$A$2:$CQ$2,0),0),0)</f>
        <v>-290952</v>
      </c>
      <c r="J31" s="154">
        <f>IFERROR(VLOOKUP($A$3:$A$144,'MAY-2026'!$A$4:$ACP$113,MATCH('FY-(26-27)Q1'!$I$2:$J$2,'MAY-2026'!$A$2:$CQ$2,0),0),0)</f>
        <v>-0.72738000000000003</v>
      </c>
      <c r="K31" s="152">
        <f>IFERROR(VLOOKUP($A$3:$A$144,'JUNE-2026'!$A$4:$ADJ$113,MATCH('FY-(26-27)Q1'!$K$2:$L$2,'JUNE-2026'!$A$2:$DK$2,0),0),0)</f>
        <v>556291</v>
      </c>
      <c r="L31" s="154">
        <f>IFERROR(VLOOKUP($A$3:$A$144,'JUNE-2026'!$A$4:$ADJ$113,MATCH('FY-(26-27)Q1'!$K$2:$L$2,'JUNE-2026'!$A$2:$DK$2,0),0),0)</f>
        <v>1.3907274999999999</v>
      </c>
      <c r="M31" s="71">
        <f t="shared" si="10"/>
        <v>670463</v>
      </c>
      <c r="N31" s="165">
        <f t="shared" si="11"/>
        <v>1.6761575</v>
      </c>
      <c r="O31" s="214"/>
      <c r="P31" s="152">
        <f>IFERROR(VLOOKUP($A$3:$A$144,'FY-(26-27)Q2'!$A$4:$ABW$124,MATCH('FY-(26-27)Q1'!$P$2:$Q$2,'FY-(26-27)Q2'!$A$2:$BX$2,0),0),0)</f>
        <v>208990</v>
      </c>
      <c r="Q31" s="154">
        <f>IFERROR(VLOOKUP($A$3:$A$144,'FY-(26-27)Q2'!$A$4:$ABW$124,MATCH('FY-(26-27)Q1'!$P$2:$Q$2,'FY-(26-27)Q2'!$A$2:$BX$2,0),0),0)</f>
        <v>0.52247499999999991</v>
      </c>
      <c r="R31" s="158"/>
      <c r="S31" s="152">
        <f>IFERROR(VLOOKUP($A$3:$A$144,'FY-(26-27)Q3'!$A$4:$ABW$117,MATCH('FY-(26-27)Q1'!$S$2:$T$2,'FY-(26-27)Q3'!$A$2:$BX$2,0),0),0)</f>
        <v>737424</v>
      </c>
      <c r="T31" s="154">
        <f>IFERROR(VLOOKUP($A$3:$A$144,'FY-(26-27)Q3'!$A$4:$ABW$117,MATCH('FY-(26-27)Q1'!$S$2:$T$3,'FY-(26-27)Q3'!$A$2:$BX$2,0),0),0)</f>
        <v>0</v>
      </c>
      <c r="U31" s="158"/>
      <c r="V31" s="45"/>
      <c r="W31" s="72"/>
      <c r="X31" s="1"/>
      <c r="Y31" s="153">
        <f t="shared" si="4"/>
        <v>1616877</v>
      </c>
      <c r="Z31" s="167">
        <f t="shared" si="5"/>
        <v>2.1986325</v>
      </c>
    </row>
    <row r="32" spans="1:34" ht="15" customHeight="1" x14ac:dyDescent="0.25">
      <c r="A32" s="35" t="s">
        <v>110</v>
      </c>
      <c r="B32" s="34" t="s">
        <v>111</v>
      </c>
      <c r="C32" s="34" t="s">
        <v>109</v>
      </c>
      <c r="D32" s="37" t="s">
        <v>87</v>
      </c>
      <c r="E32" s="37" t="s">
        <v>256</v>
      </c>
      <c r="F32" s="116">
        <v>0.25</v>
      </c>
      <c r="G32" s="152">
        <f>IFERROR(VLOOKUP($A$3:$A$144,'APR-2026'!$A$4:$ABX$112,MATCH('FY-(26-27)Q1'!$G$2:$H$2,'APR-2026'!$A$2:$BY$2,0),0),0)</f>
        <v>35922</v>
      </c>
      <c r="H32" s="154">
        <f>IFERROR(VLOOKUP($A$3:$A$144,'APR-2026'!$A$4:$ABX$112,MATCH('FY-(26-27)Q1'!$G$2:$H$2,'APR-2026'!$A$2:$BY$2,0),0),0)</f>
        <v>0.32656363636363633</v>
      </c>
      <c r="I32" s="152">
        <f>IFERROR(VLOOKUP($A$3:$A$144,'MAY-2026'!$A$4:$ACP$113,MATCH('FY-(26-27)Q1'!$I$2:$J$2,'MAY-2026'!$A$2:$CQ$2,0),0),0)</f>
        <v>-178282</v>
      </c>
      <c r="J32" s="154">
        <f>IFERROR(VLOOKUP($A$3:$A$144,'MAY-2026'!$A$4:$ACP$113,MATCH('FY-(26-27)Q1'!$I$2:$J$2,'MAY-2026'!$A$2:$CQ$2,0),0),0)</f>
        <v>-1.6207454545454545</v>
      </c>
      <c r="K32" s="152">
        <f>IFERROR(VLOOKUP($A$3:$A$144,'JUNE-2026'!$A$4:$ADJ$113,MATCH('FY-(26-27)Q1'!$K$2:$L$2,'JUNE-2026'!$A$2:$DK$2,0),0),0)</f>
        <v>142078</v>
      </c>
      <c r="L32" s="154">
        <f>IFERROR(VLOOKUP($A$3:$A$144,'JUNE-2026'!$A$4:$ADJ$113,MATCH('FY-(26-27)Q1'!$K$2:$L$2,'JUNE-2026'!$A$2:$DK$2,0),0),0)</f>
        <v>1.2916181818181818</v>
      </c>
      <c r="M32" s="71">
        <f t="shared" si="10"/>
        <v>-282</v>
      </c>
      <c r="N32" s="165">
        <f t="shared" si="11"/>
        <v>-2.5636363636363235E-3</v>
      </c>
      <c r="O32" s="214"/>
      <c r="P32" s="152">
        <f>IFERROR(VLOOKUP($A$3:$A$144,'FY-(26-27)Q2'!$A$4:$ABW$124,MATCH('FY-(26-27)Q1'!$P$2:$Q$2,'FY-(26-27)Q2'!$A$2:$BX$2,0),0),0)</f>
        <v>57913</v>
      </c>
      <c r="Q32" s="154">
        <f>IFERROR(VLOOKUP($A$3:$A$144,'FY-(26-27)Q2'!$A$4:$ABW$124,MATCH('FY-(26-27)Q1'!$P$2:$Q$2,'FY-(26-27)Q2'!$A$2:$BX$2,0),0),0)</f>
        <v>0.52648181818181805</v>
      </c>
      <c r="R32" s="158"/>
      <c r="S32" s="152">
        <f>IFERROR(VLOOKUP($A$3:$A$144,'FY-(26-27)Q3'!$A$4:$ABW$117,MATCH('FY-(26-27)Q1'!$S$2:$T$2,'FY-(26-27)Q3'!$A$2:$BX$2,0),0),0)</f>
        <v>-150688</v>
      </c>
      <c r="T32" s="154">
        <f>IFERROR(VLOOKUP($A$3:$A$144,'FY-(26-27)Q3'!$A$4:$ABW$117,MATCH('FY-(26-27)Q1'!$S$2:$T$3,'FY-(26-27)Q3'!$A$2:$BX$2,0),0),0)</f>
        <v>0</v>
      </c>
      <c r="U32" s="158"/>
      <c r="V32" s="45"/>
      <c r="W32" s="72"/>
      <c r="X32" s="1"/>
      <c r="Y32" s="153">
        <f t="shared" si="4"/>
        <v>-93057</v>
      </c>
      <c r="Z32" s="167">
        <f t="shared" si="5"/>
        <v>0.52391818181818173</v>
      </c>
    </row>
    <row r="33" spans="1:34" s="1" customFormat="1" ht="15" customHeight="1" x14ac:dyDescent="0.25">
      <c r="A33" s="35" t="s">
        <v>148</v>
      </c>
      <c r="B33" s="34" t="s">
        <v>111</v>
      </c>
      <c r="C33" s="34" t="s">
        <v>128</v>
      </c>
      <c r="D33" s="37" t="s">
        <v>87</v>
      </c>
      <c r="E33" s="37" t="s">
        <v>256</v>
      </c>
      <c r="F33" s="116">
        <v>0.25</v>
      </c>
      <c r="G33" s="152">
        <f>IFERROR(VLOOKUP($A$3:$A$144,'APR-2026'!$A$4:$ABX$112,MATCH('FY-(26-27)Q1'!$G$2:$H$2,'APR-2026'!$A$2:$BY$2,0),0),0)</f>
        <v>10003</v>
      </c>
      <c r="H33" s="154">
        <f>IFERROR(VLOOKUP($A$3:$A$144,'APR-2026'!$A$4:$ABX$112,MATCH('FY-(26-27)Q1'!$G$2:$H$2,'APR-2026'!$A$2:$BY$2,0),0),0)</f>
        <v>0.40011999999999998</v>
      </c>
      <c r="I33" s="152">
        <f>IFERROR(VLOOKUP($A$3:$A$144,'MAY-2026'!$A$4:$ACP$113,MATCH('FY-(26-27)Q1'!$I$2:$J$2,'MAY-2026'!$A$2:$CQ$2,0),0),0)</f>
        <v>-76253</v>
      </c>
      <c r="J33" s="154">
        <f>IFERROR(VLOOKUP($A$3:$A$144,'MAY-2026'!$A$4:$ACP$113,MATCH('FY-(26-27)Q1'!$I$2:$J$2,'MAY-2026'!$A$2:$CQ$2,0),0),0)</f>
        <v>-3.0501200000000002</v>
      </c>
      <c r="K33" s="152">
        <f>IFERROR(VLOOKUP($A$3:$A$144,'JUNE-2026'!$A$4:$ADJ$113,MATCH('FY-(26-27)Q1'!$K$2:$L$2,'JUNE-2026'!$A$2:$DK$2,0),0),0)</f>
        <v>0</v>
      </c>
      <c r="L33" s="154">
        <f>IFERROR(VLOOKUP($A$3:$A$144,'JUNE-2026'!$A$4:$ADJ$113,MATCH('FY-(26-27)Q1'!$K$2:$L$2,'JUNE-2026'!$A$2:$DK$2,0),0),0)</f>
        <v>0</v>
      </c>
      <c r="M33" s="71">
        <f t="shared" si="10"/>
        <v>-66250</v>
      </c>
      <c r="N33" s="165">
        <f t="shared" si="11"/>
        <v>-2.6500000000000004</v>
      </c>
      <c r="O33" s="214"/>
      <c r="P33" s="152">
        <f>IFERROR(VLOOKUP($A$3:$A$144,'FY-(26-27)Q2'!$A$4:$ABW$124,MATCH('FY-(26-27)Q1'!$P$2:$Q$2,'FY-(26-27)Q2'!$A$2:$BX$2,0),0),0)</f>
        <v>0</v>
      </c>
      <c r="Q33" s="154">
        <f>IFERROR(VLOOKUP($A$3:$A$144,'FY-(26-27)Q2'!$A$4:$ABW$124,MATCH('FY-(26-27)Q1'!$P$2:$Q$2,'FY-(26-27)Q2'!$A$2:$BX$2,0),0),0)</f>
        <v>0</v>
      </c>
      <c r="R33" s="158"/>
      <c r="S33" s="152">
        <f>IFERROR(VLOOKUP($A$3:$A$144,'FY-(26-27)Q3'!$A$4:$ABW$117,MATCH('FY-(26-27)Q1'!$S$2:$T$2,'FY-(26-27)Q3'!$A$2:$BX$2,0),0),0)</f>
        <v>0</v>
      </c>
      <c r="T33" s="154">
        <f>IFERROR(VLOOKUP($A$3:$A$144,'FY-(26-27)Q3'!$A$4:$ABW$117,MATCH('FY-(26-27)Q1'!$S$2:$T$3,'FY-(26-27)Q3'!$A$2:$BX$2,0),0),0)</f>
        <v>0</v>
      </c>
      <c r="U33" s="158"/>
      <c r="V33" s="45"/>
      <c r="W33" s="72"/>
      <c r="X33"/>
      <c r="Y33" s="153">
        <f t="shared" si="4"/>
        <v>-66250</v>
      </c>
      <c r="Z33" s="167">
        <f t="shared" si="5"/>
        <v>-2.6500000000000004</v>
      </c>
      <c r="AB33"/>
      <c r="AC33"/>
      <c r="AD33"/>
      <c r="AE33"/>
      <c r="AF33"/>
      <c r="AG33"/>
      <c r="AH33"/>
    </row>
    <row r="34" spans="1:34" s="1" customFormat="1" ht="15" customHeight="1" x14ac:dyDescent="0.25">
      <c r="A34" s="35" t="s">
        <v>165</v>
      </c>
      <c r="B34" s="34" t="s">
        <v>167</v>
      </c>
      <c r="C34" s="34" t="s">
        <v>223</v>
      </c>
      <c r="D34" s="141" t="s">
        <v>261</v>
      </c>
      <c r="E34" s="37" t="s">
        <v>256</v>
      </c>
      <c r="F34" s="116">
        <v>0.5</v>
      </c>
      <c r="G34" s="152">
        <f>IFERROR(VLOOKUP($A$3:$A$144,'APR-2026'!$A$4:$ABX$112,MATCH('FY-(26-27)Q1'!$G$2:$H$2,'APR-2026'!$A$2:$BY$2,0),0),0)</f>
        <v>202276</v>
      </c>
      <c r="H34" s="154">
        <f>IFERROR(VLOOKUP($A$3:$A$144,'APR-2026'!$A$4:$ABX$112,MATCH('FY-(26-27)Q1'!$G$2:$H$2,'APR-2026'!$A$2:$BY$2,0),0),0)</f>
        <v>1.3485066666666665</v>
      </c>
      <c r="I34" s="152">
        <f>IFERROR(VLOOKUP($A$3:$A$144,'MAY-2026'!$A$4:$ACP$113,MATCH('FY-(26-27)Q1'!$I$2:$J$2,'MAY-2026'!$A$2:$CQ$2,0),0),0)</f>
        <v>-2293</v>
      </c>
      <c r="J34" s="154">
        <f>IFERROR(VLOOKUP($A$3:$A$144,'MAY-2026'!$A$4:$ACP$113,MATCH('FY-(26-27)Q1'!$I$2:$J$2,'MAY-2026'!$A$2:$CQ$2,0),0),0)</f>
        <v>-1.5286666666666669E-2</v>
      </c>
      <c r="K34" s="152">
        <f>IFERROR(VLOOKUP($A$3:$A$144,'JUNE-2026'!$A$4:$ADJ$113,MATCH('FY-(26-27)Q1'!$K$2:$L$2,'JUNE-2026'!$A$2:$DK$2,0),0),0)</f>
        <v>-705052</v>
      </c>
      <c r="L34" s="154">
        <f>IFERROR(VLOOKUP($A$3:$A$144,'JUNE-2026'!$A$4:$ADJ$113,MATCH('FY-(26-27)Q1'!$K$2:$L$2,'JUNE-2026'!$A$2:$DK$2,0),0),0)</f>
        <v>-4.7003466666666673</v>
      </c>
      <c r="M34" s="71">
        <f t="shared" si="10"/>
        <v>-505069</v>
      </c>
      <c r="N34" s="165">
        <f t="shared" si="11"/>
        <v>-3.3671266666666675</v>
      </c>
      <c r="O34" s="214"/>
      <c r="P34" s="152">
        <f>IFERROR(VLOOKUP($A$3:$A$144,'FY-(26-27)Q2'!$A$4:$ABW$124,MATCH('FY-(26-27)Q1'!$P$2:$Q$2,'FY-(26-27)Q2'!$A$2:$BX$2,0),0),0)</f>
        <v>19064</v>
      </c>
      <c r="Q34" s="154">
        <f>IFERROR(VLOOKUP($A$3:$A$144,'FY-(26-27)Q2'!$A$4:$ABW$124,MATCH('FY-(26-27)Q1'!$P$2:$Q$2,'FY-(26-27)Q2'!$A$2:$BX$2,0),0),0)</f>
        <v>0.12709333333333339</v>
      </c>
      <c r="R34" s="158"/>
      <c r="S34" s="152">
        <f>IFERROR(VLOOKUP($A$3:$A$144,'FY-(26-27)Q3'!$A$4:$ABW$117,MATCH('FY-(26-27)Q1'!$S$2:$T$2,'FY-(26-27)Q3'!$A$2:$BX$2,0),0),0)</f>
        <v>719336</v>
      </c>
      <c r="T34" s="154">
        <f>IFERROR(VLOOKUP($A$3:$A$144,'FY-(26-27)Q3'!$A$4:$ABW$117,MATCH('FY-(26-27)Q1'!$S$2:$T$3,'FY-(26-27)Q3'!$A$2:$BX$2,0),0),0)</f>
        <v>0</v>
      </c>
      <c r="U34" s="158"/>
      <c r="V34" s="45"/>
      <c r="W34" s="72"/>
      <c r="X34"/>
      <c r="Y34" s="153">
        <f t="shared" si="4"/>
        <v>233331</v>
      </c>
      <c r="Z34" s="167">
        <f t="shared" si="5"/>
        <v>-3.2400333333333342</v>
      </c>
    </row>
    <row r="35" spans="1:34" s="131" customFormat="1" ht="15" customHeight="1" x14ac:dyDescent="0.25">
      <c r="A35" s="141" t="s">
        <v>275</v>
      </c>
      <c r="B35" s="140" t="s">
        <v>164</v>
      </c>
      <c r="C35" s="140" t="s">
        <v>274</v>
      </c>
      <c r="D35" s="141" t="s">
        <v>152</v>
      </c>
      <c r="E35" s="141" t="s">
        <v>256</v>
      </c>
      <c r="F35" s="155">
        <v>0.1</v>
      </c>
      <c r="G35" s="152">
        <f>IFERROR(VLOOKUP($A$3:$A$144,'APR-2026'!$A$4:$ABX$112,MATCH('FY-(26-27)Q1'!$G$2:$H$2,'APR-2026'!$A$2:$BY$2,0),0),0)</f>
        <v>0</v>
      </c>
      <c r="H35" s="154">
        <f>IFERROR(VLOOKUP($A$3:$A$144,'APR-2026'!$A$4:$ABX$112,MATCH('FY-(26-27)Q1'!$G$2:$H$2,'APR-2026'!$A$2:$BY$2,0),0),0)</f>
        <v>0</v>
      </c>
      <c r="I35" s="152">
        <f>IFERROR(VLOOKUP($A$3:$A$144,'MAY-2026'!$A$4:$ACP$113,MATCH('FY-(26-27)Q1'!$I$2:$J$2,'MAY-2026'!$A$2:$CQ$2,0),0),0)</f>
        <v>0</v>
      </c>
      <c r="J35" s="154">
        <f>IFERROR(VLOOKUP($A$3:$A$144,'MAY-2026'!$A$4:$ACP$113,MATCH('FY-(26-27)Q1'!$I$2:$J$2,'MAY-2026'!$A$2:$CQ$2,0),0),0)</f>
        <v>0</v>
      </c>
      <c r="K35" s="152">
        <f>IFERROR(VLOOKUP($A$3:$A$144,'JUNE-2026'!$A$4:$ADJ$113,MATCH('FY-(26-27)Q1'!$K$2:$L$2,'JUNE-2026'!$A$2:$DK$2,0),0),0)</f>
        <v>-33738</v>
      </c>
      <c r="L35" s="154">
        <f>IFERROR(VLOOKUP($A$3:$A$144,'JUNE-2026'!$A$4:$ADJ$113,MATCH('FY-(26-27)Q1'!$K$2:$L$2,'JUNE-2026'!$A$2:$DK$2,0),0),0)</f>
        <v>-0.67476000000000003</v>
      </c>
      <c r="M35" s="71">
        <f t="shared" si="10"/>
        <v>-33738</v>
      </c>
      <c r="N35" s="165">
        <f t="shared" si="11"/>
        <v>-0.67476000000000003</v>
      </c>
      <c r="O35" s="214"/>
      <c r="P35" s="152">
        <f>IFERROR(VLOOKUP($A$3:$A$144,'FY-(26-27)Q2'!$A$4:$ABW$124,MATCH('FY-(26-27)Q1'!$P$2:$Q$2,'FY-(26-27)Q2'!$A$2:$BX$2,0),0),0)</f>
        <v>-18550</v>
      </c>
      <c r="Q35" s="154">
        <f>IFERROR(VLOOKUP($A$3:$A$144,'FY-(26-27)Q2'!$A$4:$ABW$124,MATCH('FY-(26-27)Q1'!$P$2:$Q$2,'FY-(26-27)Q2'!$A$2:$BX$2,0),0),0)</f>
        <v>-0.1855</v>
      </c>
      <c r="R35" s="158"/>
      <c r="S35" s="152">
        <f>IFERROR(VLOOKUP($A$3:$A$144,'FY-(26-27)Q3'!$A$4:$ABW$117,MATCH('FY-(26-27)Q1'!$S$2:$T$2,'FY-(26-27)Q3'!$A$2:$BX$2,0),0),0)</f>
        <v>0</v>
      </c>
      <c r="T35" s="154">
        <f>IFERROR(VLOOKUP($A$3:$A$144,'FY-(26-27)Q3'!$A$4:$ABW$117,MATCH('FY-(26-27)Q1'!$S$2:$T$3,'FY-(26-27)Q3'!$A$2:$BX$2,0),0),0)</f>
        <v>0</v>
      </c>
      <c r="U35" s="158"/>
      <c r="V35" s="143"/>
      <c r="W35" s="149"/>
      <c r="Y35" s="153">
        <f t="shared" si="4"/>
        <v>-52288</v>
      </c>
      <c r="Z35" s="167">
        <f t="shared" si="5"/>
        <v>-0.86026000000000002</v>
      </c>
    </row>
    <row r="36" spans="1:34" ht="15" customHeight="1" x14ac:dyDescent="0.25">
      <c r="A36" s="35" t="s">
        <v>32</v>
      </c>
      <c r="B36" s="34" t="s">
        <v>63</v>
      </c>
      <c r="C36" s="35" t="s">
        <v>21</v>
      </c>
      <c r="D36" s="37" t="s">
        <v>40</v>
      </c>
      <c r="E36" s="37" t="s">
        <v>256</v>
      </c>
      <c r="F36" s="116">
        <v>1.1000000000000001</v>
      </c>
      <c r="G36" s="152">
        <f>IFERROR(VLOOKUP($A$3:$A$144,'APR-2026'!$A$4:$ABX$112,MATCH('FY-(26-27)Q1'!$G$2:$H$2,'APR-2026'!$A$2:$BY$2,0),0),0)</f>
        <v>16344</v>
      </c>
      <c r="H36" s="154">
        <f>IFERROR(VLOOKUP($A$3:$A$144,'APR-2026'!$A$4:$ABX$112,MATCH('FY-(26-27)Q1'!$G$2:$H$2,'APR-2026'!$A$2:$BY$2,0),0),0)</f>
        <v>0.14858181818181818</v>
      </c>
      <c r="I36" s="152">
        <f>IFERROR(VLOOKUP($A$3:$A$144,'MAY-2026'!$A$4:$ACP$113,MATCH('FY-(26-27)Q1'!$I$2:$J$2,'MAY-2026'!$A$2:$CQ$2,0),0),0)</f>
        <v>-99601</v>
      </c>
      <c r="J36" s="154">
        <f>IFERROR(VLOOKUP($A$3:$A$144,'MAY-2026'!$A$4:$ACP$113,MATCH('FY-(26-27)Q1'!$I$2:$J$2,'MAY-2026'!$A$2:$CQ$2,0),0),0)</f>
        <v>-0.90546363636363636</v>
      </c>
      <c r="K36" s="152">
        <f>IFERROR(VLOOKUP($A$3:$A$144,'JUNE-2026'!$A$4:$ADJ$113,MATCH('FY-(26-27)Q1'!$K$2:$L$2,'JUNE-2026'!$A$2:$DK$2,0),0),0)</f>
        <v>-235683</v>
      </c>
      <c r="L36" s="154">
        <f>IFERROR(VLOOKUP($A$3:$A$144,'JUNE-2026'!$A$4:$ADJ$113,MATCH('FY-(26-27)Q1'!$K$2:$L$2,'JUNE-2026'!$A$2:$DK$2,0),0),0)</f>
        <v>-2.1425727272727269</v>
      </c>
      <c r="M36" s="71">
        <f t="shared" si="10"/>
        <v>-318940</v>
      </c>
      <c r="N36" s="165">
        <f t="shared" si="11"/>
        <v>-2.8994545454545451</v>
      </c>
      <c r="O36" s="214"/>
      <c r="P36" s="152">
        <f>IFERROR(VLOOKUP($A$3:$A$144,'FY-(26-27)Q2'!$A$4:$ABW$124,MATCH('FY-(26-27)Q1'!$P$2:$Q$2,'FY-(26-27)Q2'!$A$2:$BX$2,0),0),0)</f>
        <v>171313</v>
      </c>
      <c r="Q36" s="154">
        <f>IFERROR(VLOOKUP($A$3:$A$144,'FY-(26-27)Q2'!$A$4:$ABW$124,MATCH('FY-(26-27)Q1'!$P$2:$Q$2,'FY-(26-27)Q2'!$A$2:$BX$2,0),0),0)</f>
        <v>1.5573909090909086</v>
      </c>
      <c r="R36" s="158"/>
      <c r="S36" s="152">
        <f>IFERROR(VLOOKUP($A$3:$A$144,'FY-(26-27)Q3'!$A$4:$ABW$117,MATCH('FY-(26-27)Q1'!$S$2:$T$2,'FY-(26-27)Q3'!$A$2:$BX$2,0),0),0)</f>
        <v>-21517</v>
      </c>
      <c r="T36" s="154">
        <f>IFERROR(VLOOKUP($A$3:$A$144,'FY-(26-27)Q3'!$A$4:$ABW$117,MATCH('FY-(26-27)Q1'!$S$2:$T$3,'FY-(26-27)Q3'!$A$2:$BX$2,0),0),0)</f>
        <v>0</v>
      </c>
      <c r="U36" s="158"/>
      <c r="V36" s="45"/>
      <c r="W36" s="72"/>
      <c r="Y36" s="153">
        <f t="shared" si="4"/>
        <v>-169144</v>
      </c>
      <c r="Z36" s="167">
        <f t="shared" si="5"/>
        <v>-1.3420636363636365</v>
      </c>
      <c r="AB36" s="1"/>
      <c r="AC36" s="1"/>
      <c r="AD36" s="1"/>
      <c r="AE36" s="1"/>
      <c r="AF36" s="1"/>
      <c r="AG36" s="1"/>
      <c r="AH36" s="1"/>
    </row>
    <row r="37" spans="1:34" ht="15" customHeight="1" x14ac:dyDescent="0.25">
      <c r="A37" s="35" t="s">
        <v>117</v>
      </c>
      <c r="B37" s="34" t="s">
        <v>63</v>
      </c>
      <c r="C37" s="35" t="s">
        <v>231</v>
      </c>
      <c r="D37" s="37" t="s">
        <v>66</v>
      </c>
      <c r="E37" s="37" t="s">
        <v>256</v>
      </c>
      <c r="F37" s="116">
        <v>0.5</v>
      </c>
      <c r="G37" s="152">
        <f>IFERROR(VLOOKUP($A$3:$A$144,'APR-2026'!$A$4:$ABX$112,MATCH('FY-(26-27)Q1'!$G$2:$H$2,'APR-2026'!$A$2:$BY$2,0),0),0)</f>
        <v>-203101</v>
      </c>
      <c r="H37" s="154">
        <f>IFERROR(VLOOKUP($A$3:$A$144,'APR-2026'!$A$4:$ABX$112,MATCH('FY-(26-27)Q1'!$G$2:$H$2,'APR-2026'!$A$2:$BY$2,0),0),0)</f>
        <v>-4.0620200000000004</v>
      </c>
      <c r="I37" s="152">
        <f>IFERROR(VLOOKUP($A$3:$A$144,'MAY-2026'!$A$4:$ACP$113,MATCH('FY-(26-27)Q1'!$I$2:$J$2,'MAY-2026'!$A$2:$CQ$2,0),0),0)</f>
        <v>-128306</v>
      </c>
      <c r="J37" s="154">
        <f>IFERROR(VLOOKUP($A$3:$A$144,'MAY-2026'!$A$4:$ACP$113,MATCH('FY-(26-27)Q1'!$I$2:$J$2,'MAY-2026'!$A$2:$CQ$2,0),0),0)</f>
        <v>-2.5661200000000002</v>
      </c>
      <c r="K37" s="152">
        <f>IFERROR(VLOOKUP($A$3:$A$144,'JUNE-2026'!$A$4:$ADJ$113,MATCH('FY-(26-27)Q1'!$K$2:$L$2,'JUNE-2026'!$A$2:$DK$2,0),0),0)</f>
        <v>0</v>
      </c>
      <c r="L37" s="154">
        <f>IFERROR(VLOOKUP($A$3:$A$144,'JUNE-2026'!$A$4:$ADJ$113,MATCH('FY-(26-27)Q1'!$K$2:$L$2,'JUNE-2026'!$A$2:$DK$2,0),0),0)</f>
        <v>0</v>
      </c>
      <c r="M37" s="71">
        <f t="shared" si="10"/>
        <v>-331407</v>
      </c>
      <c r="N37" s="165">
        <f t="shared" si="11"/>
        <v>-6.6281400000000001</v>
      </c>
      <c r="O37" s="214"/>
      <c r="P37" s="152">
        <f>IFERROR(VLOOKUP($A$3:$A$144,'FY-(26-27)Q2'!$A$4:$ABW$124,MATCH('FY-(26-27)Q1'!$P$2:$Q$2,'FY-(26-27)Q2'!$A$2:$BX$2,0),0),0)</f>
        <v>0</v>
      </c>
      <c r="Q37" s="154">
        <f>IFERROR(VLOOKUP($A$3:$A$144,'FY-(26-27)Q2'!$A$4:$ABW$124,MATCH('FY-(26-27)Q1'!$P$2:$Q$2,'FY-(26-27)Q2'!$A$2:$BX$2,0),0),0)</f>
        <v>0</v>
      </c>
      <c r="R37" s="158"/>
      <c r="S37" s="152">
        <f>IFERROR(VLOOKUP($A$3:$A$144,'FY-(26-27)Q3'!$A$4:$ABW$117,MATCH('FY-(26-27)Q1'!$S$2:$T$2,'FY-(26-27)Q3'!$A$2:$BX$2,0),0),0)</f>
        <v>0</v>
      </c>
      <c r="T37" s="154">
        <f>IFERROR(VLOOKUP($A$3:$A$144,'FY-(26-27)Q3'!$A$4:$ABW$117,MATCH('FY-(26-27)Q1'!$S$2:$T$3,'FY-(26-27)Q3'!$A$2:$BX$2,0),0),0)</f>
        <v>0</v>
      </c>
      <c r="U37" s="158"/>
      <c r="V37" s="45"/>
      <c r="W37" s="72"/>
      <c r="Y37" s="153">
        <f t="shared" si="4"/>
        <v>-331407</v>
      </c>
      <c r="Z37" s="167">
        <f t="shared" si="5"/>
        <v>-6.6281400000000001</v>
      </c>
    </row>
    <row r="38" spans="1:34" ht="15" customHeight="1" x14ac:dyDescent="0.25">
      <c r="A38" s="35" t="s">
        <v>97</v>
      </c>
      <c r="B38" s="34" t="s">
        <v>68</v>
      </c>
      <c r="C38" s="34" t="s">
        <v>206</v>
      </c>
      <c r="D38" s="37" t="s">
        <v>107</v>
      </c>
      <c r="E38" s="37" t="s">
        <v>107</v>
      </c>
      <c r="F38" s="116">
        <v>2.2999999999999998</v>
      </c>
      <c r="G38" s="152">
        <f>IFERROR(VLOOKUP($A$3:$A$144,'APR-2026'!$A$4:$ABX$112,MATCH('FY-(26-27)Q1'!$G$2:$H$2,'APR-2026'!$A$2:$BY$2,0),0),0)</f>
        <v>3190697</v>
      </c>
      <c r="H38" s="154">
        <f>IFERROR(VLOOKUP($A$3:$A$144,'APR-2026'!$A$4:$ABX$112,MATCH('FY-(26-27)Q1'!$G$2:$H$2,'APR-2026'!$A$2:$BY$2,0),0),0)</f>
        <v>13.872595652173912</v>
      </c>
      <c r="I38" s="152">
        <f>IFERROR(VLOOKUP($A$3:$A$144,'MAY-2026'!$A$4:$ACP$113,MATCH('FY-(26-27)Q1'!$I$2:$J$2,'MAY-2026'!$A$2:$CQ$2,0),0),0)</f>
        <v>688029</v>
      </c>
      <c r="J38" s="154">
        <f>IFERROR(VLOOKUP($A$3:$A$144,'MAY-2026'!$A$4:$ACP$113,MATCH('FY-(26-27)Q1'!$I$2:$J$2,'MAY-2026'!$A$2:$CQ$2,0),0),0)</f>
        <v>2.9914304347826084</v>
      </c>
      <c r="K38" s="152">
        <f>IFERROR(VLOOKUP($A$3:$A$144,'JUNE-2026'!$A$4:$ADJ$113,MATCH('FY-(26-27)Q1'!$K$2:$L$2,'JUNE-2026'!$A$2:$DK$2,0),0),0)</f>
        <v>282377</v>
      </c>
      <c r="L38" s="154">
        <f>IFERROR(VLOOKUP($A$3:$A$144,'JUNE-2026'!$A$4:$ADJ$113,MATCH('FY-(26-27)Q1'!$K$2:$L$2,'JUNE-2026'!$A$2:$DK$2,0),0),0)</f>
        <v>1.2277260869565219</v>
      </c>
      <c r="M38" s="71">
        <f t="shared" si="10"/>
        <v>4161103</v>
      </c>
      <c r="N38" s="165">
        <f t="shared" si="11"/>
        <v>18.091752173913044</v>
      </c>
      <c r="O38" s="214"/>
      <c r="P38" s="152">
        <f>IFERROR(VLOOKUP($A$3:$A$144,'FY-(26-27)Q2'!$A$4:$ABW$124,MATCH('FY-(26-27)Q1'!$P$2:$Q$2,'FY-(26-27)Q2'!$A$2:$BX$2,0),0),0)</f>
        <v>-1258477</v>
      </c>
      <c r="Q38" s="154">
        <f>IFERROR(VLOOKUP($A$3:$A$144,'FY-(26-27)Q2'!$A$4:$ABW$124,MATCH('FY-(26-27)Q1'!$P$2:$Q$2,'FY-(26-27)Q2'!$A$2:$BX$2,0),0),0)</f>
        <v>-5.4716391304347844</v>
      </c>
      <c r="R38" s="158"/>
      <c r="S38" s="152">
        <f>IFERROR(VLOOKUP($A$3:$A$144,'FY-(26-27)Q3'!$A$4:$ABW$117,MATCH('FY-(26-27)Q1'!$S$2:$T$2,'FY-(26-27)Q3'!$A$2:$BX$2,0),0),0)</f>
        <v>-699679</v>
      </c>
      <c r="T38" s="154">
        <f>IFERROR(VLOOKUP($A$3:$A$144,'FY-(26-27)Q3'!$A$4:$ABW$117,MATCH('FY-(26-27)Q1'!$S$2:$T$3,'FY-(26-27)Q3'!$A$2:$BX$2,0),0),0)</f>
        <v>0</v>
      </c>
      <c r="U38" s="158"/>
      <c r="V38" s="45"/>
      <c r="W38" s="72"/>
      <c r="Y38" s="153">
        <f t="shared" si="4"/>
        <v>2202947</v>
      </c>
      <c r="Z38" s="167">
        <f t="shared" si="5"/>
        <v>12.620113043478259</v>
      </c>
    </row>
    <row r="39" spans="1:34" s="131" customFormat="1" ht="15" customHeight="1" x14ac:dyDescent="0.25">
      <c r="A39" s="141" t="s">
        <v>335</v>
      </c>
      <c r="B39" s="140" t="s">
        <v>68</v>
      </c>
      <c r="C39" s="140" t="s">
        <v>342</v>
      </c>
      <c r="D39" s="141" t="s">
        <v>334</v>
      </c>
      <c r="E39" s="141"/>
      <c r="F39" s="155">
        <v>0.2</v>
      </c>
      <c r="G39" s="152">
        <f>IFERROR(VLOOKUP($A$3:$A$144,'APR-2026'!$A$4:$ABX$112,MATCH('FY-(26-27)Q1'!$G$2:$H$2,'APR-2026'!$A$2:$BY$2,0),0),0)</f>
        <v>0</v>
      </c>
      <c r="H39" s="154">
        <f>IFERROR(VLOOKUP($A$3:$A$144,'APR-2026'!$A$4:$ABX$112,MATCH('FY-(26-27)Q1'!$G$2:$H$2,'APR-2026'!$A$2:$BY$2,0),0),0)</f>
        <v>0</v>
      </c>
      <c r="I39" s="152">
        <f>IFERROR(VLOOKUP($A$3:$A$144,'MAY-2026'!$A$4:$ACP$113,MATCH('FY-(26-27)Q1'!$I$2:$J$2,'MAY-2026'!$A$2:$CQ$2,0),0),0)</f>
        <v>0</v>
      </c>
      <c r="J39" s="154">
        <f>IFERROR(VLOOKUP($A$3:$A$144,'MAY-2026'!$A$4:$ACP$113,MATCH('FY-(26-27)Q1'!$I$2:$J$2,'MAY-2026'!$A$2:$CQ$2,0),0),0)</f>
        <v>0</v>
      </c>
      <c r="K39" s="152">
        <f>IFERROR(VLOOKUP($A$3:$A$144,'JUNE-2026'!$A$4:$ADJ$113,MATCH('FY-(26-27)Q1'!$K$2:$L$2,'JUNE-2026'!$A$2:$DK$2,0),0),0)</f>
        <v>0</v>
      </c>
      <c r="L39" s="154">
        <f>IFERROR(VLOOKUP($A$3:$A$144,'JUNE-2026'!$A$4:$ADJ$113,MATCH('FY-(26-27)Q1'!$K$2:$L$2,'JUNE-2026'!$A$2:$DK$2,0),0),0)</f>
        <v>0</v>
      </c>
      <c r="M39" s="71">
        <f t="shared" si="10"/>
        <v>0</v>
      </c>
      <c r="N39" s="165">
        <f t="shared" si="11"/>
        <v>0</v>
      </c>
      <c r="O39" s="214"/>
      <c r="P39" s="152">
        <f>IFERROR(VLOOKUP($A$3:$A$144,'FY-(26-27)Q2'!$A$4:$ABW$124,MATCH('FY-(26-27)Q1'!$P$2:$Q$2,'FY-(26-27)Q2'!$A$2:$BX$2,0),0),0)</f>
        <v>0</v>
      </c>
      <c r="Q39" s="154">
        <f>IFERROR(VLOOKUP($A$3:$A$144,'FY-(26-27)Q2'!$A$4:$ABW$124,MATCH('FY-(26-27)Q1'!$P$2:$Q$2,'FY-(26-27)Q2'!$A$2:$BX$2,0),0),0)</f>
        <v>0</v>
      </c>
      <c r="R39" s="158"/>
      <c r="S39" s="152">
        <f>IFERROR(VLOOKUP($A$3:$A$144,'FY-(26-27)Q3'!$A$4:$ABW$117,MATCH('FY-(26-27)Q1'!$S$2:$T$2,'FY-(26-27)Q3'!$A$2:$BX$2,0),0),0)</f>
        <v>101071</v>
      </c>
      <c r="T39" s="154">
        <f>IFERROR(VLOOKUP($A$3:$A$144,'FY-(26-27)Q3'!$A$4:$ABW$117,MATCH('FY-(26-27)Q1'!$S$2:$T$3,'FY-(26-27)Q3'!$A$2:$BX$2,0),0),0)</f>
        <v>0</v>
      </c>
      <c r="U39" s="158"/>
      <c r="V39" s="143"/>
      <c r="W39" s="149"/>
      <c r="Y39" s="153">
        <f t="shared" si="4"/>
        <v>101071</v>
      </c>
      <c r="Z39" s="167">
        <f t="shared" si="5"/>
        <v>0</v>
      </c>
    </row>
    <row r="40" spans="1:34" s="131" customFormat="1" ht="15" customHeight="1" x14ac:dyDescent="0.25">
      <c r="A40" s="141" t="s">
        <v>302</v>
      </c>
      <c r="B40" s="140" t="s">
        <v>297</v>
      </c>
      <c r="C40" s="140" t="s">
        <v>298</v>
      </c>
      <c r="D40" s="141"/>
      <c r="E40" s="141" t="s">
        <v>256</v>
      </c>
      <c r="F40" s="155">
        <v>0.2</v>
      </c>
      <c r="G40" s="152">
        <f>IFERROR(VLOOKUP($A$3:$A$144,'APR-2026'!$A$4:$ABX$112,MATCH('FY-(26-27)Q1'!$G$2:$H$2,'APR-2026'!$A$2:$BY$2,0),0),0)</f>
        <v>0</v>
      </c>
      <c r="H40" s="154">
        <f>IFERROR(VLOOKUP($A$3:$A$144,'APR-2026'!$A$4:$ABX$112,MATCH('FY-(26-27)Q1'!$G$2:$H$2,'APR-2026'!$A$2:$BY$2,0),0),0)</f>
        <v>0</v>
      </c>
      <c r="I40" s="152">
        <f>IFERROR(VLOOKUP($A$3:$A$144,'MAY-2026'!$A$4:$ACP$113,MATCH('FY-(26-27)Q1'!$I$2:$J$2,'MAY-2026'!$A$2:$CQ$2,0),0),0)</f>
        <v>0</v>
      </c>
      <c r="J40" s="154">
        <f>IFERROR(VLOOKUP($A$3:$A$144,'MAY-2026'!$A$4:$ACP$113,MATCH('FY-(26-27)Q1'!$I$2:$J$2,'MAY-2026'!$A$2:$CQ$2,0),0),0)</f>
        <v>0</v>
      </c>
      <c r="K40" s="152">
        <f>IFERROR(VLOOKUP($A$3:$A$144,'JUNE-2026'!$A$4:$ADJ$113,MATCH('FY-(26-27)Q1'!$K$2:$L$2,'JUNE-2026'!$A$2:$DK$2,0),0),0)</f>
        <v>0</v>
      </c>
      <c r="L40" s="154">
        <f>IFERROR(VLOOKUP($A$3:$A$144,'JUNE-2026'!$A$4:$ADJ$113,MATCH('FY-(26-27)Q1'!$K$2:$L$2,'JUNE-2026'!$A$2:$DK$2,0),0),0)</f>
        <v>0</v>
      </c>
      <c r="M40" s="71">
        <f t="shared" si="10"/>
        <v>0</v>
      </c>
      <c r="N40" s="165">
        <f t="shared" si="11"/>
        <v>0</v>
      </c>
      <c r="O40" s="214"/>
      <c r="P40" s="152">
        <f>IFERROR(VLOOKUP($A$3:$A$144,'FY-(26-27)Q2'!$A$4:$ABW$124,MATCH('FY-(26-27)Q1'!$P$2:$Q$2,'FY-(26-27)Q2'!$A$2:$BX$2,0),0),0)</f>
        <v>-43666</v>
      </c>
      <c r="Q40" s="154">
        <f>IFERROR(VLOOKUP($A$3:$A$144,'FY-(26-27)Q2'!$A$4:$ABW$124,MATCH('FY-(26-27)Q1'!$P$2:$Q$2,'FY-(26-27)Q2'!$A$2:$BX$2,0),0),0)</f>
        <v>-2.1833</v>
      </c>
      <c r="R40" s="158"/>
      <c r="S40" s="152">
        <f>IFERROR(VLOOKUP($A$3:$A$144,'FY-(26-27)Q3'!$A$4:$ABW$117,MATCH('FY-(26-27)Q1'!$S$2:$T$2,'FY-(26-27)Q3'!$A$2:$BX$2,0),0),0)</f>
        <v>-45804</v>
      </c>
      <c r="T40" s="154">
        <f>IFERROR(VLOOKUP($A$3:$A$144,'FY-(26-27)Q3'!$A$4:$ABW$117,MATCH('FY-(26-27)Q1'!$S$2:$T$3,'FY-(26-27)Q3'!$A$2:$BX$2,0),0),0)</f>
        <v>0</v>
      </c>
      <c r="U40" s="158"/>
      <c r="V40" s="143"/>
      <c r="W40" s="149"/>
      <c r="Y40" s="153">
        <f t="shared" si="4"/>
        <v>-89470</v>
      </c>
      <c r="Z40" s="167">
        <f t="shared" si="5"/>
        <v>-2.1833</v>
      </c>
    </row>
    <row r="41" spans="1:34" ht="15" customHeight="1" x14ac:dyDescent="0.25">
      <c r="A41" s="35" t="s">
        <v>29</v>
      </c>
      <c r="B41" s="34" t="s">
        <v>22</v>
      </c>
      <c r="C41" s="34" t="s">
        <v>151</v>
      </c>
      <c r="D41" s="37" t="s">
        <v>5</v>
      </c>
      <c r="E41" s="37" t="s">
        <v>256</v>
      </c>
      <c r="F41" s="116">
        <v>5</v>
      </c>
      <c r="G41" s="152">
        <f>IFERROR(VLOOKUP($A$3:$A$144,'APR-2026'!$A$4:$ABX$112,MATCH('FY-(26-27)Q1'!$G$2:$H$2,'APR-2026'!$A$2:$BY$2,0),0),0)</f>
        <v>1319283</v>
      </c>
      <c r="H41" s="154">
        <f>IFERROR(VLOOKUP($A$3:$A$144,'APR-2026'!$A$4:$ABX$112,MATCH('FY-(26-27)Q1'!$G$2:$H$2,'APR-2026'!$A$2:$BY$2,0),0),0)</f>
        <v>2.6385659999999995</v>
      </c>
      <c r="I41" s="152">
        <f>IFERROR(VLOOKUP($A$3:$A$144,'MAY-2026'!$A$4:$ACP$113,MATCH('FY-(26-27)Q1'!$I$2:$J$2,'MAY-2026'!$A$2:$CQ$2,0),0),0)</f>
        <v>841036</v>
      </c>
      <c r="J41" s="154">
        <f>IFERROR(VLOOKUP($A$3:$A$144,'MAY-2026'!$A$4:$ACP$113,MATCH('FY-(26-27)Q1'!$I$2:$J$2,'MAY-2026'!$A$2:$CQ$2,0),0),0)</f>
        <v>1.682072</v>
      </c>
      <c r="K41" s="152">
        <f>IFERROR(VLOOKUP($A$3:$A$144,'JUNE-2026'!$A$4:$ADJ$113,MATCH('FY-(26-27)Q1'!$K$2:$L$2,'JUNE-2026'!$A$2:$DK$2,0),0),0)</f>
        <v>906087</v>
      </c>
      <c r="L41" s="154">
        <f>IFERROR(VLOOKUP($A$3:$A$144,'JUNE-2026'!$A$4:$ADJ$113,MATCH('FY-(26-27)Q1'!$K$2:$L$2,'JUNE-2026'!$A$2:$DK$2,0),0),0)</f>
        <v>1.812174</v>
      </c>
      <c r="M41" s="71">
        <f t="shared" si="10"/>
        <v>3066406</v>
      </c>
      <c r="N41" s="165">
        <f t="shared" si="11"/>
        <v>6.1328119999999995</v>
      </c>
      <c r="O41" s="214"/>
      <c r="P41" s="152">
        <f>IFERROR(VLOOKUP($A$3:$A$144,'FY-(26-27)Q2'!$A$4:$ABW$124,MATCH('FY-(26-27)Q1'!$P$2:$Q$2,'FY-(26-27)Q2'!$A$2:$BX$2,0),0),0)</f>
        <v>-525352</v>
      </c>
      <c r="Q41" s="154">
        <f>IFERROR(VLOOKUP($A$3:$A$144,'FY-(26-27)Q2'!$A$4:$ABW$124,MATCH('FY-(26-27)Q1'!$P$2:$Q$2,'FY-(26-27)Q2'!$A$2:$BX$2,0),0),0)</f>
        <v>-1.0507040000000001</v>
      </c>
      <c r="R41" s="158"/>
      <c r="S41" s="152">
        <f>IFERROR(VLOOKUP($A$3:$A$144,'FY-(26-27)Q3'!$A$4:$ABW$117,MATCH('FY-(26-27)Q1'!$S$2:$T$2,'FY-(26-27)Q3'!$A$2:$BX$2,0),0),0)</f>
        <v>2290800</v>
      </c>
      <c r="T41" s="154">
        <f>IFERROR(VLOOKUP($A$3:$A$144,'FY-(26-27)Q3'!$A$4:$ABW$117,MATCH('FY-(26-27)Q1'!$S$2:$T$3,'FY-(26-27)Q3'!$A$2:$BX$2,0),0),0)</f>
        <v>0</v>
      </c>
      <c r="U41" s="158"/>
      <c r="V41" s="45"/>
      <c r="W41" s="72"/>
      <c r="Y41" s="153">
        <f t="shared" si="4"/>
        <v>4831854</v>
      </c>
      <c r="Z41" s="167">
        <f t="shared" si="5"/>
        <v>5.0821079999999998</v>
      </c>
    </row>
    <row r="42" spans="1:34" ht="15" customHeight="1" x14ac:dyDescent="0.25">
      <c r="A42" s="35" t="s">
        <v>28</v>
      </c>
      <c r="B42" s="34" t="s">
        <v>247</v>
      </c>
      <c r="C42" s="34" t="s">
        <v>121</v>
      </c>
      <c r="D42" s="37" t="s">
        <v>91</v>
      </c>
      <c r="E42" s="37" t="s">
        <v>256</v>
      </c>
      <c r="F42" s="116">
        <v>10</v>
      </c>
      <c r="G42" s="152">
        <f>IFERROR(VLOOKUP($A$3:$A$144,'APR-2026'!$A$4:$ABX$112,MATCH('FY-(26-27)Q1'!$G$2:$H$2,'APR-2026'!$A$2:$BY$2,0),0),0)</f>
        <v>2899700</v>
      </c>
      <c r="H42" s="154">
        <f>IFERROR(VLOOKUP($A$3:$A$144,'APR-2026'!$A$4:$ABX$112,MATCH('FY-(26-27)Q1'!$G$2:$H$2,'APR-2026'!$A$2:$BY$2,0),0),0)</f>
        <v>2.8997000000000002</v>
      </c>
      <c r="I42" s="152">
        <f>IFERROR(VLOOKUP($A$3:$A$144,'MAY-2026'!$A$4:$ACP$113,MATCH('FY-(26-27)Q1'!$I$2:$J$2,'MAY-2026'!$A$2:$CQ$2,0),0),0)</f>
        <v>-30465</v>
      </c>
      <c r="J42" s="154">
        <f>IFERROR(VLOOKUP($A$3:$A$144,'MAY-2026'!$A$4:$ACP$113,MATCH('FY-(26-27)Q1'!$I$2:$J$2,'MAY-2026'!$A$2:$CQ$2,0),0),0)</f>
        <v>-3.0464999999999999E-2</v>
      </c>
      <c r="K42" s="152">
        <f>IFERROR(VLOOKUP($A$3:$A$144,'JUNE-2026'!$A$4:$ADJ$113,MATCH('FY-(26-27)Q1'!$K$2:$L$2,'JUNE-2026'!$A$2:$DK$2,0),0),0)</f>
        <v>724171</v>
      </c>
      <c r="L42" s="154">
        <f>IFERROR(VLOOKUP($A$3:$A$144,'JUNE-2026'!$A$4:$ADJ$113,MATCH('FY-(26-27)Q1'!$K$2:$L$2,'JUNE-2026'!$A$2:$DK$2,0),0),0)</f>
        <v>0.72417100000000012</v>
      </c>
      <c r="M42" s="71">
        <f t="shared" si="10"/>
        <v>3593406</v>
      </c>
      <c r="N42" s="165">
        <f t="shared" si="11"/>
        <v>3.5934060000000003</v>
      </c>
      <c r="O42" s="214"/>
      <c r="P42" s="152">
        <f>IFERROR(VLOOKUP($A$3:$A$144,'FY-(26-27)Q2'!$A$4:$ABW$124,MATCH('FY-(26-27)Q1'!$P$2:$Q$2,'FY-(26-27)Q2'!$A$2:$BX$2,0),0),0)</f>
        <v>1687341</v>
      </c>
      <c r="Q42" s="154">
        <f>IFERROR(VLOOKUP($A$3:$A$144,'FY-(26-27)Q2'!$A$4:$ABW$124,MATCH('FY-(26-27)Q1'!$P$2:$Q$2,'FY-(26-27)Q2'!$A$2:$BX$2,0),0),0)</f>
        <v>1.687341</v>
      </c>
      <c r="R42" s="158"/>
      <c r="S42" s="152">
        <f>IFERROR(VLOOKUP($A$3:$A$144,'FY-(26-27)Q3'!$A$4:$ABW$117,MATCH('FY-(26-27)Q1'!$S$2:$T$2,'FY-(26-27)Q3'!$A$2:$BX$2,0),0),0)</f>
        <v>225891</v>
      </c>
      <c r="T42" s="154">
        <f>IFERROR(VLOOKUP($A$3:$A$144,'FY-(26-27)Q3'!$A$4:$ABW$117,MATCH('FY-(26-27)Q1'!$S$2:$T$3,'FY-(26-27)Q3'!$A$2:$BX$2,0),0),0)</f>
        <v>0</v>
      </c>
      <c r="U42" s="158"/>
      <c r="V42" s="45"/>
      <c r="W42" s="72"/>
      <c r="X42" s="131"/>
      <c r="Y42" s="153">
        <f t="shared" si="4"/>
        <v>5506638</v>
      </c>
      <c r="Z42" s="167">
        <f t="shared" si="5"/>
        <v>5.2807469999999999</v>
      </c>
      <c r="AB42" s="130"/>
    </row>
    <row r="43" spans="1:34" s="131" customFormat="1" ht="15" customHeight="1" x14ac:dyDescent="0.25">
      <c r="A43" s="141" t="s">
        <v>191</v>
      </c>
      <c r="B43" s="140" t="s">
        <v>184</v>
      </c>
      <c r="C43" s="140" t="s">
        <v>185</v>
      </c>
      <c r="D43" s="141" t="s">
        <v>91</v>
      </c>
      <c r="E43" s="141" t="s">
        <v>256</v>
      </c>
      <c r="F43" s="155">
        <v>13</v>
      </c>
      <c r="G43" s="152">
        <f>IFERROR(VLOOKUP($A$3:$A$144,'APR-2026'!$A$4:$ABX$112,MATCH('FY-(26-27)Q1'!$G$2:$H$2,'APR-2026'!$A$2:$BY$2,0),0),0)</f>
        <v>2457630</v>
      </c>
      <c r="H43" s="154">
        <f>IFERROR(VLOOKUP($A$3:$A$144,'APR-2026'!$A$4:$ABX$112,MATCH('FY-(26-27)Q1'!$G$2:$H$2,'APR-2026'!$A$2:$BY$2,0),0),0)</f>
        <v>2.45763</v>
      </c>
      <c r="I43" s="152">
        <f>IFERROR(VLOOKUP($A$3:$A$144,'MAY-2026'!$A$4:$ACP$113,MATCH('FY-(26-27)Q1'!$I$2:$J$2,'MAY-2026'!$A$2:$CQ$2,0),0),0)</f>
        <v>357271</v>
      </c>
      <c r="J43" s="154">
        <f>IFERROR(VLOOKUP($A$3:$A$144,'MAY-2026'!$A$4:$ACP$113,MATCH('FY-(26-27)Q1'!$I$2:$J$2,'MAY-2026'!$A$2:$CQ$2,0),0),0)</f>
        <v>0.27482384615384614</v>
      </c>
      <c r="K43" s="152">
        <f>IFERROR(VLOOKUP($A$3:$A$144,'JUNE-2026'!$A$4:$ADJ$113,MATCH('FY-(26-27)Q1'!$K$2:$L$2,'JUNE-2026'!$A$2:$DK$2,0),0),0)</f>
        <v>889184</v>
      </c>
      <c r="L43" s="154">
        <f>IFERROR(VLOOKUP($A$3:$A$144,'JUNE-2026'!$A$4:$ADJ$113,MATCH('FY-(26-27)Q1'!$K$2:$L$2,'JUNE-2026'!$A$2:$DK$2,0),0),0)</f>
        <v>0.6839876923076923</v>
      </c>
      <c r="M43" s="71">
        <f t="shared" si="10"/>
        <v>3704085</v>
      </c>
      <c r="N43" s="165">
        <f t="shared" si="11"/>
        <v>3.4164415384615383</v>
      </c>
      <c r="O43" s="214"/>
      <c r="P43" s="152">
        <f>IFERROR(VLOOKUP($A$3:$A$144,'FY-(26-27)Q2'!$A$4:$ABW$124,MATCH('FY-(26-27)Q1'!$P$2:$Q$2,'FY-(26-27)Q2'!$A$2:$BX$2,0),0),0)</f>
        <v>1736266</v>
      </c>
      <c r="Q43" s="154">
        <f>IFERROR(VLOOKUP($A$3:$A$144,'FY-(26-27)Q2'!$A$4:$ABW$124,MATCH('FY-(26-27)Q1'!$P$2:$Q$2,'FY-(26-27)Q2'!$A$2:$BX$2,0),0),0)</f>
        <v>1.335589230769231</v>
      </c>
      <c r="R43" s="158"/>
      <c r="S43" s="152">
        <f>IFERROR(VLOOKUP($A$3:$A$144,'FY-(26-27)Q3'!$A$4:$ABW$117,MATCH('FY-(26-27)Q1'!$S$2:$T$2,'FY-(26-27)Q3'!$A$2:$BX$2,0),0),0)</f>
        <v>0</v>
      </c>
      <c r="T43" s="154">
        <f>IFERROR(VLOOKUP($A$3:$A$144,'FY-(26-27)Q3'!$A$4:$ABW$117,MATCH('FY-(26-27)Q1'!$S$2:$T$3,'FY-(26-27)Q3'!$A$2:$BX$2,0),0),0)</f>
        <v>0</v>
      </c>
      <c r="U43" s="158"/>
      <c r="V43" s="143"/>
      <c r="W43" s="149"/>
      <c r="Y43" s="153">
        <f t="shared" si="4"/>
        <v>5440351</v>
      </c>
      <c r="Z43" s="167">
        <f t="shared" si="5"/>
        <v>4.7520307692307693</v>
      </c>
      <c r="AA43"/>
      <c r="AB43"/>
      <c r="AC43"/>
      <c r="AD43"/>
      <c r="AE43"/>
      <c r="AF43"/>
      <c r="AG43"/>
      <c r="AH43"/>
    </row>
    <row r="44" spans="1:34" ht="15" customHeight="1" x14ac:dyDescent="0.25">
      <c r="A44" s="141" t="s">
        <v>147</v>
      </c>
      <c r="B44" s="140" t="s">
        <v>146</v>
      </c>
      <c r="C44" s="140" t="s">
        <v>140</v>
      </c>
      <c r="D44" s="141" t="s">
        <v>91</v>
      </c>
      <c r="E44" s="141" t="s">
        <v>256</v>
      </c>
      <c r="F44" s="155">
        <v>1.5</v>
      </c>
      <c r="G44" s="152">
        <f>IFERROR(VLOOKUP($A$3:$A$144,'APR-2026'!$A$4:$ABX$112,MATCH('FY-(26-27)Q1'!$G$2:$H$2,'APR-2026'!$A$2:$BY$2,0),0),0)</f>
        <v>339000</v>
      </c>
      <c r="H44" s="154">
        <f>IFERROR(VLOOKUP($A$3:$A$144,'APR-2026'!$A$4:$ABX$112,MATCH('FY-(26-27)Q1'!$G$2:$H$2,'APR-2026'!$A$2:$BY$2,0),0),0)</f>
        <v>2.2599999999999998</v>
      </c>
      <c r="I44" s="152">
        <f>IFERROR(VLOOKUP($A$3:$A$144,'MAY-2026'!$A$4:$ACP$113,MATCH('FY-(26-27)Q1'!$I$2:$J$2,'MAY-2026'!$A$2:$CQ$2,0),0),0)</f>
        <v>-17574</v>
      </c>
      <c r="J44" s="154">
        <f>IFERROR(VLOOKUP($A$3:$A$144,'MAY-2026'!$A$4:$ACP$113,MATCH('FY-(26-27)Q1'!$I$2:$J$2,'MAY-2026'!$A$2:$CQ$2,0),0),0)</f>
        <v>-0.11716</v>
      </c>
      <c r="K44" s="152">
        <f>IFERROR(VLOOKUP($A$3:$A$144,'JUNE-2026'!$A$4:$ADJ$113,MATCH('FY-(26-27)Q1'!$K$2:$L$2,'JUNE-2026'!$A$2:$DK$2,0),0),0)</f>
        <v>103615</v>
      </c>
      <c r="L44" s="154">
        <f>IFERROR(VLOOKUP($A$3:$A$144,'JUNE-2026'!$A$4:$ADJ$113,MATCH('FY-(26-27)Q1'!$K$2:$L$2,'JUNE-2026'!$A$2:$DK$2,0),0),0)</f>
        <v>0.69076666666666675</v>
      </c>
      <c r="M44" s="71">
        <f t="shared" si="10"/>
        <v>425041</v>
      </c>
      <c r="N44" s="165">
        <f t="shared" si="11"/>
        <v>2.8336066666666664</v>
      </c>
      <c r="O44" s="214"/>
      <c r="P44" s="152">
        <f>IFERROR(VLOOKUP($A$3:$A$144,'FY-(26-27)Q2'!$A$4:$ABW$124,MATCH('FY-(26-27)Q1'!$P$2:$Q$2,'FY-(26-27)Q2'!$A$2:$BX$2,0),0),0)</f>
        <v>173420</v>
      </c>
      <c r="Q44" s="154">
        <f>IFERROR(VLOOKUP($A$3:$A$144,'FY-(26-27)Q2'!$A$4:$ABW$124,MATCH('FY-(26-27)Q1'!$P$2:$Q$2,'FY-(26-27)Q2'!$A$2:$BX$2,0),0),0)</f>
        <v>1.1561333333333335</v>
      </c>
      <c r="R44" s="158"/>
      <c r="S44" s="152">
        <f>IFERROR(VLOOKUP($A$3:$A$144,'FY-(26-27)Q3'!$A$4:$ABW$117,MATCH('FY-(26-27)Q1'!$S$2:$T$2,'FY-(26-27)Q3'!$A$2:$BX$2,0),0),0)</f>
        <v>0</v>
      </c>
      <c r="T44" s="154">
        <f>IFERROR(VLOOKUP($A$3:$A$144,'FY-(26-27)Q3'!$A$4:$ABW$117,MATCH('FY-(26-27)Q1'!$S$2:$T$3,'FY-(26-27)Q3'!$A$2:$BX$2,0),0),0)</f>
        <v>0</v>
      </c>
      <c r="U44" s="158"/>
      <c r="V44" s="143"/>
      <c r="W44" s="149"/>
      <c r="Y44" s="153">
        <f t="shared" si="4"/>
        <v>598461</v>
      </c>
      <c r="Z44" s="167">
        <f t="shared" si="5"/>
        <v>3.9897399999999998</v>
      </c>
      <c r="AA44" s="1"/>
      <c r="AD44" s="131"/>
      <c r="AE44" s="131"/>
      <c r="AF44" s="131"/>
      <c r="AG44" s="131"/>
      <c r="AH44" s="131"/>
    </row>
    <row r="45" spans="1:34" s="1" customFormat="1" ht="15" customHeight="1" x14ac:dyDescent="0.25">
      <c r="A45" s="141" t="s">
        <v>194</v>
      </c>
      <c r="B45" s="34" t="s">
        <v>246</v>
      </c>
      <c r="C45" s="34" t="s">
        <v>180</v>
      </c>
      <c r="D45" s="37" t="s">
        <v>91</v>
      </c>
      <c r="E45" s="37" t="s">
        <v>256</v>
      </c>
      <c r="F45" s="116">
        <v>6</v>
      </c>
      <c r="G45" s="152">
        <f>IFERROR(VLOOKUP($A$3:$A$144,'APR-2026'!$A$4:$ABX$112,MATCH('FY-(26-27)Q1'!$G$2:$H$2,'APR-2026'!$A$2:$BY$2,0),0),0)</f>
        <v>679300</v>
      </c>
      <c r="H45" s="154">
        <f>IFERROR(VLOOKUP($A$3:$A$144,'APR-2026'!$A$4:$ABX$112,MATCH('FY-(26-27)Q1'!$G$2:$H$2,'APR-2026'!$A$2:$BY$2,0),0),0)</f>
        <v>2.2643333333333335</v>
      </c>
      <c r="I45" s="152">
        <f>IFERROR(VLOOKUP($A$3:$A$144,'MAY-2026'!$A$4:$ACP$113,MATCH('FY-(26-27)Q1'!$I$2:$J$2,'MAY-2026'!$A$2:$CQ$2,0),0),0)</f>
        <v>199400</v>
      </c>
      <c r="J45" s="154">
        <f>IFERROR(VLOOKUP($A$3:$A$144,'MAY-2026'!$A$4:$ACP$113,MATCH('FY-(26-27)Q1'!$I$2:$J$2,'MAY-2026'!$A$2:$CQ$2,0),0),0)</f>
        <v>0.33233333333333337</v>
      </c>
      <c r="K45" s="152">
        <f>IFERROR(VLOOKUP($A$3:$A$144,'JUNE-2026'!$A$4:$ADJ$113,MATCH('FY-(26-27)Q1'!$K$2:$L$2,'JUNE-2026'!$A$2:$DK$2,0),0),0)</f>
        <v>436737</v>
      </c>
      <c r="L45" s="154">
        <f>IFERROR(VLOOKUP($A$3:$A$144,'JUNE-2026'!$A$4:$ADJ$113,MATCH('FY-(26-27)Q1'!$K$2:$L$2,'JUNE-2026'!$A$2:$DK$2,0),0),0)</f>
        <v>0.72789499999999996</v>
      </c>
      <c r="M45" s="71">
        <f t="shared" si="10"/>
        <v>1315437</v>
      </c>
      <c r="N45" s="165">
        <f t="shared" si="11"/>
        <v>3.3245616666666669</v>
      </c>
      <c r="O45" s="214"/>
      <c r="P45" s="152">
        <f>IFERROR(VLOOKUP($A$3:$A$144,'FY-(26-27)Q2'!$A$4:$ABW$124,MATCH('FY-(26-27)Q1'!$P$2:$Q$2,'FY-(26-27)Q2'!$A$2:$BX$2,0),0),0)</f>
        <v>703028</v>
      </c>
      <c r="Q45" s="154">
        <f>IFERROR(VLOOKUP($A$3:$A$144,'FY-(26-27)Q2'!$A$4:$ABW$124,MATCH('FY-(26-27)Q1'!$P$2:$Q$2,'FY-(26-27)Q2'!$A$2:$BX$2,0),0),0)</f>
        <v>1.1717133333333338</v>
      </c>
      <c r="R45" s="158"/>
      <c r="S45" s="152">
        <f>IFERROR(VLOOKUP($A$3:$A$144,'FY-(26-27)Q3'!$A$4:$ABW$117,MATCH('FY-(26-27)Q1'!$S$2:$T$2,'FY-(26-27)Q3'!$A$2:$BX$2,0),0),0)</f>
        <v>0</v>
      </c>
      <c r="T45" s="154">
        <f>IFERROR(VLOOKUP($A$3:$A$144,'FY-(26-27)Q3'!$A$4:$ABW$117,MATCH('FY-(26-27)Q1'!$S$2:$T$3,'FY-(26-27)Q3'!$A$2:$BX$2,0),0),0)</f>
        <v>0</v>
      </c>
      <c r="U45" s="158"/>
      <c r="V45" s="45"/>
      <c r="W45" s="72"/>
      <c r="X45"/>
      <c r="Y45" s="153">
        <f t="shared" si="4"/>
        <v>2018465</v>
      </c>
      <c r="Z45" s="167">
        <f t="shared" si="5"/>
        <v>4.4962750000000007</v>
      </c>
      <c r="AA45"/>
      <c r="AD45"/>
      <c r="AE45"/>
      <c r="AF45"/>
      <c r="AG45"/>
      <c r="AH45"/>
    </row>
    <row r="46" spans="1:34" ht="15" customHeight="1" x14ac:dyDescent="0.25">
      <c r="A46" s="162" t="s">
        <v>205</v>
      </c>
      <c r="B46" s="140" t="s">
        <v>203</v>
      </c>
      <c r="C46" s="140" t="s">
        <v>204</v>
      </c>
      <c r="D46" s="141" t="s">
        <v>91</v>
      </c>
      <c r="E46" s="162" t="s">
        <v>256</v>
      </c>
      <c r="F46" s="163">
        <v>1.3</v>
      </c>
      <c r="G46" s="152">
        <f>IFERROR(VLOOKUP($A$3:$A$144,'APR-2026'!$A$4:$ABX$112,MATCH('FY-(26-27)Q1'!$G$2:$H$2,'APR-2026'!$A$2:$BY$2,0),0),0)</f>
        <v>114100</v>
      </c>
      <c r="H46" s="154">
        <f>IFERROR(VLOOKUP($A$3:$A$144,'APR-2026'!$A$4:$ABX$112,MATCH('FY-(26-27)Q1'!$G$2:$H$2,'APR-2026'!$A$2:$BY$2,0),0),0)</f>
        <v>0.91279999999999994</v>
      </c>
      <c r="I46" s="152">
        <f>IFERROR(VLOOKUP($A$3:$A$144,'MAY-2026'!$A$4:$ACP$113,MATCH('FY-(26-27)Q1'!$I$2:$J$2,'MAY-2026'!$A$2:$CQ$2,0),0),0)</f>
        <v>-13242</v>
      </c>
      <c r="J46" s="154">
        <f>IFERROR(VLOOKUP($A$3:$A$144,'MAY-2026'!$A$4:$ACP$113,MATCH('FY-(26-27)Q1'!$I$2:$J$2,'MAY-2026'!$A$2:$CQ$2,0),0),0)</f>
        <v>-0.105936</v>
      </c>
      <c r="K46" s="152">
        <f>IFERROR(VLOOKUP($A$3:$A$144,'JUNE-2026'!$A$4:$ADJ$113,MATCH('FY-(26-27)Q1'!$K$2:$L$2,'JUNE-2026'!$A$2:$DK$2,0),0),0)</f>
        <v>102235</v>
      </c>
      <c r="L46" s="154">
        <f>IFERROR(VLOOKUP($A$3:$A$144,'JUNE-2026'!$A$4:$ADJ$113,MATCH('FY-(26-27)Q1'!$K$2:$L$2,'JUNE-2026'!$A$2:$DK$2,0),0),0)</f>
        <v>0.81788000000000005</v>
      </c>
      <c r="M46" s="71">
        <f t="shared" si="10"/>
        <v>203093</v>
      </c>
      <c r="N46" s="165">
        <f t="shared" si="11"/>
        <v>1.624744</v>
      </c>
      <c r="O46" s="214"/>
      <c r="P46" s="152">
        <f>IFERROR(VLOOKUP($A$3:$A$144,'FY-(26-27)Q2'!$A$4:$ABW$124,MATCH('FY-(26-27)Q1'!$P$2:$Q$2,'FY-(26-27)Q2'!$A$2:$BX$2,0),0),0)</f>
        <v>183507</v>
      </c>
      <c r="Q46" s="154">
        <f>IFERROR(VLOOKUP($A$3:$A$144,'FY-(26-27)Q2'!$A$4:$ABW$124,MATCH('FY-(26-27)Q1'!$P$2:$Q$2,'FY-(26-27)Q2'!$A$2:$BX$2,0),0),0)</f>
        <v>1.4680560000000002</v>
      </c>
      <c r="R46" s="158"/>
      <c r="S46" s="152">
        <f>IFERROR(VLOOKUP($A$3:$A$144,'FY-(26-27)Q3'!$A$4:$ABW$117,MATCH('FY-(26-27)Q1'!$S$2:$T$2,'FY-(26-27)Q3'!$A$2:$BX$2,0),0),0)</f>
        <v>0</v>
      </c>
      <c r="T46" s="154">
        <f>IFERROR(VLOOKUP($A$3:$A$144,'FY-(26-27)Q3'!$A$4:$ABW$117,MATCH('FY-(26-27)Q1'!$S$2:$T$3,'FY-(26-27)Q3'!$A$2:$BX$2,0),0),0)</f>
        <v>0</v>
      </c>
      <c r="U46" s="158"/>
      <c r="V46" s="143"/>
      <c r="W46" s="149"/>
      <c r="X46" s="131"/>
      <c r="Y46" s="153">
        <f t="shared" si="4"/>
        <v>386600</v>
      </c>
      <c r="Z46" s="167">
        <f t="shared" si="5"/>
        <v>3.0928000000000004</v>
      </c>
      <c r="AD46" s="1"/>
      <c r="AE46" s="1"/>
      <c r="AF46" s="1"/>
      <c r="AG46" s="1"/>
      <c r="AH46" s="1"/>
    </row>
    <row r="47" spans="1:34" s="131" customFormat="1" ht="15" customHeight="1" thickBot="1" x14ac:dyDescent="0.3">
      <c r="A47" s="62" t="s">
        <v>1</v>
      </c>
      <c r="B47" s="62" t="s">
        <v>93</v>
      </c>
      <c r="C47" s="62" t="s">
        <v>248</v>
      </c>
      <c r="D47" s="42" t="s">
        <v>92</v>
      </c>
      <c r="E47" s="42" t="s">
        <v>256</v>
      </c>
      <c r="F47" s="200">
        <v>1.5</v>
      </c>
      <c r="G47" s="152">
        <f>IFERROR(VLOOKUP($A$3:$A$144,'APR-2026'!$A$4:$ABX$112,MATCH('FY-(26-27)Q1'!$G$2:$H$2,'APR-2026'!$A$2:$BY$2,0),0),0)</f>
        <v>354500</v>
      </c>
      <c r="H47" s="154">
        <f>IFERROR(VLOOKUP($A$3:$A$144,'APR-2026'!$A$4:$ABX$112,MATCH('FY-(26-27)Q1'!$G$2:$H$2,'APR-2026'!$A$2:$BY$2,0),0),0)</f>
        <v>2.3633333333333337</v>
      </c>
      <c r="I47" s="152">
        <f>IFERROR(VLOOKUP($A$3:$A$144,'MAY-2026'!$A$4:$ACP$113,MATCH('FY-(26-27)Q1'!$I$2:$J$2,'MAY-2026'!$A$2:$CQ$2,0),0),0)</f>
        <v>-16090</v>
      </c>
      <c r="J47" s="154">
        <f>IFERROR(VLOOKUP($A$3:$A$144,'MAY-2026'!$A$4:$ACP$113,MATCH('FY-(26-27)Q1'!$I$2:$J$2,'MAY-2026'!$A$2:$CQ$2,0),0),0)</f>
        <v>-0.10726666666666665</v>
      </c>
      <c r="K47" s="152">
        <f>IFERROR(VLOOKUP($A$3:$A$144,'JUNE-2026'!$A$4:$ADJ$113,MATCH('FY-(26-27)Q1'!$K$2:$L$2,'JUNE-2026'!$A$2:$DK$2,0),0),0)</f>
        <v>111580</v>
      </c>
      <c r="L47" s="154">
        <f>IFERROR(VLOOKUP($A$3:$A$144,'JUNE-2026'!$A$4:$ADJ$113,MATCH('FY-(26-27)Q1'!$K$2:$L$2,'JUNE-2026'!$A$2:$DK$2,0),0),0)</f>
        <v>0.74386666666666668</v>
      </c>
      <c r="M47" s="71">
        <f t="shared" si="10"/>
        <v>449990</v>
      </c>
      <c r="N47" s="165">
        <f t="shared" si="11"/>
        <v>2.9999333333333338</v>
      </c>
      <c r="O47" s="214"/>
      <c r="P47" s="152">
        <f>IFERROR(VLOOKUP($A$3:$A$144,'FY-(26-27)Q2'!$A$4:$ABW$124,MATCH('FY-(26-27)Q1'!$P$2:$Q$2,'FY-(26-27)Q2'!$A$2:$BX$2,0),0),0)</f>
        <v>183664</v>
      </c>
      <c r="Q47" s="154">
        <f>IFERROR(VLOOKUP($A$3:$A$144,'FY-(26-27)Q2'!$A$4:$ABW$124,MATCH('FY-(26-27)Q1'!$P$2:$Q$2,'FY-(26-27)Q2'!$A$2:$BX$2,0),0),0)</f>
        <v>1.2244266666666666</v>
      </c>
      <c r="R47" s="158"/>
      <c r="S47" s="152">
        <f>IFERROR(VLOOKUP($A$3:$A$144,'FY-(26-27)Q3'!$A$4:$ABW$117,MATCH('FY-(26-27)Q1'!$S$2:$T$2,'FY-(26-27)Q3'!$A$2:$BX$2,0),0),0)</f>
        <v>0</v>
      </c>
      <c r="T47" s="154">
        <f>IFERROR(VLOOKUP($A$3:$A$144,'FY-(26-27)Q3'!$A$4:$ABW$117,MATCH('FY-(26-27)Q1'!$S$2:$T$3,'FY-(26-27)Q3'!$A$2:$BX$2,0),0),0)</f>
        <v>0</v>
      </c>
      <c r="U47" s="217"/>
      <c r="V47" s="73"/>
      <c r="W47" s="72"/>
      <c r="X47"/>
      <c r="Y47" s="153">
        <f t="shared" si="4"/>
        <v>633654</v>
      </c>
      <c r="Z47" s="167">
        <f t="shared" si="5"/>
        <v>4.2243600000000008</v>
      </c>
    </row>
    <row r="48" spans="1:34" s="131" customFormat="1" ht="15" customHeight="1" x14ac:dyDescent="0.25">
      <c r="A48" s="141" t="s">
        <v>332</v>
      </c>
      <c r="B48" s="140" t="s">
        <v>333</v>
      </c>
      <c r="C48" s="140" t="s">
        <v>231</v>
      </c>
      <c r="D48" s="141"/>
      <c r="E48" s="141" t="s">
        <v>256</v>
      </c>
      <c r="F48" s="155">
        <v>0.5</v>
      </c>
      <c r="G48" s="152">
        <f>IFERROR(VLOOKUP($A$3:$A$144,'APR-2026'!$A$4:$ABX$112,MATCH('FY-(26-27)Q1'!$G$2:$H$2,'APR-2026'!$A$2:$BY$2,0),0),0)</f>
        <v>0</v>
      </c>
      <c r="H48" s="154">
        <f>IFERROR(VLOOKUP($A$3:$A$144,'APR-2026'!$A$4:$ABX$112,MATCH('FY-(26-27)Q1'!$G$2:$H$2,'APR-2026'!$A$2:$BY$2,0),0),0)</f>
        <v>0</v>
      </c>
      <c r="I48" s="152">
        <f>IFERROR(VLOOKUP($A$3:$A$144,'MAY-2026'!$A$4:$ACP$113,MATCH('FY-(26-27)Q1'!$I$2:$J$2,'MAY-2026'!$A$2:$CQ$2,0),0),0)</f>
        <v>0</v>
      </c>
      <c r="J48" s="154">
        <f>IFERROR(VLOOKUP($A$3:$A$144,'MAY-2026'!$A$4:$ACP$113,MATCH('FY-(26-27)Q1'!$I$2:$J$2,'MAY-2026'!$A$2:$CQ$2,0),0),0)</f>
        <v>0</v>
      </c>
      <c r="K48" s="152">
        <f>IFERROR(VLOOKUP($A$3:$A$144,'JUNE-2026'!$A$4:$ADJ$113,MATCH('FY-(26-27)Q1'!$K$2:$L$2,'JUNE-2026'!$A$2:$DK$2,0),0),0)</f>
        <v>0</v>
      </c>
      <c r="L48" s="154">
        <f>IFERROR(VLOOKUP($A$3:$A$144,'JUNE-2026'!$A$4:$ADJ$113,MATCH('FY-(26-27)Q1'!$K$2:$L$2,'JUNE-2026'!$A$2:$DK$2,0),0),0)</f>
        <v>0</v>
      </c>
      <c r="M48" s="71">
        <f t="shared" si="10"/>
        <v>0</v>
      </c>
      <c r="N48" s="165">
        <f t="shared" si="11"/>
        <v>0</v>
      </c>
      <c r="O48" s="214"/>
      <c r="P48" s="152">
        <f>IFERROR(VLOOKUP($A$3:$A$144,'FY-(26-27)Q2'!$A$4:$ABW$124,MATCH('FY-(26-27)Q1'!$P$2:$Q$2,'FY-(26-27)Q2'!$A$2:$BX$2,0),0),0)</f>
        <v>0</v>
      </c>
      <c r="Q48" s="154">
        <f>IFERROR(VLOOKUP($A$3:$A$144,'FY-(26-27)Q2'!$A$4:$ABW$124,MATCH('FY-(26-27)Q1'!$P$2:$Q$2,'FY-(26-27)Q2'!$A$2:$BX$2,0),0),0)</f>
        <v>0</v>
      </c>
      <c r="R48" s="158"/>
      <c r="S48" s="152">
        <f>IFERROR(VLOOKUP($A$3:$A$144,'FY-(26-27)Q3'!$A$4:$ABW$117,MATCH('FY-(26-27)Q1'!$S$2:$T$2,'FY-(26-27)Q3'!$A$2:$BX$2,0),0),0)</f>
        <v>-4080</v>
      </c>
      <c r="T48" s="154">
        <f>IFERROR(VLOOKUP($A$3:$A$144,'FY-(26-27)Q3'!$A$4:$ABW$117,MATCH('FY-(26-27)Q1'!$S$2:$T$3,'FY-(26-27)Q3'!$A$2:$BX$2,0),0),0)</f>
        <v>0</v>
      </c>
      <c r="U48" s="217"/>
      <c r="V48" s="259"/>
      <c r="W48" s="149"/>
      <c r="Y48" s="153">
        <f t="shared" si="4"/>
        <v>-4080</v>
      </c>
      <c r="Z48" s="167">
        <f t="shared" si="5"/>
        <v>0</v>
      </c>
    </row>
    <row r="49" spans="1:34" ht="15" customHeight="1" x14ac:dyDescent="0.25">
      <c r="A49" s="35" t="s">
        <v>65</v>
      </c>
      <c r="B49" s="34" t="s">
        <v>64</v>
      </c>
      <c r="C49" s="34" t="s">
        <v>7</v>
      </c>
      <c r="D49" s="140" t="s">
        <v>64</v>
      </c>
      <c r="E49" s="37" t="s">
        <v>256</v>
      </c>
      <c r="F49" s="116">
        <v>5</v>
      </c>
      <c r="G49" s="152">
        <f>IFERROR(VLOOKUP($A$3:$A$144,'APR-2026'!$A$4:$ABX$112,MATCH('FY-(26-27)Q1'!$G$2:$H$2,'APR-2026'!$A$2:$BY$2,0),0),0)</f>
        <v>213967</v>
      </c>
      <c r="H49" s="154">
        <f>IFERROR(VLOOKUP($A$3:$A$144,'APR-2026'!$A$4:$ABX$112,MATCH('FY-(26-27)Q1'!$G$2:$H$2,'APR-2026'!$A$2:$BY$2,0),0),0)</f>
        <v>0.42793399999999998</v>
      </c>
      <c r="I49" s="152">
        <f>IFERROR(VLOOKUP($A$3:$A$144,'MAY-2026'!$A$4:$ACP$113,MATCH('FY-(26-27)Q1'!$I$2:$J$2,'MAY-2026'!$A$2:$CQ$2,0),0),0)</f>
        <v>844228</v>
      </c>
      <c r="J49" s="154">
        <f>IFERROR(VLOOKUP($A$3:$A$144,'MAY-2026'!$A$4:$ACP$113,MATCH('FY-(26-27)Q1'!$I$2:$J$2,'MAY-2026'!$A$2:$CQ$2,0),0),0)</f>
        <v>1.688456</v>
      </c>
      <c r="K49" s="152">
        <f>IFERROR(VLOOKUP($A$3:$A$144,'JUNE-2026'!$A$4:$ADJ$113,MATCH('FY-(26-27)Q1'!$K$2:$L$2,'JUNE-2026'!$A$2:$DK$2,0),0),0)</f>
        <v>159123</v>
      </c>
      <c r="L49" s="154">
        <f>IFERROR(VLOOKUP($A$3:$A$144,'JUNE-2026'!$A$4:$ADJ$113,MATCH('FY-(26-27)Q1'!$K$2:$L$2,'JUNE-2026'!$A$2:$DK$2,0),0),0)</f>
        <v>0.31824599999999997</v>
      </c>
      <c r="M49" s="71">
        <f t="shared" si="10"/>
        <v>1217318</v>
      </c>
      <c r="N49" s="165">
        <f t="shared" si="11"/>
        <v>2.4346359999999998</v>
      </c>
      <c r="O49" s="214"/>
      <c r="P49" s="152">
        <f>IFERROR(VLOOKUP($A$3:$A$144,'FY-(26-27)Q2'!$A$4:$ABW$124,MATCH('FY-(26-27)Q1'!$P$2:$Q$2,'FY-(26-27)Q2'!$A$2:$BX$2,0),0),0)</f>
        <v>-116440</v>
      </c>
      <c r="Q49" s="154">
        <f>IFERROR(VLOOKUP($A$3:$A$144,'FY-(26-27)Q2'!$A$4:$ABW$124,MATCH('FY-(26-27)Q1'!$P$2:$Q$2,'FY-(26-27)Q2'!$A$2:$BX$2,0),0),0)</f>
        <v>-0.2328800000000002</v>
      </c>
      <c r="R49" s="158"/>
      <c r="S49" s="152">
        <f>IFERROR(VLOOKUP($A$3:$A$144,'FY-(26-27)Q3'!$A$4:$ABW$117,MATCH('FY-(26-27)Q1'!$S$2:$T$2,'FY-(26-27)Q3'!$A$2:$BX$2,0),0),0)</f>
        <v>841174</v>
      </c>
      <c r="T49" s="154">
        <f>IFERROR(VLOOKUP($A$3:$A$144,'FY-(26-27)Q3'!$A$4:$ABW$117,MATCH('FY-(26-27)Q1'!$S$2:$T$3,'FY-(26-27)Q3'!$A$2:$BX$2,0),0),0)</f>
        <v>0</v>
      </c>
      <c r="U49" s="158"/>
      <c r="V49" s="45"/>
      <c r="W49" s="72"/>
      <c r="Y49" s="153">
        <f t="shared" si="4"/>
        <v>1942052</v>
      </c>
      <c r="Z49" s="167">
        <f t="shared" si="5"/>
        <v>2.2017559999999996</v>
      </c>
    </row>
    <row r="50" spans="1:34" ht="15" customHeight="1" x14ac:dyDescent="0.25">
      <c r="A50" s="34" t="s">
        <v>34</v>
      </c>
      <c r="B50" s="36" t="s">
        <v>18</v>
      </c>
      <c r="C50" s="34" t="s">
        <v>10</v>
      </c>
      <c r="D50" s="142" t="s">
        <v>18</v>
      </c>
      <c r="E50" s="37" t="s">
        <v>256</v>
      </c>
      <c r="F50" s="118">
        <v>5</v>
      </c>
      <c r="G50" s="152">
        <f>IFERROR(VLOOKUP($A$3:$A$144,'APR-2026'!$A$4:$ABX$112,MATCH('FY-(26-27)Q1'!$G$2:$H$2,'APR-2026'!$A$2:$BY$2,0),0),0)</f>
        <v>668954</v>
      </c>
      <c r="H50" s="154">
        <f>IFERROR(VLOOKUP($A$3:$A$144,'APR-2026'!$A$4:$ABX$112,MATCH('FY-(26-27)Q1'!$G$2:$H$2,'APR-2026'!$A$2:$BY$2,0),0),0)</f>
        <v>1.3379079999999999</v>
      </c>
      <c r="I50" s="152">
        <f>IFERROR(VLOOKUP($A$3:$A$144,'MAY-2026'!$A$4:$ACP$113,MATCH('FY-(26-27)Q1'!$I$2:$J$2,'MAY-2026'!$A$2:$CQ$2,0),0),0)</f>
        <v>-630839</v>
      </c>
      <c r="J50" s="154">
        <f>IFERROR(VLOOKUP($A$3:$A$144,'MAY-2026'!$A$4:$ACP$113,MATCH('FY-(26-27)Q1'!$I$2:$J$2,'MAY-2026'!$A$2:$CQ$2,0),0),0)</f>
        <v>-1.2616780000000001</v>
      </c>
      <c r="K50" s="152">
        <f>IFERROR(VLOOKUP($A$3:$A$144,'JUNE-2026'!$A$4:$ADJ$113,MATCH('FY-(26-27)Q1'!$K$2:$L$2,'JUNE-2026'!$A$2:$DK$2,0),0),0)</f>
        <v>-85853</v>
      </c>
      <c r="L50" s="154">
        <f>IFERROR(VLOOKUP($A$3:$A$144,'JUNE-2026'!$A$4:$ADJ$113,MATCH('FY-(26-27)Q1'!$K$2:$L$2,'JUNE-2026'!$A$2:$DK$2,0),0),0)</f>
        <v>-0.17170599999999997</v>
      </c>
      <c r="M50" s="71">
        <f t="shared" si="10"/>
        <v>-47738</v>
      </c>
      <c r="N50" s="165">
        <f t="shared" si="11"/>
        <v>-9.5476000000000172E-2</v>
      </c>
      <c r="O50" s="214"/>
      <c r="P50" s="152">
        <f>IFERROR(VLOOKUP($A$3:$A$144,'FY-(26-27)Q2'!$A$4:$ABW$124,MATCH('FY-(26-27)Q1'!$P$2:$Q$2,'FY-(26-27)Q2'!$A$2:$BX$2,0),0),0)</f>
        <v>820609</v>
      </c>
      <c r="Q50" s="154">
        <f>IFERROR(VLOOKUP($A$3:$A$144,'FY-(26-27)Q2'!$A$4:$ABW$124,MATCH('FY-(26-27)Q1'!$P$2:$Q$2,'FY-(26-27)Q2'!$A$2:$BX$2,0),0),0)</f>
        <v>1.6412179999999998</v>
      </c>
      <c r="R50" s="158"/>
      <c r="S50" s="152">
        <f>IFERROR(VLOOKUP($A$3:$A$144,'FY-(26-27)Q3'!$A$4:$ABW$117,MATCH('FY-(26-27)Q1'!$S$2:$T$2,'FY-(26-27)Q3'!$A$2:$BX$2,0),0),0)</f>
        <v>140133</v>
      </c>
      <c r="T50" s="154">
        <f>IFERROR(VLOOKUP($A$3:$A$144,'FY-(26-27)Q3'!$A$4:$ABW$117,MATCH('FY-(26-27)Q1'!$S$2:$T$3,'FY-(26-27)Q3'!$A$2:$BX$2,0),0),0)</f>
        <v>0</v>
      </c>
      <c r="U50" s="158"/>
      <c r="V50" s="45"/>
      <c r="W50" s="72"/>
      <c r="X50" s="1"/>
      <c r="Y50" s="153">
        <f t="shared" si="4"/>
        <v>913004</v>
      </c>
      <c r="Z50" s="167">
        <f t="shared" si="5"/>
        <v>1.5457419999999997</v>
      </c>
      <c r="AA50" s="1"/>
    </row>
    <row r="51" spans="1:34" ht="15" customHeight="1" x14ac:dyDescent="0.25">
      <c r="A51" s="34" t="s">
        <v>131</v>
      </c>
      <c r="B51" s="36" t="s">
        <v>130</v>
      </c>
      <c r="C51" s="34" t="s">
        <v>16</v>
      </c>
      <c r="D51" s="141" t="s">
        <v>262</v>
      </c>
      <c r="E51" s="37" t="s">
        <v>256</v>
      </c>
      <c r="F51" s="118">
        <v>0.5</v>
      </c>
      <c r="G51" s="152">
        <f>IFERROR(VLOOKUP($A$3:$A$144,'APR-2026'!$A$4:$ABX$112,MATCH('FY-(26-27)Q1'!$G$2:$H$2,'APR-2026'!$A$2:$BY$2,0),0),0)</f>
        <v>47009</v>
      </c>
      <c r="H51" s="154">
        <f>IFERROR(VLOOKUP($A$3:$A$144,'APR-2026'!$A$4:$ABX$112,MATCH('FY-(26-27)Q1'!$G$2:$H$2,'APR-2026'!$A$2:$BY$2,0),0),0)</f>
        <v>0.94018000000000002</v>
      </c>
      <c r="I51" s="152">
        <f>IFERROR(VLOOKUP($A$3:$A$144,'MAY-2026'!$A$4:$ACP$113,MATCH('FY-(26-27)Q1'!$I$2:$J$2,'MAY-2026'!$A$2:$CQ$2,0),0),0)</f>
        <v>-22476</v>
      </c>
      <c r="J51" s="154">
        <f>IFERROR(VLOOKUP($A$3:$A$144,'MAY-2026'!$A$4:$ACP$113,MATCH('FY-(26-27)Q1'!$I$2:$J$2,'MAY-2026'!$A$2:$CQ$2,0),0),0)</f>
        <v>-0.44951999999999998</v>
      </c>
      <c r="K51" s="152">
        <f>IFERROR(VLOOKUP($A$3:$A$144,'JUNE-2026'!$A$4:$ADJ$113,MATCH('FY-(26-27)Q1'!$K$2:$L$2,'JUNE-2026'!$A$2:$DK$2,0),0),0)</f>
        <v>92362</v>
      </c>
      <c r="L51" s="154">
        <f>IFERROR(VLOOKUP($A$3:$A$144,'JUNE-2026'!$A$4:$ADJ$113,MATCH('FY-(26-27)Q1'!$K$2:$L$2,'JUNE-2026'!$A$2:$DK$2,0),0),0)</f>
        <v>1.84724</v>
      </c>
      <c r="M51" s="71">
        <f t="shared" si="10"/>
        <v>116895</v>
      </c>
      <c r="N51" s="165">
        <f t="shared" si="11"/>
        <v>2.3378999999999999</v>
      </c>
      <c r="O51" s="214"/>
      <c r="P51" s="152">
        <f>IFERROR(VLOOKUP($A$3:$A$144,'FY-(26-27)Q2'!$A$4:$ABW$124,MATCH('FY-(26-27)Q1'!$P$2:$Q$2,'FY-(26-27)Q2'!$A$2:$BX$2,0),0),0)</f>
        <v>-195945</v>
      </c>
      <c r="Q51" s="154">
        <f>IFERROR(VLOOKUP($A$3:$A$144,'FY-(26-27)Q2'!$A$4:$ABW$124,MATCH('FY-(26-27)Q1'!$P$2:$Q$2,'FY-(26-27)Q2'!$A$2:$BX$2,0),0),0)</f>
        <v>-1.9594499999999999</v>
      </c>
      <c r="R51" s="158"/>
      <c r="S51" s="152">
        <f>IFERROR(VLOOKUP($A$3:$A$144,'FY-(26-27)Q3'!$A$4:$ABW$117,MATCH('FY-(26-27)Q1'!$S$2:$T$2,'FY-(26-27)Q3'!$A$2:$BX$2,0),0),0)</f>
        <v>70166</v>
      </c>
      <c r="T51" s="154">
        <f>IFERROR(VLOOKUP($A$3:$A$144,'FY-(26-27)Q3'!$A$4:$ABW$117,MATCH('FY-(26-27)Q1'!$S$2:$T$3,'FY-(26-27)Q3'!$A$2:$BX$2,0),0),0)</f>
        <v>0</v>
      </c>
      <c r="U51" s="158"/>
      <c r="V51" s="45"/>
      <c r="W51" s="72"/>
      <c r="Y51" s="153">
        <f t="shared" si="4"/>
        <v>-8884</v>
      </c>
      <c r="Z51" s="167">
        <f t="shared" si="5"/>
        <v>0.37844999999999995</v>
      </c>
      <c r="AD51" s="1"/>
      <c r="AE51" s="1"/>
      <c r="AF51" s="1"/>
      <c r="AG51" s="1"/>
      <c r="AH51" s="1"/>
    </row>
    <row r="52" spans="1:34" ht="15" customHeight="1" x14ac:dyDescent="0.25">
      <c r="A52" s="36" t="s">
        <v>26</v>
      </c>
      <c r="B52" s="34" t="s">
        <v>75</v>
      </c>
      <c r="C52" s="34" t="s">
        <v>15</v>
      </c>
      <c r="D52" s="39" t="s">
        <v>40</v>
      </c>
      <c r="E52" s="39" t="s">
        <v>256</v>
      </c>
      <c r="F52" s="117">
        <v>0.6</v>
      </c>
      <c r="G52" s="152">
        <f>IFERROR(VLOOKUP($A$3:$A$144,'APR-2026'!$A$4:$ABX$112,MATCH('FY-(26-27)Q1'!$G$2:$H$2,'APR-2026'!$A$2:$BY$2,0),0),0)</f>
        <v>3832</v>
      </c>
      <c r="H52" s="154">
        <f>IFERROR(VLOOKUP($A$3:$A$144,'APR-2026'!$A$4:$ABX$112,MATCH('FY-(26-27)Q1'!$G$2:$H$2,'APR-2026'!$A$2:$BY$2,0),0),0)</f>
        <v>6.3866666666666669E-2</v>
      </c>
      <c r="I52" s="152">
        <f>IFERROR(VLOOKUP($A$3:$A$144,'MAY-2026'!$A$4:$ACP$113,MATCH('FY-(26-27)Q1'!$I$2:$J$2,'MAY-2026'!$A$2:$CQ$2,0),0),0)</f>
        <v>56826</v>
      </c>
      <c r="J52" s="154">
        <f>IFERROR(VLOOKUP($A$3:$A$144,'MAY-2026'!$A$4:$ACP$113,MATCH('FY-(26-27)Q1'!$I$2:$J$2,'MAY-2026'!$A$2:$CQ$2,0),0),0)</f>
        <v>0.94710000000000005</v>
      </c>
      <c r="K52" s="152">
        <f>IFERROR(VLOOKUP($A$3:$A$144,'JUNE-2026'!$A$4:$ADJ$113,MATCH('FY-(26-27)Q1'!$K$2:$L$2,'JUNE-2026'!$A$2:$DK$2,0),0),0)</f>
        <v>0</v>
      </c>
      <c r="L52" s="154">
        <f>IFERROR(VLOOKUP($A$3:$A$144,'JUNE-2026'!$A$4:$ADJ$113,MATCH('FY-(26-27)Q1'!$K$2:$L$2,'JUNE-2026'!$A$2:$DK$2,0),0),0)</f>
        <v>0</v>
      </c>
      <c r="M52" s="71">
        <f t="shared" si="10"/>
        <v>60658</v>
      </c>
      <c r="N52" s="165">
        <f t="shared" si="11"/>
        <v>1.0109666666666668</v>
      </c>
      <c r="O52" s="214"/>
      <c r="P52" s="152">
        <f>IFERROR(VLOOKUP($A$3:$A$144,'FY-(26-27)Q2'!$A$4:$ABW$124,MATCH('FY-(26-27)Q1'!$P$2:$Q$2,'FY-(26-27)Q2'!$A$2:$BX$2,0),0),0)</f>
        <v>0</v>
      </c>
      <c r="Q52" s="154">
        <f>IFERROR(VLOOKUP($A$3:$A$144,'FY-(26-27)Q2'!$A$4:$ABW$124,MATCH('FY-(26-27)Q1'!$P$2:$Q$2,'FY-(26-27)Q2'!$A$2:$BX$2,0),0),0)</f>
        <v>0</v>
      </c>
      <c r="R52" s="158"/>
      <c r="S52" s="152">
        <f>IFERROR(VLOOKUP($A$3:$A$144,'FY-(26-27)Q3'!$A$4:$ABW$117,MATCH('FY-(26-27)Q1'!$S$2:$T$2,'FY-(26-27)Q3'!$A$2:$BX$2,0),0),0)</f>
        <v>0</v>
      </c>
      <c r="T52" s="154">
        <f>IFERROR(VLOOKUP($A$3:$A$144,'FY-(26-27)Q3'!$A$4:$ABW$117,MATCH('FY-(26-27)Q1'!$S$2:$T$3,'FY-(26-27)Q3'!$A$2:$BX$2,0),0),0)</f>
        <v>0</v>
      </c>
      <c r="U52" s="158"/>
      <c r="V52" s="45"/>
      <c r="W52" s="72"/>
      <c r="X52" s="1"/>
      <c r="Y52" s="153">
        <f t="shared" si="4"/>
        <v>60658</v>
      </c>
      <c r="Z52" s="167">
        <f t="shared" si="5"/>
        <v>1.0109666666666668</v>
      </c>
      <c r="AA52" s="1"/>
    </row>
    <row r="53" spans="1:34" s="1" customFormat="1" ht="15" customHeight="1" x14ac:dyDescent="0.25">
      <c r="A53" s="43" t="s">
        <v>67</v>
      </c>
      <c r="B53" s="34" t="s">
        <v>76</v>
      </c>
      <c r="C53" s="34" t="s">
        <v>60</v>
      </c>
      <c r="D53" s="37" t="s">
        <v>4</v>
      </c>
      <c r="E53" s="37" t="s">
        <v>256</v>
      </c>
      <c r="F53" s="116">
        <v>0.4</v>
      </c>
      <c r="G53" s="152">
        <f>IFERROR(VLOOKUP($A$3:$A$144,'APR-2026'!$A$4:$ABX$112,MATCH('FY-(26-27)Q1'!$G$2:$H$2,'APR-2026'!$A$2:$BY$2,0),0),0)</f>
        <v>104032</v>
      </c>
      <c r="H53" s="154">
        <f>IFERROR(VLOOKUP($A$3:$A$144,'APR-2026'!$A$4:$ABX$112,MATCH('FY-(26-27)Q1'!$G$2:$H$2,'APR-2026'!$A$2:$BY$2,0),0),0)</f>
        <v>2.6008</v>
      </c>
      <c r="I53" s="152">
        <f>IFERROR(VLOOKUP($A$3:$A$144,'MAY-2026'!$A$4:$ACP$113,MATCH('FY-(26-27)Q1'!$I$2:$J$2,'MAY-2026'!$A$2:$CQ$2,0),0),0)</f>
        <v>-9232</v>
      </c>
      <c r="J53" s="154">
        <f>IFERROR(VLOOKUP($A$3:$A$144,'MAY-2026'!$A$4:$ACP$113,MATCH('FY-(26-27)Q1'!$I$2:$J$2,'MAY-2026'!$A$2:$CQ$2,0),0),0)</f>
        <v>-0.23080000000000001</v>
      </c>
      <c r="K53" s="152">
        <f>IFERROR(VLOOKUP($A$3:$A$144,'JUNE-2026'!$A$4:$ADJ$113,MATCH('FY-(26-27)Q1'!$K$2:$L$2,'JUNE-2026'!$A$2:$DK$2,0),0),0)</f>
        <v>-106628</v>
      </c>
      <c r="L53" s="154">
        <f>IFERROR(VLOOKUP($A$3:$A$144,'JUNE-2026'!$A$4:$ADJ$113,MATCH('FY-(26-27)Q1'!$K$2:$L$2,'JUNE-2026'!$A$2:$DK$2,0),0),0)</f>
        <v>-2.6657000000000002</v>
      </c>
      <c r="M53" s="71">
        <f t="shared" si="10"/>
        <v>-11828</v>
      </c>
      <c r="N53" s="165">
        <f t="shared" si="11"/>
        <v>-0.29570000000000007</v>
      </c>
      <c r="O53" s="214"/>
      <c r="P53" s="152">
        <f>IFERROR(VLOOKUP($A$3:$A$144,'FY-(26-27)Q2'!$A$4:$ABW$124,MATCH('FY-(26-27)Q1'!$P$2:$Q$2,'FY-(26-27)Q2'!$A$2:$BX$2,0),0),0)</f>
        <v>80093</v>
      </c>
      <c r="Q53" s="154">
        <f>IFERROR(VLOOKUP($A$3:$A$144,'FY-(26-27)Q2'!$A$4:$ABW$124,MATCH('FY-(26-27)Q1'!$P$2:$Q$2,'FY-(26-27)Q2'!$A$2:$BX$2,0),0),0)</f>
        <v>2.0023249999999999</v>
      </c>
      <c r="R53" s="158"/>
      <c r="S53" s="152">
        <f>IFERROR(VLOOKUP($A$3:$A$144,'FY-(26-27)Q3'!$A$4:$ABW$117,MATCH('FY-(26-27)Q1'!$S$2:$T$2,'FY-(26-27)Q3'!$A$2:$BX$2,0),0),0)</f>
        <v>340337</v>
      </c>
      <c r="T53" s="154">
        <f>IFERROR(VLOOKUP($A$3:$A$144,'FY-(26-27)Q3'!$A$4:$ABW$117,MATCH('FY-(26-27)Q1'!$S$2:$T$3,'FY-(26-27)Q3'!$A$2:$BX$2,0),0),0)</f>
        <v>0</v>
      </c>
      <c r="U53" s="158"/>
      <c r="V53" s="45"/>
      <c r="W53" s="72"/>
      <c r="Y53" s="153">
        <f t="shared" si="4"/>
        <v>408602</v>
      </c>
      <c r="Z53" s="167">
        <f t="shared" si="5"/>
        <v>1.7066249999999998</v>
      </c>
      <c r="AD53"/>
      <c r="AE53"/>
      <c r="AF53"/>
      <c r="AG53"/>
      <c r="AH53"/>
    </row>
    <row r="54" spans="1:34" s="1" customFormat="1" ht="15" customHeight="1" x14ac:dyDescent="0.25">
      <c r="A54" s="43" t="s">
        <v>143</v>
      </c>
      <c r="B54" s="34" t="s">
        <v>19</v>
      </c>
      <c r="C54" s="35" t="s">
        <v>232</v>
      </c>
      <c r="D54" s="35" t="s">
        <v>142</v>
      </c>
      <c r="E54" s="141" t="s">
        <v>107</v>
      </c>
      <c r="F54" s="116">
        <v>0.5</v>
      </c>
      <c r="G54" s="152">
        <f>IFERROR(VLOOKUP($A$3:$A$144,'APR-2026'!$A$4:$ABX$112,MATCH('FY-(26-27)Q1'!$G$2:$H$2,'APR-2026'!$A$2:$BY$2,0),0),0)</f>
        <v>77627</v>
      </c>
      <c r="H54" s="154">
        <f>IFERROR(VLOOKUP($A$3:$A$144,'APR-2026'!$A$4:$ABX$112,MATCH('FY-(26-27)Q1'!$G$2:$H$2,'APR-2026'!$A$2:$BY$2,0),0),0)</f>
        <v>1.55254</v>
      </c>
      <c r="I54" s="152">
        <f>IFERROR(VLOOKUP($A$3:$A$144,'MAY-2026'!$A$4:$ACP$113,MATCH('FY-(26-27)Q1'!$I$2:$J$2,'MAY-2026'!$A$2:$CQ$2,0),0),0)</f>
        <v>-318673</v>
      </c>
      <c r="J54" s="154">
        <f>IFERROR(VLOOKUP($A$3:$A$144,'MAY-2026'!$A$4:$ACP$113,MATCH('FY-(26-27)Q1'!$I$2:$J$2,'MAY-2026'!$A$2:$CQ$2,0),0),0)</f>
        <v>-6.3734599999999997</v>
      </c>
      <c r="K54" s="152">
        <f>IFERROR(VLOOKUP($A$3:$A$144,'JUNE-2026'!$A$4:$ADJ$113,MATCH('FY-(26-27)Q1'!$K$2:$L$2,'JUNE-2026'!$A$2:$DK$2,0),0),0)</f>
        <v>193584</v>
      </c>
      <c r="L54" s="154">
        <f>IFERROR(VLOOKUP($A$3:$A$144,'JUNE-2026'!$A$4:$ADJ$113,MATCH('FY-(26-27)Q1'!$K$2:$L$2,'JUNE-2026'!$A$2:$DK$2,0),0),0)</f>
        <v>3.87168</v>
      </c>
      <c r="M54" s="71">
        <f t="shared" si="10"/>
        <v>-47462</v>
      </c>
      <c r="N54" s="165">
        <f t="shared" si="11"/>
        <v>-0.9492399999999992</v>
      </c>
      <c r="O54" s="214"/>
      <c r="P54" s="152">
        <f>IFERROR(VLOOKUP($A$3:$A$144,'FY-(26-27)Q2'!$A$4:$ABW$124,MATCH('FY-(26-27)Q1'!$P$2:$Q$2,'FY-(26-27)Q2'!$A$2:$BX$2,0),0),0)</f>
        <v>-208817</v>
      </c>
      <c r="Q54" s="154">
        <f>IFERROR(VLOOKUP($A$3:$A$144,'FY-(26-27)Q2'!$A$4:$ABW$124,MATCH('FY-(26-27)Q1'!$P$2:$Q$2,'FY-(26-27)Q2'!$A$2:$BX$2,0),0),0)</f>
        <v>-4.1763399999999997</v>
      </c>
      <c r="R54" s="158"/>
      <c r="S54" s="152">
        <f>IFERROR(VLOOKUP($A$3:$A$144,'FY-(26-27)Q3'!$A$4:$ABW$117,MATCH('FY-(26-27)Q1'!$S$2:$T$2,'FY-(26-27)Q3'!$A$2:$BX$2,0),0),0)</f>
        <v>0</v>
      </c>
      <c r="T54" s="154">
        <f>IFERROR(VLOOKUP($A$3:$A$144,'FY-(26-27)Q3'!$A$4:$ABW$117,MATCH('FY-(26-27)Q1'!$S$2:$T$3,'FY-(26-27)Q3'!$A$2:$BX$2,0),0),0)</f>
        <v>0</v>
      </c>
      <c r="U54" s="158"/>
      <c r="V54" s="45"/>
      <c r="W54" s="72"/>
      <c r="X54"/>
      <c r="Y54" s="153">
        <f t="shared" si="4"/>
        <v>-256279</v>
      </c>
      <c r="Z54" s="167">
        <f t="shared" si="5"/>
        <v>-5.1255799999999994</v>
      </c>
      <c r="AA54"/>
    </row>
    <row r="55" spans="1:34" ht="15" customHeight="1" x14ac:dyDescent="0.25">
      <c r="A55" s="43" t="s">
        <v>144</v>
      </c>
      <c r="B55" s="34" t="s">
        <v>19</v>
      </c>
      <c r="C55" s="35" t="s">
        <v>232</v>
      </c>
      <c r="D55" s="35" t="s">
        <v>145</v>
      </c>
      <c r="E55" s="141" t="s">
        <v>256</v>
      </c>
      <c r="F55" s="116">
        <v>0.5</v>
      </c>
      <c r="G55" s="152">
        <f>IFERROR(VLOOKUP($A$3:$A$144,'APR-2026'!$A$4:$ABX$112,MATCH('FY-(26-27)Q1'!$G$2:$H$2,'APR-2026'!$A$2:$BY$2,0),0),0)</f>
        <v>43500</v>
      </c>
      <c r="H55" s="154">
        <f>IFERROR(VLOOKUP($A$3:$A$144,'APR-2026'!$A$4:$ABX$112,MATCH('FY-(26-27)Q1'!$G$2:$H$2,'APR-2026'!$A$2:$BY$2,0),0),0)</f>
        <v>0.87</v>
      </c>
      <c r="I55" s="152">
        <f>IFERROR(VLOOKUP($A$3:$A$144,'MAY-2026'!$A$4:$ACP$113,MATCH('FY-(26-27)Q1'!$I$2:$J$2,'MAY-2026'!$A$2:$CQ$2,0),0),0)</f>
        <v>-206560</v>
      </c>
      <c r="J55" s="154">
        <f>IFERROR(VLOOKUP($A$3:$A$144,'MAY-2026'!$A$4:$ACP$113,MATCH('FY-(26-27)Q1'!$I$2:$J$2,'MAY-2026'!$A$2:$CQ$2,0),0),0)</f>
        <v>-4.1311999999999998</v>
      </c>
      <c r="K55" s="152">
        <f>IFERROR(VLOOKUP($A$3:$A$144,'JUNE-2026'!$A$4:$ADJ$113,MATCH('FY-(26-27)Q1'!$K$2:$L$2,'JUNE-2026'!$A$2:$DK$2,0),0),0)</f>
        <v>-172401</v>
      </c>
      <c r="L55" s="154">
        <f>IFERROR(VLOOKUP($A$3:$A$144,'JUNE-2026'!$A$4:$ADJ$113,MATCH('FY-(26-27)Q1'!$K$2:$L$2,'JUNE-2026'!$A$2:$DK$2,0),0),0)</f>
        <v>-3.4480200000000001</v>
      </c>
      <c r="M55" s="71">
        <f t="shared" si="10"/>
        <v>-335461</v>
      </c>
      <c r="N55" s="165">
        <f t="shared" si="11"/>
        <v>-6.7092200000000002</v>
      </c>
      <c r="O55" s="214"/>
      <c r="P55" s="152">
        <f>IFERROR(VLOOKUP($A$3:$A$144,'FY-(26-27)Q2'!$A$4:$ABW$124,MATCH('FY-(26-27)Q1'!$P$2:$Q$2,'FY-(26-27)Q2'!$A$2:$BX$2,0),0),0)</f>
        <v>-64553</v>
      </c>
      <c r="Q55" s="154">
        <f>IFERROR(VLOOKUP($A$3:$A$144,'FY-(26-27)Q2'!$A$4:$ABW$124,MATCH('FY-(26-27)Q1'!$P$2:$Q$2,'FY-(26-27)Q2'!$A$2:$BX$2,0),0),0)</f>
        <v>-1.2910600000000001</v>
      </c>
      <c r="R55" s="158"/>
      <c r="S55" s="152">
        <f>IFERROR(VLOOKUP($A$3:$A$144,'FY-(26-27)Q3'!$A$4:$ABW$117,MATCH('FY-(26-27)Q1'!$S$2:$T$2,'FY-(26-27)Q3'!$A$2:$BX$2,0),0),0)</f>
        <v>0</v>
      </c>
      <c r="T55" s="154">
        <f>IFERROR(VLOOKUP($A$3:$A$144,'FY-(26-27)Q3'!$A$4:$ABW$117,MATCH('FY-(26-27)Q1'!$S$2:$T$3,'FY-(26-27)Q3'!$A$2:$BX$2,0),0),0)</f>
        <v>0</v>
      </c>
      <c r="U55" s="158"/>
      <c r="V55" s="45"/>
      <c r="W55" s="72"/>
      <c r="Y55" s="153">
        <f t="shared" si="4"/>
        <v>-400014</v>
      </c>
      <c r="Z55" s="167">
        <f t="shared" si="5"/>
        <v>-8.0002800000000001</v>
      </c>
      <c r="AD55" s="1"/>
      <c r="AE55" s="1"/>
      <c r="AF55" s="1"/>
      <c r="AG55" s="1"/>
      <c r="AH55" s="1"/>
    </row>
    <row r="56" spans="1:34" ht="15" customHeight="1" x14ac:dyDescent="0.25">
      <c r="A56" s="35" t="s">
        <v>31</v>
      </c>
      <c r="B56" s="36" t="s">
        <v>153</v>
      </c>
      <c r="C56" s="35" t="s">
        <v>222</v>
      </c>
      <c r="D56" s="141" t="s">
        <v>263</v>
      </c>
      <c r="E56" s="40" t="s">
        <v>256</v>
      </c>
      <c r="F56" s="116">
        <v>4</v>
      </c>
      <c r="G56" s="152">
        <f>IFERROR(VLOOKUP($A$3:$A$144,'APR-2026'!$A$4:$ABX$112,MATCH('FY-(26-27)Q1'!$G$2:$H$2,'APR-2026'!$A$2:$BY$2,0),0),0)</f>
        <v>134591</v>
      </c>
      <c r="H56" s="154">
        <f>IFERROR(VLOOKUP($A$3:$A$144,'APR-2026'!$A$4:$ABX$112,MATCH('FY-(26-27)Q1'!$G$2:$H$2,'APR-2026'!$A$2:$BY$2,0),0),0)</f>
        <v>0.33647749999999998</v>
      </c>
      <c r="I56" s="152">
        <f>IFERROR(VLOOKUP($A$3:$A$144,'MAY-2026'!$A$4:$ACP$113,MATCH('FY-(26-27)Q1'!$I$2:$J$2,'MAY-2026'!$A$2:$CQ$2,0),0),0)</f>
        <v>-283771</v>
      </c>
      <c r="J56" s="154">
        <f>IFERROR(VLOOKUP($A$3:$A$144,'MAY-2026'!$A$4:$ACP$113,MATCH('FY-(26-27)Q1'!$I$2:$J$2,'MAY-2026'!$A$2:$CQ$2,0),0),0)</f>
        <v>-0.70942749999999999</v>
      </c>
      <c r="K56" s="152">
        <f>IFERROR(VLOOKUP($A$3:$A$144,'JUNE-2026'!$A$4:$ADJ$113,MATCH('FY-(26-27)Q1'!$K$2:$L$2,'JUNE-2026'!$A$2:$DK$2,0),0),0)</f>
        <v>-251119</v>
      </c>
      <c r="L56" s="154">
        <f>IFERROR(VLOOKUP($A$3:$A$144,'JUNE-2026'!$A$4:$ADJ$113,MATCH('FY-(26-27)Q1'!$K$2:$L$2,'JUNE-2026'!$A$2:$DK$2,0),0),0)</f>
        <v>-0.62779750000000001</v>
      </c>
      <c r="M56" s="71">
        <f t="shared" si="10"/>
        <v>-400299</v>
      </c>
      <c r="N56" s="165">
        <f t="shared" si="11"/>
        <v>-1.0007475000000001</v>
      </c>
      <c r="O56" s="214"/>
      <c r="P56" s="152">
        <f>IFERROR(VLOOKUP($A$3:$A$144,'FY-(26-27)Q2'!$A$4:$ABW$124,MATCH('FY-(26-27)Q1'!$P$2:$Q$2,'FY-(26-27)Q2'!$A$2:$BX$2,0),0),0)</f>
        <v>595360</v>
      </c>
      <c r="Q56" s="154">
        <f>IFERROR(VLOOKUP($A$3:$A$144,'FY-(26-27)Q2'!$A$4:$ABW$124,MATCH('FY-(26-27)Q1'!$P$2:$Q$2,'FY-(26-27)Q2'!$A$2:$BX$2,0),0),0)</f>
        <v>1.4884000000000002</v>
      </c>
      <c r="R56" s="158"/>
      <c r="S56" s="152">
        <f>IFERROR(VLOOKUP($A$3:$A$144,'FY-(26-27)Q3'!$A$4:$ABW$117,MATCH('FY-(26-27)Q1'!$S$2:$T$2,'FY-(26-27)Q3'!$A$2:$BX$2,0),0),0)</f>
        <v>371505</v>
      </c>
      <c r="T56" s="154">
        <f>IFERROR(VLOOKUP($A$3:$A$144,'FY-(26-27)Q3'!$A$4:$ABW$117,MATCH('FY-(26-27)Q1'!$S$2:$T$3,'FY-(26-27)Q3'!$A$2:$BX$2,0),0),0)</f>
        <v>0</v>
      </c>
      <c r="U56" s="158"/>
      <c r="V56" s="45"/>
      <c r="W56" s="72"/>
      <c r="Y56" s="153">
        <f t="shared" si="4"/>
        <v>566566</v>
      </c>
      <c r="Z56" s="167">
        <f t="shared" si="5"/>
        <v>0.48765250000000004</v>
      </c>
    </row>
    <row r="57" spans="1:34" ht="15" customHeight="1" x14ac:dyDescent="0.25">
      <c r="A57" s="35" t="s">
        <v>104</v>
      </c>
      <c r="B57" s="36" t="s">
        <v>105</v>
      </c>
      <c r="C57" s="35" t="s">
        <v>57</v>
      </c>
      <c r="D57" s="141" t="s">
        <v>106</v>
      </c>
      <c r="E57" s="40" t="s">
        <v>106</v>
      </c>
      <c r="F57" s="116">
        <v>1</v>
      </c>
      <c r="G57" s="152">
        <f>IFERROR(VLOOKUP($A$3:$A$144,'APR-2026'!$A$4:$ABX$112,MATCH('FY-(26-27)Q1'!$G$2:$H$2,'APR-2026'!$A$2:$BY$2,0),0),0)</f>
        <v>601979</v>
      </c>
      <c r="H57" s="154">
        <f>IFERROR(VLOOKUP($A$3:$A$144,'APR-2026'!$A$4:$ABX$112,MATCH('FY-(26-27)Q1'!$G$2:$H$2,'APR-2026'!$A$2:$BY$2,0),0),0)</f>
        <v>6.0197900000000004</v>
      </c>
      <c r="I57" s="152">
        <f>IFERROR(VLOOKUP($A$3:$A$144,'MAY-2026'!$A$4:$ACP$113,MATCH('FY-(26-27)Q1'!$I$2:$J$2,'MAY-2026'!$A$2:$CQ$2,0),0),0)</f>
        <v>74933</v>
      </c>
      <c r="J57" s="154">
        <f>IFERROR(VLOOKUP($A$3:$A$144,'MAY-2026'!$A$4:$ACP$113,MATCH('FY-(26-27)Q1'!$I$2:$J$2,'MAY-2026'!$A$2:$CQ$2,0),0),0)</f>
        <v>0.74933000000000005</v>
      </c>
      <c r="K57" s="152">
        <f>IFERROR(VLOOKUP($A$3:$A$144,'JUNE-2026'!$A$4:$ADJ$113,MATCH('FY-(26-27)Q1'!$K$2:$L$2,'JUNE-2026'!$A$2:$DK$2,0),0),0)</f>
        <v>68881</v>
      </c>
      <c r="L57" s="154">
        <f>IFERROR(VLOOKUP($A$3:$A$144,'JUNE-2026'!$A$4:$ADJ$113,MATCH('FY-(26-27)Q1'!$K$2:$L$2,'JUNE-2026'!$A$2:$DK$2,0),0),0)</f>
        <v>0.68881000000000003</v>
      </c>
      <c r="M57" s="71">
        <f t="shared" si="10"/>
        <v>745793</v>
      </c>
      <c r="N57" s="165">
        <f t="shared" si="11"/>
        <v>7.4579300000000011</v>
      </c>
      <c r="O57" s="214"/>
      <c r="P57" s="152">
        <f>IFERROR(VLOOKUP($A$3:$A$144,'FY-(26-27)Q2'!$A$4:$ABW$124,MATCH('FY-(26-27)Q1'!$P$2:$Q$2,'FY-(26-27)Q2'!$A$2:$BX$2,0),0),0)</f>
        <v>-85544</v>
      </c>
      <c r="Q57" s="154">
        <f>IFERROR(VLOOKUP($A$3:$A$144,'FY-(26-27)Q2'!$A$4:$ABW$124,MATCH('FY-(26-27)Q1'!$P$2:$Q$2,'FY-(26-27)Q2'!$A$2:$BX$2,0),0),0)</f>
        <v>-0.8554400000000002</v>
      </c>
      <c r="R57" s="158"/>
      <c r="S57" s="152">
        <f>IFERROR(VLOOKUP($A$3:$A$144,'FY-(26-27)Q3'!$A$4:$ABW$117,MATCH('FY-(26-27)Q1'!$S$2:$T$2,'FY-(26-27)Q3'!$A$2:$BX$2,0),0),0)</f>
        <v>-97365</v>
      </c>
      <c r="T57" s="154">
        <f>IFERROR(VLOOKUP($A$3:$A$144,'FY-(26-27)Q3'!$A$4:$ABW$117,MATCH('FY-(26-27)Q1'!$S$2:$T$3,'FY-(26-27)Q3'!$A$2:$BX$2,0),0),0)</f>
        <v>0</v>
      </c>
      <c r="U57" s="158"/>
      <c r="V57" s="45"/>
      <c r="W57" s="72"/>
      <c r="Y57" s="153">
        <f t="shared" si="4"/>
        <v>562884</v>
      </c>
      <c r="Z57" s="167">
        <f t="shared" si="5"/>
        <v>6.6024900000000013</v>
      </c>
    </row>
    <row r="58" spans="1:34" s="131" customFormat="1" ht="15" customHeight="1" x14ac:dyDescent="0.25">
      <c r="A58" s="141" t="s">
        <v>314</v>
      </c>
      <c r="B58" s="142" t="s">
        <v>105</v>
      </c>
      <c r="C58" s="141" t="s">
        <v>15</v>
      </c>
      <c r="D58" s="141" t="s">
        <v>256</v>
      </c>
      <c r="E58" s="141" t="s">
        <v>256</v>
      </c>
      <c r="F58" s="155">
        <v>0.5</v>
      </c>
      <c r="G58" s="152">
        <f>IFERROR(VLOOKUP($A$3:$A$144,'APR-2026'!$A$4:$ABX$112,MATCH('FY-(26-27)Q1'!$G$2:$H$2,'APR-2026'!$A$2:$BY$2,0),0),0)</f>
        <v>0</v>
      </c>
      <c r="H58" s="154">
        <f>IFERROR(VLOOKUP($A$3:$A$144,'APR-2026'!$A$4:$ABX$112,MATCH('FY-(26-27)Q1'!$G$2:$H$2,'APR-2026'!$A$2:$BY$2,0),0),0)</f>
        <v>0</v>
      </c>
      <c r="I58" s="152">
        <f>IFERROR(VLOOKUP($A$3:$A$144,'MAY-2026'!$A$4:$ACP$113,MATCH('FY-(26-27)Q1'!$I$2:$J$2,'MAY-2026'!$A$2:$CQ$2,0),0),0)</f>
        <v>0</v>
      </c>
      <c r="J58" s="154">
        <f>IFERROR(VLOOKUP($A$3:$A$144,'MAY-2026'!$A$4:$ACP$113,MATCH('FY-(26-27)Q1'!$I$2:$J$2,'MAY-2026'!$A$2:$CQ$2,0),0),0)</f>
        <v>0</v>
      </c>
      <c r="K58" s="152">
        <f>IFERROR(VLOOKUP($A$3:$A$144,'JUNE-2026'!$A$4:$ADJ$113,MATCH('FY-(26-27)Q1'!$K$2:$L$2,'JUNE-2026'!$A$2:$DK$2,0),0),0)</f>
        <v>0</v>
      </c>
      <c r="L58" s="154">
        <f>IFERROR(VLOOKUP($A$3:$A$144,'JUNE-2026'!$A$4:$ADJ$113,MATCH('FY-(26-27)Q1'!$K$2:$L$2,'JUNE-2026'!$A$2:$DK$2,0),0),0)</f>
        <v>0</v>
      </c>
      <c r="M58" s="71">
        <f t="shared" si="10"/>
        <v>0</v>
      </c>
      <c r="N58" s="165">
        <f t="shared" si="11"/>
        <v>0</v>
      </c>
      <c r="O58" s="214"/>
      <c r="P58" s="152">
        <f>IFERROR(VLOOKUP($A$3:$A$144,'FY-(26-27)Q2'!$A$4:$ABW$124,MATCH('FY-(26-27)Q1'!$P$2:$Q$2,'FY-(26-27)Q2'!$A$2:$BX$2,0),0),0)</f>
        <v>0</v>
      </c>
      <c r="Q58" s="154">
        <f>IFERROR(VLOOKUP($A$3:$A$144,'FY-(26-27)Q2'!$A$4:$ABW$124,MATCH('FY-(26-27)Q1'!$P$2:$Q$2,'FY-(26-27)Q2'!$A$2:$BX$2,0),0),0)</f>
        <v>0</v>
      </c>
      <c r="R58" s="158"/>
      <c r="S58" s="152">
        <f>IFERROR(VLOOKUP($A$3:$A$144,'FY-(26-27)Q3'!$A$4:$ABW$117,MATCH('FY-(26-27)Q1'!$S$2:$T$2,'FY-(26-27)Q3'!$A$2:$BX$2,0),0),0)</f>
        <v>0</v>
      </c>
      <c r="T58" s="154">
        <f>IFERROR(VLOOKUP($A$3:$A$144,'FY-(26-27)Q3'!$A$4:$ABW$117,MATCH('FY-(26-27)Q1'!$S$2:$T$3,'FY-(26-27)Q3'!$A$2:$BX$2,0),0),0)</f>
        <v>0</v>
      </c>
      <c r="U58" s="158"/>
      <c r="V58" s="143"/>
      <c r="W58" s="149"/>
      <c r="Y58" s="153">
        <f t="shared" si="4"/>
        <v>0</v>
      </c>
      <c r="Z58" s="167">
        <f t="shared" si="5"/>
        <v>0</v>
      </c>
    </row>
    <row r="59" spans="1:34" ht="15" customHeight="1" x14ac:dyDescent="0.25">
      <c r="A59" s="141" t="s">
        <v>229</v>
      </c>
      <c r="B59" s="142" t="s">
        <v>105</v>
      </c>
      <c r="C59" s="141" t="s">
        <v>218</v>
      </c>
      <c r="D59" s="141" t="s">
        <v>269</v>
      </c>
      <c r="E59" s="141" t="s">
        <v>256</v>
      </c>
      <c r="F59" s="155">
        <v>0.5</v>
      </c>
      <c r="G59" s="152">
        <f>IFERROR(VLOOKUP($A$3:$A$144,'APR-2026'!$A$4:$ABX$112,MATCH('FY-(26-27)Q1'!$G$2:$H$2,'APR-2026'!$A$2:$BY$2,0),0),0)</f>
        <v>0</v>
      </c>
      <c r="H59" s="154">
        <f>IFERROR(VLOOKUP($A$3:$A$144,'APR-2026'!$A$4:$ABX$112,MATCH('FY-(26-27)Q1'!$G$2:$H$2,'APR-2026'!$A$2:$BY$2,0),0),0)</f>
        <v>0</v>
      </c>
      <c r="I59" s="152">
        <f>IFERROR(VLOOKUP($A$3:$A$144,'MAY-2026'!$A$4:$ACP$113,MATCH('FY-(26-27)Q1'!$I$2:$J$2,'MAY-2026'!$A$2:$CQ$2,0),0),0)</f>
        <v>-2189</v>
      </c>
      <c r="J59" s="154">
        <f>IFERROR(VLOOKUP($A$3:$A$144,'MAY-2026'!$A$4:$ACP$113,MATCH('FY-(26-27)Q1'!$I$2:$J$2,'MAY-2026'!$A$2:$CQ$2,0),0),0)</f>
        <v>-4.3779999999999999E-2</v>
      </c>
      <c r="K59" s="152">
        <f>IFERROR(VLOOKUP($A$3:$A$144,'JUNE-2026'!$A$4:$ADJ$113,MATCH('FY-(26-27)Q1'!$K$2:$L$2,'JUNE-2026'!$A$2:$DK$2,0),0),0)</f>
        <v>-243589</v>
      </c>
      <c r="L59" s="154">
        <f>IFERROR(VLOOKUP($A$3:$A$144,'JUNE-2026'!$A$4:$ADJ$113,MATCH('FY-(26-27)Q1'!$K$2:$L$2,'JUNE-2026'!$A$2:$DK$2,0),0),0)</f>
        <v>-4.8717800000000002</v>
      </c>
      <c r="M59" s="71">
        <f t="shared" si="10"/>
        <v>-245778</v>
      </c>
      <c r="N59" s="165">
        <f t="shared" si="11"/>
        <v>-4.9155600000000002</v>
      </c>
      <c r="O59" s="214"/>
      <c r="P59" s="152">
        <f>IFERROR(VLOOKUP($A$3:$A$144,'FY-(26-27)Q2'!$A$4:$ABW$124,MATCH('FY-(26-27)Q1'!$P$2:$Q$2,'FY-(26-27)Q2'!$A$2:$BX$2,0),0),0)</f>
        <v>-28247</v>
      </c>
      <c r="Q59" s="154">
        <f>IFERROR(VLOOKUP($A$3:$A$144,'FY-(26-27)Q2'!$A$4:$ABW$124,MATCH('FY-(26-27)Q1'!$P$2:$Q$2,'FY-(26-27)Q2'!$A$2:$BX$2,0),0),0)</f>
        <v>-0.56493999999999989</v>
      </c>
      <c r="R59" s="158"/>
      <c r="S59" s="152">
        <f>IFERROR(VLOOKUP($A$3:$A$144,'FY-(26-27)Q3'!$A$4:$ABW$117,MATCH('FY-(26-27)Q1'!$S$2:$T$2,'FY-(26-27)Q3'!$A$2:$BX$2,0),0),0)</f>
        <v>-24327</v>
      </c>
      <c r="T59" s="154">
        <f>IFERROR(VLOOKUP($A$3:$A$144,'FY-(26-27)Q3'!$A$4:$ABW$117,MATCH('FY-(26-27)Q1'!$S$2:$T$3,'FY-(26-27)Q3'!$A$2:$BX$2,0),0),0)</f>
        <v>0</v>
      </c>
      <c r="U59" s="158"/>
      <c r="V59" s="143"/>
      <c r="W59" s="149"/>
      <c r="X59" s="131"/>
      <c r="Y59" s="153">
        <f t="shared" si="4"/>
        <v>-298352</v>
      </c>
      <c r="Z59" s="167">
        <f t="shared" si="5"/>
        <v>-5.4805000000000001</v>
      </c>
      <c r="AA59" s="131"/>
    </row>
    <row r="60" spans="1:34" ht="15" customHeight="1" x14ac:dyDescent="0.25">
      <c r="A60" s="35" t="s">
        <v>45</v>
      </c>
      <c r="B60" s="36" t="s">
        <v>98</v>
      </c>
      <c r="C60" s="35" t="s">
        <v>220</v>
      </c>
      <c r="D60" s="141" t="s">
        <v>265</v>
      </c>
      <c r="E60" s="60" t="s">
        <v>256</v>
      </c>
      <c r="F60" s="116">
        <v>1</v>
      </c>
      <c r="G60" s="152">
        <f>IFERROR(VLOOKUP($A$3:$A$144,'APR-2026'!$A$4:$ABX$112,MATCH('FY-(26-27)Q1'!$G$2:$H$2,'APR-2026'!$A$2:$BY$2,0),0),0)</f>
        <v>-4883324</v>
      </c>
      <c r="H60" s="154">
        <f>IFERROR(VLOOKUP($A$3:$A$144,'APR-2026'!$A$4:$ABX$112,MATCH('FY-(26-27)Q1'!$G$2:$H$2,'APR-2026'!$A$2:$BY$2,0),0),0)</f>
        <v>-16.277746666666669</v>
      </c>
      <c r="I60" s="152">
        <f>IFERROR(VLOOKUP($A$3:$A$144,'MAY-2026'!$A$4:$ACP$113,MATCH('FY-(26-27)Q1'!$I$2:$J$2,'MAY-2026'!$A$2:$CQ$2,0),0),0)</f>
        <v>76551</v>
      </c>
      <c r="J60" s="154">
        <f>IFERROR(VLOOKUP($A$3:$A$144,'MAY-2026'!$A$4:$ACP$113,MATCH('FY-(26-27)Q1'!$I$2:$J$2,'MAY-2026'!$A$2:$CQ$2,0),0),0)</f>
        <v>0.25517000000000001</v>
      </c>
      <c r="K60" s="152">
        <f>IFERROR(VLOOKUP($A$3:$A$144,'JUNE-2026'!$A$4:$ADJ$113,MATCH('FY-(26-27)Q1'!$K$2:$L$2,'JUNE-2026'!$A$2:$DK$2,0),0),0)</f>
        <v>107798</v>
      </c>
      <c r="L60" s="154">
        <f>IFERROR(VLOOKUP($A$3:$A$144,'JUNE-2026'!$A$4:$ADJ$113,MATCH('FY-(26-27)Q1'!$K$2:$L$2,'JUNE-2026'!$A$2:$DK$2,0),0),0)</f>
        <v>0.35932666666666663</v>
      </c>
      <c r="M60" s="71">
        <f t="shared" si="10"/>
        <v>-4698975</v>
      </c>
      <c r="N60" s="165">
        <f t="shared" si="11"/>
        <v>-15.663250000000003</v>
      </c>
      <c r="O60" s="214"/>
      <c r="P60" s="152">
        <f>IFERROR(VLOOKUP($A$3:$A$144,'FY-(26-27)Q2'!$A$4:$ABW$124,MATCH('FY-(26-27)Q1'!$P$2:$Q$2,'FY-(26-27)Q2'!$A$2:$BX$2,0),0),0)</f>
        <v>44640</v>
      </c>
      <c r="Q60" s="154">
        <f>IFERROR(VLOOKUP($A$3:$A$144,'FY-(26-27)Q2'!$A$4:$ABW$124,MATCH('FY-(26-27)Q1'!$P$2:$Q$2,'FY-(26-27)Q2'!$A$2:$BX$2,0),0),0)</f>
        <v>0.14879999999999993</v>
      </c>
      <c r="R60" s="158"/>
      <c r="S60" s="152">
        <f>IFERROR(VLOOKUP($A$3:$A$144,'FY-(26-27)Q3'!$A$4:$ABW$117,MATCH('FY-(26-27)Q1'!$S$2:$T$2,'FY-(26-27)Q3'!$A$2:$BX$2,0),0),0)</f>
        <v>728571</v>
      </c>
      <c r="T60" s="154">
        <f>IFERROR(VLOOKUP($A$3:$A$144,'FY-(26-27)Q3'!$A$4:$ABW$117,MATCH('FY-(26-27)Q1'!$S$2:$T$3,'FY-(26-27)Q3'!$A$2:$BX$2,0),0),0)</f>
        <v>0</v>
      </c>
      <c r="U60" s="158"/>
      <c r="V60" s="45"/>
      <c r="W60" s="72"/>
      <c r="Y60" s="153">
        <f t="shared" si="4"/>
        <v>-3925764</v>
      </c>
      <c r="Z60" s="167">
        <f t="shared" si="5"/>
        <v>-15.514450000000004</v>
      </c>
      <c r="AB60" s="131"/>
      <c r="AC60" s="131"/>
    </row>
    <row r="61" spans="1:34" ht="15" customHeight="1" x14ac:dyDescent="0.25">
      <c r="A61" s="141" t="s">
        <v>193</v>
      </c>
      <c r="B61" s="142" t="s">
        <v>186</v>
      </c>
      <c r="C61" s="141" t="s">
        <v>221</v>
      </c>
      <c r="D61" s="141" t="s">
        <v>265</v>
      </c>
      <c r="E61" s="141" t="s">
        <v>256</v>
      </c>
      <c r="F61" s="155">
        <v>3</v>
      </c>
      <c r="G61" s="152">
        <f>IFERROR(VLOOKUP($A$3:$A$144,'APR-2026'!$A$4:$ABX$112,MATCH('FY-(26-27)Q1'!$G$2:$H$2,'APR-2026'!$A$2:$BY$2,0),0),0)</f>
        <v>-586367</v>
      </c>
      <c r="H61" s="154">
        <f>IFERROR(VLOOKUP($A$3:$A$144,'APR-2026'!$A$4:$ABX$112,MATCH('FY-(26-27)Q1'!$G$2:$H$2,'APR-2026'!$A$2:$BY$2,0),0),0)</f>
        <v>-1.9545566666666665</v>
      </c>
      <c r="I61" s="152">
        <f>IFERROR(VLOOKUP($A$3:$A$144,'MAY-2026'!$A$4:$ACP$113,MATCH('FY-(26-27)Q1'!$I$2:$J$2,'MAY-2026'!$A$2:$CQ$2,0),0),0)</f>
        <v>152411</v>
      </c>
      <c r="J61" s="154">
        <f>IFERROR(VLOOKUP($A$3:$A$144,'MAY-2026'!$A$4:$ACP$113,MATCH('FY-(26-27)Q1'!$I$2:$J$2,'MAY-2026'!$A$2:$CQ$2,0),0),0)</f>
        <v>0.50803666666666658</v>
      </c>
      <c r="K61" s="152">
        <f>IFERROR(VLOOKUP($A$3:$A$144,'JUNE-2026'!$A$4:$ADJ$113,MATCH('FY-(26-27)Q1'!$K$2:$L$2,'JUNE-2026'!$A$2:$DK$2,0),0),0)</f>
        <v>144510</v>
      </c>
      <c r="L61" s="154">
        <f>IFERROR(VLOOKUP($A$3:$A$144,'JUNE-2026'!$A$4:$ADJ$113,MATCH('FY-(26-27)Q1'!$K$2:$L$2,'JUNE-2026'!$A$2:$DK$2,0),0),0)</f>
        <v>0.48170000000000002</v>
      </c>
      <c r="M61" s="71">
        <f t="shared" si="10"/>
        <v>-289446</v>
      </c>
      <c r="N61" s="165">
        <f t="shared" si="11"/>
        <v>-0.96482000000000001</v>
      </c>
      <c r="O61" s="214"/>
      <c r="P61" s="152">
        <f>IFERROR(VLOOKUP($A$3:$A$144,'FY-(26-27)Q2'!$A$4:$ABW$124,MATCH('FY-(26-27)Q1'!$P$2:$Q$2,'FY-(26-27)Q2'!$A$2:$BX$2,0),0),0)</f>
        <v>-39847</v>
      </c>
      <c r="Q61" s="154">
        <f>IFERROR(VLOOKUP($A$3:$A$144,'FY-(26-27)Q2'!$A$4:$ABW$124,MATCH('FY-(26-27)Q1'!$P$2:$Q$2,'FY-(26-27)Q2'!$A$2:$BX$2,0),0),0)</f>
        <v>-0.13282333333333335</v>
      </c>
      <c r="R61" s="158"/>
      <c r="S61" s="152">
        <f>IFERROR(VLOOKUP($A$3:$A$144,'FY-(26-27)Q3'!$A$4:$ABW$117,MATCH('FY-(26-27)Q1'!$S$2:$T$2,'FY-(26-27)Q3'!$A$2:$BX$2,0),0),0)</f>
        <v>0</v>
      </c>
      <c r="T61" s="154">
        <f>IFERROR(VLOOKUP($A$3:$A$144,'FY-(26-27)Q3'!$A$4:$ABW$117,MATCH('FY-(26-27)Q1'!$S$2:$T$3,'FY-(26-27)Q3'!$A$2:$BX$2,0),0),0)</f>
        <v>0</v>
      </c>
      <c r="U61" s="158"/>
      <c r="V61" s="143"/>
      <c r="W61" s="149"/>
      <c r="X61" s="131"/>
      <c r="Y61" s="153">
        <f t="shared" si="4"/>
        <v>-329293</v>
      </c>
      <c r="Z61" s="167">
        <f t="shared" si="5"/>
        <v>-1.0976433333333333</v>
      </c>
    </row>
    <row r="62" spans="1:34" s="1" customFormat="1" ht="15" customHeight="1" x14ac:dyDescent="0.25">
      <c r="A62" s="35" t="s">
        <v>52</v>
      </c>
      <c r="B62" s="36" t="s">
        <v>115</v>
      </c>
      <c r="C62" s="35" t="s">
        <v>219</v>
      </c>
      <c r="D62" s="141" t="s">
        <v>269</v>
      </c>
      <c r="E62" s="37" t="s">
        <v>256</v>
      </c>
      <c r="F62" s="116">
        <v>3</v>
      </c>
      <c r="G62" s="152">
        <f>IFERROR(VLOOKUP($A$3:$A$144,'APR-2026'!$A$4:$ABX$112,MATCH('FY-(26-27)Q1'!$G$2:$H$2,'APR-2026'!$A$2:$BY$2,0),0),0)</f>
        <v>-109500</v>
      </c>
      <c r="H62" s="154">
        <f>IFERROR(VLOOKUP($A$3:$A$144,'APR-2026'!$A$4:$ABX$112,MATCH('FY-(26-27)Q1'!$G$2:$H$2,'APR-2026'!$A$2:$BY$2,0),0),0)</f>
        <v>-0.36499999999999999</v>
      </c>
      <c r="I62" s="152">
        <f>IFERROR(VLOOKUP($A$3:$A$144,'MAY-2026'!$A$4:$ACP$113,MATCH('FY-(26-27)Q1'!$I$2:$J$2,'MAY-2026'!$A$2:$CQ$2,0),0),0)</f>
        <v>174432</v>
      </c>
      <c r="J62" s="154">
        <f>IFERROR(VLOOKUP($A$3:$A$144,'MAY-2026'!$A$4:$ACP$113,MATCH('FY-(26-27)Q1'!$I$2:$J$2,'MAY-2026'!$A$2:$CQ$2,0),0),0)</f>
        <v>0.58143999999999996</v>
      </c>
      <c r="K62" s="152">
        <f>IFERROR(VLOOKUP($A$3:$A$144,'JUNE-2026'!$A$4:$ADJ$113,MATCH('FY-(26-27)Q1'!$K$2:$L$2,'JUNE-2026'!$A$2:$DK$2,0),0),0)</f>
        <v>30862</v>
      </c>
      <c r="L62" s="154">
        <f>IFERROR(VLOOKUP($A$3:$A$144,'JUNE-2026'!$A$4:$ADJ$113,MATCH('FY-(26-27)Q1'!$K$2:$L$2,'JUNE-2026'!$A$2:$DK$2,0),0),0)</f>
        <v>0.10287333333333333</v>
      </c>
      <c r="M62" s="71">
        <f t="shared" si="10"/>
        <v>95794</v>
      </c>
      <c r="N62" s="165">
        <f t="shared" si="11"/>
        <v>0.31931333333333328</v>
      </c>
      <c r="O62" s="214"/>
      <c r="P62" s="152">
        <f>IFERROR(VLOOKUP($A$3:$A$144,'FY-(26-27)Q2'!$A$4:$ABW$124,MATCH('FY-(26-27)Q1'!$P$2:$Q$2,'FY-(26-27)Q2'!$A$2:$BX$2,0),0),0)</f>
        <v>30958</v>
      </c>
      <c r="Q62" s="154">
        <f>IFERROR(VLOOKUP($A$3:$A$144,'FY-(26-27)Q2'!$A$4:$ABW$124,MATCH('FY-(26-27)Q1'!$P$2:$Q$2,'FY-(26-27)Q2'!$A$2:$BX$2,0),0),0)</f>
        <v>0.10319333333333325</v>
      </c>
      <c r="R62" s="158"/>
      <c r="S62" s="152">
        <f>IFERROR(VLOOKUP($A$3:$A$144,'FY-(26-27)Q3'!$A$4:$ABW$117,MATCH('FY-(26-27)Q1'!$S$2:$T$2,'FY-(26-27)Q3'!$A$2:$BX$2,0),0),0)</f>
        <v>0</v>
      </c>
      <c r="T62" s="154">
        <f>IFERROR(VLOOKUP($A$3:$A$144,'FY-(26-27)Q3'!$A$4:$ABW$117,MATCH('FY-(26-27)Q1'!$S$2:$T$3,'FY-(26-27)Q3'!$A$2:$BX$2,0),0),0)</f>
        <v>0</v>
      </c>
      <c r="U62" s="158"/>
      <c r="V62" s="45"/>
      <c r="W62" s="72"/>
      <c r="X62"/>
      <c r="Y62" s="153">
        <f t="shared" si="4"/>
        <v>126752</v>
      </c>
      <c r="Z62" s="167">
        <f t="shared" si="5"/>
        <v>0.42250666666666653</v>
      </c>
      <c r="AB62"/>
      <c r="AC62"/>
      <c r="AD62"/>
      <c r="AE62"/>
      <c r="AF62"/>
      <c r="AG62"/>
      <c r="AH62"/>
    </row>
    <row r="63" spans="1:34" s="131" customFormat="1" ht="15" customHeight="1" x14ac:dyDescent="0.25">
      <c r="A63" s="141" t="s">
        <v>292</v>
      </c>
      <c r="B63" s="142" t="s">
        <v>291</v>
      </c>
      <c r="C63" s="141" t="s">
        <v>293</v>
      </c>
      <c r="D63" s="141"/>
      <c r="E63" s="141" t="s">
        <v>256</v>
      </c>
      <c r="F63" s="155">
        <v>0.1</v>
      </c>
      <c r="G63" s="152">
        <f>IFERROR(VLOOKUP($A$3:$A$144,'APR-2026'!$A$4:$ABX$112,MATCH('FY-(26-27)Q1'!$G$2:$H$2,'APR-2026'!$A$2:$BY$2,0),0),0)</f>
        <v>0</v>
      </c>
      <c r="H63" s="154">
        <f>IFERROR(VLOOKUP($A$3:$A$144,'APR-2026'!$A$4:$ABX$112,MATCH('FY-(26-27)Q1'!$G$2:$H$2,'APR-2026'!$A$2:$BY$2,0),0),0)</f>
        <v>0</v>
      </c>
      <c r="I63" s="152">
        <f>IFERROR(VLOOKUP($A$3:$A$144,'MAY-2026'!$A$4:$ACP$113,MATCH('FY-(26-27)Q1'!$I$2:$J$2,'MAY-2026'!$A$2:$CQ$2,0),0),0)</f>
        <v>0</v>
      </c>
      <c r="J63" s="154">
        <f>IFERROR(VLOOKUP($A$3:$A$144,'MAY-2026'!$A$4:$ACP$113,MATCH('FY-(26-27)Q1'!$I$2:$J$2,'MAY-2026'!$A$2:$CQ$2,0),0),0)</f>
        <v>0</v>
      </c>
      <c r="K63" s="152">
        <f>IFERROR(VLOOKUP($A$3:$A$144,'JUNE-2026'!$A$4:$ADJ$113,MATCH('FY-(26-27)Q1'!$K$2:$L$2,'JUNE-2026'!$A$2:$DK$2,0),0),0)</f>
        <v>0</v>
      </c>
      <c r="L63" s="154">
        <f>IFERROR(VLOOKUP($A$3:$A$144,'JUNE-2026'!$A$4:$ADJ$113,MATCH('FY-(26-27)Q1'!$K$2:$L$2,'JUNE-2026'!$A$2:$DK$2,0),0),0)</f>
        <v>0</v>
      </c>
      <c r="M63" s="71">
        <f t="shared" si="10"/>
        <v>0</v>
      </c>
      <c r="N63" s="165">
        <f t="shared" si="11"/>
        <v>0</v>
      </c>
      <c r="O63" s="214"/>
      <c r="P63" s="152">
        <f>IFERROR(VLOOKUP($A$3:$A$144,'FY-(26-27)Q2'!$A$4:$ABW$124,MATCH('FY-(26-27)Q1'!$P$2:$Q$2,'FY-(26-27)Q2'!$A$2:$BX$2,0),0),0)</f>
        <v>-20121</v>
      </c>
      <c r="Q63" s="154">
        <f>IFERROR(VLOOKUP($A$3:$A$144,'FY-(26-27)Q2'!$A$4:$ABW$124,MATCH('FY-(26-27)Q1'!$P$2:$Q$2,'FY-(26-27)Q2'!$A$2:$BX$2,0),0),0)</f>
        <v>-2.0121000000000002</v>
      </c>
      <c r="R63" s="158"/>
      <c r="S63" s="152">
        <f>IFERROR(VLOOKUP($A$3:$A$144,'FY-(26-27)Q3'!$A$4:$ABW$117,MATCH('FY-(26-27)Q1'!$S$2:$T$2,'FY-(26-27)Q3'!$A$2:$BX$2,0),0),0)</f>
        <v>-72992</v>
      </c>
      <c r="T63" s="154">
        <f>IFERROR(VLOOKUP($A$3:$A$144,'FY-(26-27)Q3'!$A$4:$ABW$117,MATCH('FY-(26-27)Q1'!$S$2:$T$3,'FY-(26-27)Q3'!$A$2:$BX$2,0),0),0)</f>
        <v>0</v>
      </c>
      <c r="U63" s="158"/>
      <c r="V63" s="143"/>
      <c r="W63" s="149"/>
      <c r="Y63" s="153">
        <f t="shared" si="4"/>
        <v>-93113</v>
      </c>
      <c r="Z63" s="167">
        <f t="shared" si="5"/>
        <v>-2.0121000000000002</v>
      </c>
    </row>
    <row r="64" spans="1:34" s="131" customFormat="1" ht="15" customHeight="1" x14ac:dyDescent="0.25">
      <c r="A64" s="35" t="s">
        <v>132</v>
      </c>
      <c r="B64" s="36" t="s">
        <v>129</v>
      </c>
      <c r="C64" s="35" t="s">
        <v>17</v>
      </c>
      <c r="D64" s="141" t="s">
        <v>267</v>
      </c>
      <c r="E64" s="37" t="s">
        <v>256</v>
      </c>
      <c r="F64" s="116">
        <v>1</v>
      </c>
      <c r="G64" s="152">
        <f>IFERROR(VLOOKUP($A$3:$A$144,'APR-2026'!$A$4:$ABX$112,MATCH('FY-(26-27)Q1'!$G$2:$H$2,'APR-2026'!$A$2:$BY$2,0),0),0)</f>
        <v>38535</v>
      </c>
      <c r="H64" s="154">
        <f>IFERROR(VLOOKUP($A$3:$A$144,'APR-2026'!$A$4:$ABX$112,MATCH('FY-(26-27)Q1'!$G$2:$H$2,'APR-2026'!$A$2:$BY$2,0),0),0)</f>
        <v>0.38535000000000003</v>
      </c>
      <c r="I64" s="152">
        <f>IFERROR(VLOOKUP($A$3:$A$144,'MAY-2026'!$A$4:$ACP$113,MATCH('FY-(26-27)Q1'!$I$2:$J$2,'MAY-2026'!$A$2:$CQ$2,0),0),0)</f>
        <v>11519</v>
      </c>
      <c r="J64" s="154">
        <f>IFERROR(VLOOKUP($A$3:$A$144,'MAY-2026'!$A$4:$ACP$113,MATCH('FY-(26-27)Q1'!$I$2:$J$2,'MAY-2026'!$A$2:$CQ$2,0),0),0)</f>
        <v>7.6793333333333325E-2</v>
      </c>
      <c r="K64" s="152">
        <f>IFERROR(VLOOKUP($A$3:$A$144,'JUNE-2026'!$A$4:$ADJ$113,MATCH('FY-(26-27)Q1'!$K$2:$L$2,'JUNE-2026'!$A$2:$DK$2,0),0),0)</f>
        <v>-13331</v>
      </c>
      <c r="L64" s="154">
        <f>IFERROR(VLOOKUP($A$3:$A$144,'JUNE-2026'!$A$4:$ADJ$113,MATCH('FY-(26-27)Q1'!$K$2:$L$2,'JUNE-2026'!$A$2:$DK$2,0),0),0)</f>
        <v>-0.13331000000000001</v>
      </c>
      <c r="M64" s="71">
        <f t="shared" si="10"/>
        <v>36723</v>
      </c>
      <c r="N64" s="165">
        <f t="shared" si="11"/>
        <v>0.32883333333333331</v>
      </c>
      <c r="O64" s="214"/>
      <c r="P64" s="152">
        <f>IFERROR(VLOOKUP($A$3:$A$144,'FY-(26-27)Q2'!$A$4:$ABW$124,MATCH('FY-(26-27)Q1'!$P$2:$Q$2,'FY-(26-27)Q2'!$A$2:$BX$2,0),0),0)</f>
        <v>-4032</v>
      </c>
      <c r="Q64" s="154">
        <f>IFERROR(VLOOKUP($A$3:$A$144,'FY-(26-27)Q2'!$A$4:$ABW$124,MATCH('FY-(26-27)Q1'!$P$2:$Q$2,'FY-(26-27)Q2'!$A$2:$BX$2,0),0),0)</f>
        <v>-0.40123999999999999</v>
      </c>
      <c r="R64" s="158"/>
      <c r="S64" s="152">
        <f>IFERROR(VLOOKUP($A$3:$A$144,'FY-(26-27)Q3'!$A$4:$ABW$117,MATCH('FY-(26-27)Q1'!$S$2:$T$2,'FY-(26-27)Q3'!$A$2:$BX$2,0),0),0)</f>
        <v>80741</v>
      </c>
      <c r="T64" s="154">
        <f>IFERROR(VLOOKUP($A$3:$A$144,'FY-(26-27)Q3'!$A$4:$ABW$117,MATCH('FY-(26-27)Q1'!$S$2:$T$3,'FY-(26-27)Q3'!$A$2:$BX$2,0),0),0)</f>
        <v>0</v>
      </c>
      <c r="U64" s="158"/>
      <c r="V64" s="45"/>
      <c r="W64" s="72"/>
      <c r="X64" s="1"/>
      <c r="Y64" s="153">
        <f t="shared" si="4"/>
        <v>113432</v>
      </c>
      <c r="Z64" s="167">
        <f t="shared" si="5"/>
        <v>-7.2406666666666675E-2</v>
      </c>
      <c r="AB64" s="1"/>
      <c r="AC64" s="1"/>
      <c r="AD64" s="1"/>
      <c r="AE64" s="1"/>
      <c r="AF64" s="1"/>
      <c r="AG64" s="1"/>
      <c r="AH64" s="1"/>
    </row>
    <row r="65" spans="1:34" s="1" customFormat="1" ht="15" customHeight="1" x14ac:dyDescent="0.25">
      <c r="A65" s="35" t="s">
        <v>48</v>
      </c>
      <c r="B65" s="34" t="s">
        <v>95</v>
      </c>
      <c r="C65" s="35" t="s">
        <v>50</v>
      </c>
      <c r="D65" s="40" t="s">
        <v>107</v>
      </c>
      <c r="E65" s="40" t="s">
        <v>107</v>
      </c>
      <c r="F65" s="118">
        <v>1</v>
      </c>
      <c r="G65" s="152">
        <f>IFERROR(VLOOKUP($A$3:$A$144,'APR-2026'!$A$4:$ABX$112,MATCH('FY-(26-27)Q1'!$G$2:$H$2,'APR-2026'!$A$2:$BY$2,0),0),0)</f>
        <v>3123845</v>
      </c>
      <c r="H65" s="154">
        <f>IFERROR(VLOOKUP($A$3:$A$144,'APR-2026'!$A$4:$ABX$112,MATCH('FY-(26-27)Q1'!$G$2:$H$2,'APR-2026'!$A$2:$BY$2,0),0),0)</f>
        <v>31.23845</v>
      </c>
      <c r="I65" s="152">
        <f>IFERROR(VLOOKUP($A$3:$A$144,'MAY-2026'!$A$4:$ACP$113,MATCH('FY-(26-27)Q1'!$I$2:$J$2,'MAY-2026'!$A$2:$CQ$2,0),0),0)</f>
        <v>232568</v>
      </c>
      <c r="J65" s="154">
        <f>IFERROR(VLOOKUP($A$3:$A$144,'MAY-2026'!$A$4:$ACP$113,MATCH('FY-(26-27)Q1'!$I$2:$J$2,'MAY-2026'!$A$2:$CQ$2,0),0),0)</f>
        <v>2.3256800000000002</v>
      </c>
      <c r="K65" s="152">
        <f>IFERROR(VLOOKUP($A$3:$A$144,'JUNE-2026'!$A$4:$ADJ$113,MATCH('FY-(26-27)Q1'!$K$2:$L$2,'JUNE-2026'!$A$2:$DK$2,0),0),0)</f>
        <v>193656</v>
      </c>
      <c r="L65" s="154">
        <f>IFERROR(VLOOKUP($A$3:$A$144,'JUNE-2026'!$A$4:$ADJ$113,MATCH('FY-(26-27)Q1'!$K$2:$L$2,'JUNE-2026'!$A$2:$DK$2,0),0),0)</f>
        <v>1.9365600000000001</v>
      </c>
      <c r="M65" s="71">
        <f t="shared" si="10"/>
        <v>3550069</v>
      </c>
      <c r="N65" s="165">
        <f t="shared" si="11"/>
        <v>35.500689999999999</v>
      </c>
      <c r="O65" s="214"/>
      <c r="P65" s="152">
        <f>IFERROR(VLOOKUP($A$3:$A$144,'FY-(26-27)Q2'!$A$4:$ABW$124,MATCH('FY-(26-27)Q1'!$P$2:$Q$2,'FY-(26-27)Q2'!$A$2:$BX$2,0),0),0)</f>
        <v>129546</v>
      </c>
      <c r="Q65" s="154">
        <f>IFERROR(VLOOKUP($A$3:$A$144,'FY-(26-27)Q2'!$A$4:$ABW$124,MATCH('FY-(26-27)Q1'!$P$2:$Q$2,'FY-(26-27)Q2'!$A$2:$BX$2,0),0),0)</f>
        <v>1.2954599999999994</v>
      </c>
      <c r="R65" s="158"/>
      <c r="S65" s="152">
        <f>IFERROR(VLOOKUP($A$3:$A$144,'FY-(26-27)Q3'!$A$4:$ABW$117,MATCH('FY-(26-27)Q1'!$S$2:$T$2,'FY-(26-27)Q3'!$A$2:$BX$2,0),0),0)</f>
        <v>-963743</v>
      </c>
      <c r="T65" s="154">
        <f>IFERROR(VLOOKUP($A$3:$A$144,'FY-(26-27)Q3'!$A$4:$ABW$117,MATCH('FY-(26-27)Q1'!$S$2:$T$3,'FY-(26-27)Q3'!$A$2:$BX$2,0),0),0)</f>
        <v>0</v>
      </c>
      <c r="U65" s="158"/>
      <c r="V65" s="45"/>
      <c r="W65" s="72"/>
      <c r="Y65" s="153">
        <f t="shared" si="4"/>
        <v>2715872</v>
      </c>
      <c r="Z65" s="167">
        <f t="shared" si="5"/>
        <v>36.796149999999997</v>
      </c>
      <c r="AB65" s="131"/>
      <c r="AC65" s="131"/>
      <c r="AD65" s="131"/>
      <c r="AE65" s="131"/>
      <c r="AF65" s="131"/>
      <c r="AG65" s="131"/>
      <c r="AH65" s="131"/>
    </row>
    <row r="66" spans="1:34" s="131" customFormat="1" ht="15" customHeight="1" x14ac:dyDescent="0.25">
      <c r="A66" s="141" t="s">
        <v>336</v>
      </c>
      <c r="B66" s="140" t="s">
        <v>95</v>
      </c>
      <c r="C66" s="141" t="s">
        <v>337</v>
      </c>
      <c r="D66" s="162" t="s">
        <v>334</v>
      </c>
      <c r="E66" s="141" t="s">
        <v>256</v>
      </c>
      <c r="F66" s="163">
        <v>0.5</v>
      </c>
      <c r="G66" s="152">
        <f>IFERROR(VLOOKUP($A$3:$A$144,'APR-2026'!$A$4:$ABX$112,MATCH('FY-(26-27)Q1'!$G$2:$H$2,'APR-2026'!$A$2:$BY$2,0),0),0)</f>
        <v>0</v>
      </c>
      <c r="H66" s="154">
        <f>IFERROR(VLOOKUP($A$3:$A$144,'APR-2026'!$A$4:$ABX$112,MATCH('FY-(26-27)Q1'!$G$2:$H$2,'APR-2026'!$A$2:$BY$2,0),0),0)</f>
        <v>0</v>
      </c>
      <c r="I66" s="152">
        <f>IFERROR(VLOOKUP($A$3:$A$144,'MAY-2026'!$A$4:$ACP$113,MATCH('FY-(26-27)Q1'!$I$2:$J$2,'MAY-2026'!$A$2:$CQ$2,0),0),0)</f>
        <v>0</v>
      </c>
      <c r="J66" s="154">
        <f>IFERROR(VLOOKUP($A$3:$A$144,'MAY-2026'!$A$4:$ACP$113,MATCH('FY-(26-27)Q1'!$I$2:$J$2,'MAY-2026'!$A$2:$CQ$2,0),0),0)</f>
        <v>0</v>
      </c>
      <c r="K66" s="152">
        <f>IFERROR(VLOOKUP($A$3:$A$144,'JUNE-2026'!$A$4:$ADJ$113,MATCH('FY-(26-27)Q1'!$K$2:$L$2,'JUNE-2026'!$A$2:$DK$2,0),0),0)</f>
        <v>0</v>
      </c>
      <c r="L66" s="154">
        <f>IFERROR(VLOOKUP($A$3:$A$144,'JUNE-2026'!$A$4:$ADJ$113,MATCH('FY-(26-27)Q1'!$K$2:$L$2,'JUNE-2026'!$A$2:$DK$2,0),0),0)</f>
        <v>0</v>
      </c>
      <c r="M66" s="71">
        <f t="shared" si="10"/>
        <v>0</v>
      </c>
      <c r="N66" s="165">
        <f t="shared" si="11"/>
        <v>0</v>
      </c>
      <c r="O66" s="214"/>
      <c r="P66" s="152">
        <f>IFERROR(VLOOKUP($A$3:$A$144,'FY-(26-27)Q2'!$A$4:$ABW$124,MATCH('FY-(26-27)Q1'!$P$2:$Q$2,'FY-(26-27)Q2'!$A$2:$BX$2,0),0),0)</f>
        <v>0</v>
      </c>
      <c r="Q66" s="154">
        <f>IFERROR(VLOOKUP($A$3:$A$144,'FY-(26-27)Q2'!$A$4:$ABW$124,MATCH('FY-(26-27)Q1'!$P$2:$Q$2,'FY-(26-27)Q2'!$A$2:$BX$2,0),0),0)</f>
        <v>0</v>
      </c>
      <c r="R66" s="158"/>
      <c r="S66" s="152">
        <f>IFERROR(VLOOKUP($A$3:$A$144,'FY-(26-27)Q3'!$A$4:$ABW$117,MATCH('FY-(26-27)Q1'!$S$2:$T$2,'FY-(26-27)Q3'!$A$2:$BX$2,0),0),0)</f>
        <v>495990</v>
      </c>
      <c r="T66" s="154">
        <f>IFERROR(VLOOKUP($A$3:$A$144,'FY-(26-27)Q3'!$A$4:$ABW$117,MATCH('FY-(26-27)Q1'!$S$2:$T$3,'FY-(26-27)Q3'!$A$2:$BX$2,0),0),0)</f>
        <v>0</v>
      </c>
      <c r="U66" s="158"/>
      <c r="V66" s="143"/>
      <c r="W66" s="149"/>
      <c r="Y66" s="153">
        <f t="shared" si="4"/>
        <v>495990</v>
      </c>
      <c r="Z66" s="167">
        <f t="shared" si="5"/>
        <v>0</v>
      </c>
    </row>
    <row r="67" spans="1:34" s="131" customFormat="1" ht="15" customHeight="1" x14ac:dyDescent="0.25">
      <c r="A67" s="141" t="s">
        <v>301</v>
      </c>
      <c r="B67" s="140" t="s">
        <v>295</v>
      </c>
      <c r="C67" s="162" t="s">
        <v>296</v>
      </c>
      <c r="D67" s="162"/>
      <c r="E67" s="162" t="s">
        <v>256</v>
      </c>
      <c r="F67" s="163">
        <v>0.1</v>
      </c>
      <c r="G67" s="152">
        <f>IFERROR(VLOOKUP($A$3:$A$144,'APR-2026'!$A$4:$ABX$112,MATCH('FY-(26-27)Q1'!$G$2:$H$2,'APR-2026'!$A$2:$BY$2,0),0),0)</f>
        <v>0</v>
      </c>
      <c r="H67" s="154">
        <f>IFERROR(VLOOKUP($A$3:$A$144,'APR-2026'!$A$4:$ABX$112,MATCH('FY-(26-27)Q1'!$G$2:$H$2,'APR-2026'!$A$2:$BY$2,0),0),0)</f>
        <v>0</v>
      </c>
      <c r="I67" s="152">
        <f>IFERROR(VLOOKUP($A$3:$A$144,'MAY-2026'!$A$4:$ACP$113,MATCH('FY-(26-27)Q1'!$I$2:$J$2,'MAY-2026'!$A$2:$CQ$2,0),0),0)</f>
        <v>0</v>
      </c>
      <c r="J67" s="154">
        <f>IFERROR(VLOOKUP($A$3:$A$144,'MAY-2026'!$A$4:$ACP$113,MATCH('FY-(26-27)Q1'!$I$2:$J$2,'MAY-2026'!$A$2:$CQ$2,0),0),0)</f>
        <v>0</v>
      </c>
      <c r="K67" s="152">
        <f>IFERROR(VLOOKUP($A$3:$A$144,'JUNE-2026'!$A$4:$ADJ$113,MATCH('FY-(26-27)Q1'!$K$2:$L$2,'JUNE-2026'!$A$2:$DK$2,0),0),0)</f>
        <v>0</v>
      </c>
      <c r="L67" s="154">
        <f>IFERROR(VLOOKUP($A$3:$A$144,'JUNE-2026'!$A$4:$ADJ$113,MATCH('FY-(26-27)Q1'!$K$2:$L$2,'JUNE-2026'!$A$2:$DK$2,0),0),0)</f>
        <v>0</v>
      </c>
      <c r="M67" s="71">
        <f t="shared" si="10"/>
        <v>0</v>
      </c>
      <c r="N67" s="165">
        <f t="shared" si="11"/>
        <v>0</v>
      </c>
      <c r="O67" s="214"/>
      <c r="P67" s="152">
        <f>IFERROR(VLOOKUP($A$3:$A$144,'FY-(26-27)Q2'!$A$4:$ABW$124,MATCH('FY-(26-27)Q1'!$P$2:$Q$2,'FY-(26-27)Q2'!$A$2:$BX$2,0),0),0)</f>
        <v>13291</v>
      </c>
      <c r="Q67" s="154">
        <f>IFERROR(VLOOKUP($A$3:$A$144,'FY-(26-27)Q2'!$A$4:$ABW$124,MATCH('FY-(26-27)Q1'!$P$2:$Q$2,'FY-(26-27)Q2'!$A$2:$BX$2,0),0),0)</f>
        <v>1.3290999999999999</v>
      </c>
      <c r="R67" s="158"/>
      <c r="S67" s="152">
        <f>IFERROR(VLOOKUP($A$3:$A$144,'FY-(26-27)Q3'!$A$4:$ABW$117,MATCH('FY-(26-27)Q1'!$S$2:$T$2,'FY-(26-27)Q3'!$A$2:$BX$2,0),0),0)</f>
        <v>-33213</v>
      </c>
      <c r="T67" s="154">
        <f>IFERROR(VLOOKUP($A$3:$A$144,'FY-(26-27)Q3'!$A$4:$ABW$117,MATCH('FY-(26-27)Q1'!$S$2:$T$3,'FY-(26-27)Q3'!$A$2:$BX$2,0),0),0)</f>
        <v>0</v>
      </c>
      <c r="U67" s="158"/>
      <c r="V67" s="143"/>
      <c r="W67" s="149"/>
      <c r="Y67" s="153">
        <f t="shared" si="4"/>
        <v>-19922</v>
      </c>
      <c r="Z67" s="167">
        <f t="shared" si="5"/>
        <v>1.3290999999999999</v>
      </c>
    </row>
    <row r="68" spans="1:34" ht="15" customHeight="1" x14ac:dyDescent="0.25">
      <c r="A68" s="36" t="s">
        <v>33</v>
      </c>
      <c r="B68" s="34" t="s">
        <v>14</v>
      </c>
      <c r="C68" s="36" t="s">
        <v>13</v>
      </c>
      <c r="D68" s="140" t="s">
        <v>14</v>
      </c>
      <c r="E68" s="37" t="s">
        <v>256</v>
      </c>
      <c r="F68" s="118">
        <v>1</v>
      </c>
      <c r="G68" s="152">
        <f>IFERROR(VLOOKUP($A$3:$A$144,'APR-2026'!$A$4:$ABX$112,MATCH('FY-(26-27)Q1'!$G$2:$H$2,'APR-2026'!$A$2:$BY$2,0),0),0)</f>
        <v>633005</v>
      </c>
      <c r="H68" s="154">
        <f>IFERROR(VLOOKUP($A$3:$A$144,'APR-2026'!$A$4:$ABX$112,MATCH('FY-(26-27)Q1'!$G$2:$H$2,'APR-2026'!$A$2:$BY$2,0),0),0)</f>
        <v>2.1100166666666662</v>
      </c>
      <c r="I68" s="152">
        <f>IFERROR(VLOOKUP($A$3:$A$144,'MAY-2026'!$A$4:$ACP$113,MATCH('FY-(26-27)Q1'!$I$2:$J$2,'MAY-2026'!$A$2:$CQ$2,0),0),0)</f>
        <v>538474</v>
      </c>
      <c r="J68" s="154">
        <f>IFERROR(VLOOKUP($A$3:$A$144,'MAY-2026'!$A$4:$ACP$113,MATCH('FY-(26-27)Q1'!$I$2:$J$2,'MAY-2026'!$A$2:$CQ$2,0),0),0)</f>
        <v>1.7949133333333336</v>
      </c>
      <c r="K68" s="152">
        <f>IFERROR(VLOOKUP($A$3:$A$144,'JUNE-2026'!$A$4:$ADJ$113,MATCH('FY-(26-27)Q1'!$K$2:$L$2,'JUNE-2026'!$A$2:$DK$2,0),0),0)</f>
        <v>-498630</v>
      </c>
      <c r="L68" s="154">
        <f>IFERROR(VLOOKUP($A$3:$A$144,'JUNE-2026'!$A$4:$ADJ$113,MATCH('FY-(26-27)Q1'!$K$2:$L$2,'JUNE-2026'!$A$2:$DK$2,0),0),0)</f>
        <v>-1.6620999999999999</v>
      </c>
      <c r="M68" s="71">
        <f t="shared" si="10"/>
        <v>672849</v>
      </c>
      <c r="N68" s="165">
        <f t="shared" si="11"/>
        <v>2.2428299999999997</v>
      </c>
      <c r="O68" s="214"/>
      <c r="P68" s="152">
        <f>IFERROR(VLOOKUP($A$3:$A$144,'FY-(26-27)Q2'!$A$4:$ABW$124,MATCH('FY-(26-27)Q1'!$P$2:$Q$2,'FY-(26-27)Q2'!$A$2:$BX$2,0),0),0)</f>
        <v>170252</v>
      </c>
      <c r="Q68" s="154">
        <f>IFERROR(VLOOKUP($A$3:$A$144,'FY-(26-27)Q2'!$A$4:$ABW$124,MATCH('FY-(26-27)Q1'!$P$2:$Q$2,'FY-(26-27)Q2'!$A$2:$BX$2,0),0),0)</f>
        <v>0.5675066666666666</v>
      </c>
      <c r="R68" s="158"/>
      <c r="S68" s="152">
        <f>IFERROR(VLOOKUP($A$3:$A$144,'FY-(26-27)Q3'!$A$4:$ABW$117,MATCH('FY-(26-27)Q1'!$S$2:$T$2,'FY-(26-27)Q3'!$A$2:$BX$2,0),0),0)</f>
        <v>1105039</v>
      </c>
      <c r="T68" s="154">
        <f>IFERROR(VLOOKUP($A$3:$A$144,'FY-(26-27)Q3'!$A$4:$ABW$117,MATCH('FY-(26-27)Q1'!$S$2:$T$3,'FY-(26-27)Q3'!$A$2:$BX$2,0),0),0)</f>
        <v>0</v>
      </c>
      <c r="U68" s="158"/>
      <c r="V68" s="45"/>
      <c r="W68" s="72"/>
      <c r="Y68" s="153">
        <f t="shared" si="4"/>
        <v>1948140</v>
      </c>
      <c r="Z68" s="167">
        <f t="shared" si="5"/>
        <v>2.8103366666666663</v>
      </c>
      <c r="AB68" s="1"/>
      <c r="AC68" s="1"/>
      <c r="AD68" s="1"/>
      <c r="AE68" s="1"/>
      <c r="AF68" s="1"/>
      <c r="AG68" s="1"/>
      <c r="AH68" s="1"/>
    </row>
    <row r="69" spans="1:34" ht="15" customHeight="1" x14ac:dyDescent="0.25">
      <c r="A69" s="142" t="s">
        <v>168</v>
      </c>
      <c r="B69" s="140" t="s">
        <v>169</v>
      </c>
      <c r="C69" s="132" t="s">
        <v>255</v>
      </c>
      <c r="D69" s="162" t="s">
        <v>253</v>
      </c>
      <c r="E69" s="162" t="s">
        <v>253</v>
      </c>
      <c r="F69" s="114">
        <v>4</v>
      </c>
      <c r="G69" s="152">
        <f>IFERROR(VLOOKUP($A$3:$A$144,'APR-2026'!$A$4:$ABX$112,MATCH('FY-(26-27)Q1'!$G$2:$H$2,'APR-2026'!$A$2:$BY$2,0),0),0)</f>
        <v>343500</v>
      </c>
      <c r="H69" s="154">
        <f>IFERROR(VLOOKUP($A$3:$A$144,'APR-2026'!$A$4:$ABX$112,MATCH('FY-(26-27)Q1'!$G$2:$H$2,'APR-2026'!$A$2:$BY$2,0),0),0)</f>
        <v>0.85875000000000001</v>
      </c>
      <c r="I69" s="152">
        <f>IFERROR(VLOOKUP($A$3:$A$144,'MAY-2026'!$A$4:$ACP$113,MATCH('FY-(26-27)Q1'!$I$2:$J$2,'MAY-2026'!$A$2:$CQ$2,0),0),0)</f>
        <v>352000</v>
      </c>
      <c r="J69" s="154">
        <f>IFERROR(VLOOKUP($A$3:$A$144,'MAY-2026'!$A$4:$ACP$113,MATCH('FY-(26-27)Q1'!$I$2:$J$2,'MAY-2026'!$A$2:$CQ$2,0),0),0)</f>
        <v>0.88</v>
      </c>
      <c r="K69" s="152">
        <f>IFERROR(VLOOKUP($A$3:$A$144,'JUNE-2026'!$A$4:$ADJ$113,MATCH('FY-(26-27)Q1'!$K$2:$L$2,'JUNE-2026'!$A$2:$DK$2,0),0),0)</f>
        <v>-20500</v>
      </c>
      <c r="L69" s="154">
        <f>IFERROR(VLOOKUP($A$3:$A$144,'JUNE-2026'!$A$4:$ADJ$113,MATCH('FY-(26-27)Q1'!$K$2:$L$2,'JUNE-2026'!$A$2:$DK$2,0),0),0)</f>
        <v>-5.1249999999999997E-2</v>
      </c>
      <c r="M69" s="71">
        <f t="shared" si="10"/>
        <v>675000</v>
      </c>
      <c r="N69" s="165">
        <f t="shared" si="11"/>
        <v>1.6875</v>
      </c>
      <c r="O69" s="214"/>
      <c r="P69" s="152">
        <f>IFERROR(VLOOKUP($A$3:$A$144,'FY-(26-27)Q2'!$A$4:$ABW$124,MATCH('FY-(26-27)Q1'!$P$2:$Q$2,'FY-(26-27)Q2'!$A$2:$BX$2,0),0),0)</f>
        <v>289873</v>
      </c>
      <c r="Q69" s="154">
        <f>IFERROR(VLOOKUP($A$3:$A$144,'FY-(26-27)Q2'!$A$4:$ABW$124,MATCH('FY-(26-27)Q1'!$P$2:$Q$2,'FY-(26-27)Q2'!$A$2:$BX$2,0),0),0)</f>
        <v>0.7246824999999999</v>
      </c>
      <c r="R69" s="158"/>
      <c r="S69" s="152">
        <f>IFERROR(VLOOKUP($A$3:$A$144,'FY-(26-27)Q3'!$A$4:$ABW$117,MATCH('FY-(26-27)Q1'!$S$2:$T$2,'FY-(26-27)Q3'!$A$2:$BX$2,0),0),0)</f>
        <v>80210</v>
      </c>
      <c r="T69" s="154">
        <f>IFERROR(VLOOKUP($A$3:$A$144,'FY-(26-27)Q3'!$A$4:$ABW$117,MATCH('FY-(26-27)Q1'!$S$2:$T$3,'FY-(26-27)Q3'!$A$2:$BX$2,0),0),0)</f>
        <v>0</v>
      </c>
      <c r="U69" s="158"/>
      <c r="V69" s="45"/>
      <c r="W69" s="72"/>
      <c r="Y69" s="153">
        <f t="shared" si="4"/>
        <v>1045083</v>
      </c>
      <c r="Z69" s="167">
        <f t="shared" si="5"/>
        <v>2.4121825000000001</v>
      </c>
    </row>
    <row r="70" spans="1:34" ht="15" customHeight="1" x14ac:dyDescent="0.25">
      <c r="A70" s="142" t="s">
        <v>201</v>
      </c>
      <c r="B70" s="140" t="s">
        <v>169</v>
      </c>
      <c r="C70" s="59" t="s">
        <v>227</v>
      </c>
      <c r="D70" s="162" t="s">
        <v>254</v>
      </c>
      <c r="E70" s="162" t="s">
        <v>256</v>
      </c>
      <c r="F70" s="114">
        <v>0.5</v>
      </c>
      <c r="G70" s="152">
        <f>IFERROR(VLOOKUP($A$3:$A$144,'APR-2026'!$A$4:$ABX$112,MATCH('FY-(26-27)Q1'!$G$2:$H$2,'APR-2026'!$A$2:$BY$2,0),0),0)</f>
        <v>-159000</v>
      </c>
      <c r="H70" s="154">
        <f>IFERROR(VLOOKUP($A$3:$A$144,'APR-2026'!$A$4:$ABX$112,MATCH('FY-(26-27)Q1'!$G$2:$H$2,'APR-2026'!$A$2:$BY$2,0),0),0)</f>
        <v>-3.18</v>
      </c>
      <c r="I70" s="152">
        <f>IFERROR(VLOOKUP($A$3:$A$144,'MAY-2026'!$A$4:$ACP$113,MATCH('FY-(26-27)Q1'!$I$2:$J$2,'MAY-2026'!$A$2:$CQ$2,0),0),0)</f>
        <v>-106300</v>
      </c>
      <c r="J70" s="154">
        <f>IFERROR(VLOOKUP($A$3:$A$144,'MAY-2026'!$A$4:$ACP$113,MATCH('FY-(26-27)Q1'!$I$2:$J$2,'MAY-2026'!$A$2:$CQ$2,0),0),0)</f>
        <v>-2.1259999999999999</v>
      </c>
      <c r="K70" s="152">
        <f>IFERROR(VLOOKUP($A$3:$A$144,'JUNE-2026'!$A$4:$ADJ$113,MATCH('FY-(26-27)Q1'!$K$2:$L$2,'JUNE-2026'!$A$2:$DK$2,0),0),0)</f>
        <v>0</v>
      </c>
      <c r="L70" s="154">
        <f>IFERROR(VLOOKUP($A$3:$A$144,'JUNE-2026'!$A$4:$ADJ$113,MATCH('FY-(26-27)Q1'!$K$2:$L$2,'JUNE-2026'!$A$2:$DK$2,0),0),0)</f>
        <v>0</v>
      </c>
      <c r="M70" s="71">
        <f t="shared" si="10"/>
        <v>-265300</v>
      </c>
      <c r="N70" s="165">
        <f t="shared" si="11"/>
        <v>-5.306</v>
      </c>
      <c r="O70" s="214"/>
      <c r="P70" s="152">
        <f>IFERROR(VLOOKUP($A$3:$A$144,'FY-(26-27)Q2'!$A$4:$ABW$124,MATCH('FY-(26-27)Q1'!$P$2:$Q$2,'FY-(26-27)Q2'!$A$2:$BX$2,0),0),0)</f>
        <v>-20169</v>
      </c>
      <c r="Q70" s="154">
        <f>IFERROR(VLOOKUP($A$3:$A$144,'FY-(26-27)Q2'!$A$4:$ABW$124,MATCH('FY-(26-27)Q1'!$P$2:$Q$2,'FY-(26-27)Q2'!$A$2:$BX$2,0),0),0)</f>
        <v>-0.20168999999999998</v>
      </c>
      <c r="R70" s="158"/>
      <c r="S70" s="152">
        <f>IFERROR(VLOOKUP($A$3:$A$144,'FY-(26-27)Q3'!$A$4:$ABW$117,MATCH('FY-(26-27)Q1'!$S$2:$T$2,'FY-(26-27)Q3'!$A$2:$BX$2,0),0),0)</f>
        <v>0</v>
      </c>
      <c r="T70" s="154">
        <f>IFERROR(VLOOKUP($A$3:$A$144,'FY-(26-27)Q3'!$A$4:$ABW$117,MATCH('FY-(26-27)Q1'!$S$2:$T$3,'FY-(26-27)Q3'!$A$2:$BX$2,0),0),0)</f>
        <v>0</v>
      </c>
      <c r="U70" s="158"/>
      <c r="V70" s="143"/>
      <c r="W70" s="149"/>
      <c r="X70" s="131"/>
      <c r="Y70" s="153">
        <f t="shared" si="4"/>
        <v>-285469</v>
      </c>
      <c r="Z70" s="167">
        <f t="shared" si="5"/>
        <v>-5.5076900000000002</v>
      </c>
    </row>
    <row r="71" spans="1:34" ht="15" customHeight="1" x14ac:dyDescent="0.25">
      <c r="A71" s="142" t="s">
        <v>202</v>
      </c>
      <c r="B71" s="140" t="s">
        <v>169</v>
      </c>
      <c r="C71" s="59" t="s">
        <v>255</v>
      </c>
      <c r="D71" s="162" t="s">
        <v>116</v>
      </c>
      <c r="E71" s="162" t="s">
        <v>256</v>
      </c>
      <c r="F71" s="114">
        <v>4</v>
      </c>
      <c r="G71" s="152">
        <f>IFERROR(VLOOKUP($A$3:$A$144,'APR-2026'!$A$4:$ABX$112,MATCH('FY-(26-27)Q1'!$G$2:$H$2,'APR-2026'!$A$2:$BY$2,0),0),0)</f>
        <v>151712</v>
      </c>
      <c r="H71" s="154">
        <f>IFERROR(VLOOKUP($A$3:$A$144,'APR-2026'!$A$4:$ABX$112,MATCH('FY-(26-27)Q1'!$G$2:$H$2,'APR-2026'!$A$2:$BY$2,0),0),0)</f>
        <v>0.37928000000000001</v>
      </c>
      <c r="I71" s="152">
        <f>IFERROR(VLOOKUP($A$3:$A$144,'MAY-2026'!$A$4:$ACP$113,MATCH('FY-(26-27)Q1'!$I$2:$J$2,'MAY-2026'!$A$2:$CQ$2,0),0),0)</f>
        <v>145700</v>
      </c>
      <c r="J71" s="154">
        <f>IFERROR(VLOOKUP($A$3:$A$144,'MAY-2026'!$A$4:$ACP$113,MATCH('FY-(26-27)Q1'!$I$2:$J$2,'MAY-2026'!$A$2:$CQ$2,0),0),0)</f>
        <v>0.36425000000000002</v>
      </c>
      <c r="K71" s="152">
        <f>IFERROR(VLOOKUP($A$3:$A$144,'JUNE-2026'!$A$4:$ADJ$113,MATCH('FY-(26-27)Q1'!$K$2:$L$2,'JUNE-2026'!$A$2:$DK$2,0),0),0)</f>
        <v>227000</v>
      </c>
      <c r="L71" s="154">
        <f>IFERROR(VLOOKUP($A$3:$A$144,'JUNE-2026'!$A$4:$ADJ$113,MATCH('FY-(26-27)Q1'!$K$2:$L$2,'JUNE-2026'!$A$2:$DK$2,0),0),0)</f>
        <v>0.5675</v>
      </c>
      <c r="M71" s="71">
        <f t="shared" si="10"/>
        <v>524412</v>
      </c>
      <c r="N71" s="165">
        <f t="shared" si="11"/>
        <v>1.3110300000000001</v>
      </c>
      <c r="O71" s="214"/>
      <c r="P71" s="152">
        <f>IFERROR(VLOOKUP($A$3:$A$144,'FY-(26-27)Q2'!$A$4:$ABW$124,MATCH('FY-(26-27)Q1'!$P$2:$Q$2,'FY-(26-27)Q2'!$A$2:$BX$2,0),0),0)</f>
        <v>258369</v>
      </c>
      <c r="Q71" s="154">
        <f>IFERROR(VLOOKUP($A$3:$A$144,'FY-(26-27)Q2'!$A$4:$ABW$124,MATCH('FY-(26-27)Q1'!$P$2:$Q$2,'FY-(26-27)Q2'!$A$2:$BX$2,0),0),0)</f>
        <v>0.64592249999999996</v>
      </c>
      <c r="R71" s="158"/>
      <c r="S71" s="152">
        <f>IFERROR(VLOOKUP($A$3:$A$144,'FY-(26-27)Q3'!$A$4:$ABW$117,MATCH('FY-(26-27)Q1'!$S$2:$T$2,'FY-(26-27)Q3'!$A$2:$BX$2,0),0),0)</f>
        <v>8361</v>
      </c>
      <c r="T71" s="154">
        <f>IFERROR(VLOOKUP($A$3:$A$144,'FY-(26-27)Q3'!$A$4:$ABW$117,MATCH('FY-(26-27)Q1'!$S$2:$T$3,'FY-(26-27)Q3'!$A$2:$BX$2,0),0),0)</f>
        <v>0</v>
      </c>
      <c r="U71" s="158"/>
      <c r="V71" s="143"/>
      <c r="W71" s="149"/>
      <c r="X71" s="131"/>
      <c r="Y71" s="153">
        <f t="shared" ref="Y71:Y81" si="12">M71+P71+S71+V71</f>
        <v>791142</v>
      </c>
      <c r="Z71" s="167">
        <f t="shared" ref="Z71:Z81" si="13">(N71+Q71+T71+W71)</f>
        <v>1.9569525000000001</v>
      </c>
    </row>
    <row r="72" spans="1:34" ht="15" customHeight="1" x14ac:dyDescent="0.25">
      <c r="A72" s="36" t="s">
        <v>103</v>
      </c>
      <c r="B72" s="36" t="s">
        <v>0</v>
      </c>
      <c r="C72" s="59" t="s">
        <v>96</v>
      </c>
      <c r="D72" s="60" t="s">
        <v>57</v>
      </c>
      <c r="E72" s="60" t="s">
        <v>256</v>
      </c>
      <c r="F72" s="114">
        <v>1.5</v>
      </c>
      <c r="G72" s="152">
        <f>IFERROR(VLOOKUP($A$3:$A$144,'APR-2026'!$A$4:$ABX$112,MATCH('FY-(26-27)Q1'!$G$2:$H$2,'APR-2026'!$A$2:$BY$2,0),0),0)</f>
        <v>92278</v>
      </c>
      <c r="H72" s="154">
        <f>IFERROR(VLOOKUP($A$3:$A$144,'APR-2026'!$A$4:$ABX$112,MATCH('FY-(26-27)Q1'!$G$2:$H$2,'APR-2026'!$A$2:$BY$2,0),0),0)</f>
        <v>0.57673750000000001</v>
      </c>
      <c r="I72" s="152">
        <f>IFERROR(VLOOKUP($A$3:$A$144,'MAY-2026'!$A$4:$ACP$113,MATCH('FY-(26-27)Q1'!$I$2:$J$2,'MAY-2026'!$A$2:$CQ$2,0),0),0)</f>
        <v>35279</v>
      </c>
      <c r="J72" s="154">
        <f>IFERROR(VLOOKUP($A$3:$A$144,'MAY-2026'!$A$4:$ACP$113,MATCH('FY-(26-27)Q1'!$I$2:$J$2,'MAY-2026'!$A$2:$CQ$2,0),0),0)</f>
        <v>0.23519333333333331</v>
      </c>
      <c r="K72" s="152">
        <f>IFERROR(VLOOKUP($A$3:$A$144,'JUNE-2026'!$A$4:$ADJ$113,MATCH('FY-(26-27)Q1'!$K$2:$L$2,'JUNE-2026'!$A$2:$DK$2,0),0),0)</f>
        <v>0</v>
      </c>
      <c r="L72" s="154">
        <f>IFERROR(VLOOKUP($A$3:$A$144,'JUNE-2026'!$A$4:$ADJ$113,MATCH('FY-(26-27)Q1'!$K$2:$L$2,'JUNE-2026'!$A$2:$DK$2,0),0),0)</f>
        <v>0</v>
      </c>
      <c r="M72" s="71">
        <f t="shared" si="10"/>
        <v>127557</v>
      </c>
      <c r="N72" s="165">
        <f t="shared" si="11"/>
        <v>0.81193083333333327</v>
      </c>
      <c r="O72" s="214"/>
      <c r="P72" s="152">
        <f>IFERROR(VLOOKUP($A$3:$A$144,'FY-(26-27)Q2'!$A$4:$ABW$124,MATCH('FY-(26-27)Q1'!$P$2:$Q$2,'FY-(26-27)Q2'!$A$2:$BX$2,0),0),0)</f>
        <v>0</v>
      </c>
      <c r="Q72" s="154">
        <f>IFERROR(VLOOKUP($A$3:$A$144,'FY-(26-27)Q2'!$A$4:$ABW$124,MATCH('FY-(26-27)Q1'!$P$2:$Q$2,'FY-(26-27)Q2'!$A$2:$BX$2,0),0),0)</f>
        <v>0</v>
      </c>
      <c r="R72" s="158"/>
      <c r="S72" s="152">
        <f>IFERROR(VLOOKUP($A$3:$A$144,'FY-(26-27)Q3'!$A$4:$ABW$117,MATCH('FY-(26-27)Q1'!$S$2:$T$2,'FY-(26-27)Q3'!$A$2:$BX$2,0),0),0)</f>
        <v>0</v>
      </c>
      <c r="T72" s="154">
        <f>IFERROR(VLOOKUP($A$3:$A$144,'FY-(26-27)Q3'!$A$4:$ABW$117,MATCH('FY-(26-27)Q1'!$S$2:$T$3,'FY-(26-27)Q3'!$A$2:$BX$2,0),0),0)</f>
        <v>0</v>
      </c>
      <c r="U72" s="158"/>
      <c r="V72" s="45"/>
      <c r="W72" s="72"/>
      <c r="X72" s="131"/>
      <c r="Y72" s="153">
        <f t="shared" si="12"/>
        <v>127557</v>
      </c>
      <c r="Z72" s="167">
        <f t="shared" si="13"/>
        <v>0.81193083333333327</v>
      </c>
    </row>
    <row r="73" spans="1:34" s="131" customFormat="1" ht="15" customHeight="1" x14ac:dyDescent="0.25">
      <c r="A73" s="59" t="s">
        <v>306</v>
      </c>
      <c r="B73" s="62" t="s">
        <v>304</v>
      </c>
      <c r="C73" s="59" t="s">
        <v>128</v>
      </c>
      <c r="D73" s="140"/>
      <c r="E73" s="140" t="s">
        <v>256</v>
      </c>
      <c r="F73" s="114">
        <v>0.1</v>
      </c>
      <c r="G73" s="152">
        <f>IFERROR(VLOOKUP($A$3:$A$144,'APR-2026'!$A$4:$ABX$112,MATCH('FY-(26-27)Q1'!$G$2:$H$2,'APR-2026'!$A$2:$BY$2,0),0),0)</f>
        <v>0</v>
      </c>
      <c r="H73" s="154">
        <f>IFERROR(VLOOKUP($A$3:$A$144,'APR-2026'!$A$4:$ABX$112,MATCH('FY-(26-27)Q1'!$G$2:$H$2,'APR-2026'!$A$2:$BY$2,0),0),0)</f>
        <v>0</v>
      </c>
      <c r="I73" s="152">
        <f>IFERROR(VLOOKUP($A$3:$A$144,'MAY-2026'!$A$4:$ACP$113,MATCH('FY-(26-27)Q1'!$I$2:$J$2,'MAY-2026'!$A$2:$CQ$2,0),0),0)</f>
        <v>0</v>
      </c>
      <c r="J73" s="154">
        <f>IFERROR(VLOOKUP($A$3:$A$144,'MAY-2026'!$A$4:$ACP$113,MATCH('FY-(26-27)Q1'!$I$2:$J$2,'MAY-2026'!$A$2:$CQ$2,0),0),0)</f>
        <v>0</v>
      </c>
      <c r="K73" s="152">
        <f>IFERROR(VLOOKUP($A$3:$A$144,'JUNE-2026'!$A$4:$ADJ$113,MATCH('FY-(26-27)Q1'!$K$2:$L$2,'JUNE-2026'!$A$2:$DK$2,0),0),0)</f>
        <v>0</v>
      </c>
      <c r="L73" s="154">
        <f>IFERROR(VLOOKUP($A$3:$A$144,'JUNE-2026'!$A$4:$ADJ$113,MATCH('FY-(26-27)Q1'!$K$2:$L$2,'JUNE-2026'!$A$2:$DK$2,0),0),0)</f>
        <v>0</v>
      </c>
      <c r="M73" s="71">
        <f t="shared" si="10"/>
        <v>0</v>
      </c>
      <c r="N73" s="165">
        <f t="shared" si="11"/>
        <v>0</v>
      </c>
      <c r="O73" s="214"/>
      <c r="P73" s="152">
        <f>IFERROR(VLOOKUP($A$3:$A$144,'FY-(26-27)Q2'!$A$4:$ABW$124,MATCH('FY-(26-27)Q1'!$P$2:$Q$2,'FY-(26-27)Q2'!$A$2:$BX$2,0),0),0)</f>
        <v>-962829</v>
      </c>
      <c r="Q73" s="154">
        <f>IFERROR(VLOOKUP($A$3:$A$144,'FY-(26-27)Q2'!$A$4:$ABW$124,MATCH('FY-(26-27)Q1'!$P$2:$Q$2,'FY-(26-27)Q2'!$A$2:$BX$2,0),0),0)</f>
        <v>-0.96292900000000003</v>
      </c>
      <c r="R73" s="158"/>
      <c r="S73" s="152">
        <f>IFERROR(VLOOKUP($A$3:$A$144,'FY-(26-27)Q3'!$A$4:$ABW$117,MATCH('FY-(26-27)Q1'!$S$2:$T$2,'FY-(26-27)Q3'!$A$2:$BX$2,0),0),0)</f>
        <v>-3132740</v>
      </c>
      <c r="T73" s="154">
        <f>IFERROR(VLOOKUP($A$3:$A$144,'FY-(26-27)Q3'!$A$4:$ABW$117,MATCH('FY-(26-27)Q1'!$S$2:$T$3,'FY-(26-27)Q3'!$A$2:$BX$2,0),0),0)</f>
        <v>0</v>
      </c>
      <c r="U73" s="158"/>
      <c r="V73" s="143"/>
      <c r="W73" s="149"/>
      <c r="Y73" s="153">
        <f t="shared" si="12"/>
        <v>-4095569</v>
      </c>
      <c r="Z73" s="167">
        <f t="shared" si="13"/>
        <v>-0.96292900000000003</v>
      </c>
    </row>
    <row r="74" spans="1:34" s="131" customFormat="1" ht="15" customHeight="1" x14ac:dyDescent="0.25">
      <c r="A74" s="59"/>
      <c r="B74" s="62" t="s">
        <v>304</v>
      </c>
      <c r="C74" s="59" t="s">
        <v>274</v>
      </c>
      <c r="D74" s="140"/>
      <c r="E74" s="140" t="s">
        <v>256</v>
      </c>
      <c r="F74" s="114"/>
      <c r="G74" s="152">
        <f>IFERROR(VLOOKUP($A$3:$A$144,'APR-2026'!$A$4:$ABX$112,MATCH('FY-(26-27)Q1'!$G$2:$H$2,'APR-2026'!$A$2:$BY$2,0),0),0)</f>
        <v>0</v>
      </c>
      <c r="H74" s="154">
        <f>IFERROR(VLOOKUP($A$3:$A$144,'APR-2026'!$A$4:$ABX$112,MATCH('FY-(26-27)Q1'!$G$2:$H$2,'APR-2026'!$A$2:$BY$2,0),0),0)</f>
        <v>0</v>
      </c>
      <c r="I74" s="152">
        <f>IFERROR(VLOOKUP($A$3:$A$144,'MAY-2026'!$A$4:$ACP$113,MATCH('FY-(26-27)Q1'!$I$2:$J$2,'MAY-2026'!$A$2:$CQ$2,0),0),0)</f>
        <v>0</v>
      </c>
      <c r="J74" s="154">
        <f>IFERROR(VLOOKUP($A$3:$A$144,'MAY-2026'!$A$4:$ACP$113,MATCH('FY-(26-27)Q1'!$I$2:$J$2,'MAY-2026'!$A$2:$CQ$2,0),0),0)</f>
        <v>0</v>
      </c>
      <c r="K74" s="152">
        <f>IFERROR(VLOOKUP($A$3:$A$144,'JUNE-2026'!$A$4:$ADJ$113,MATCH('FY-(26-27)Q1'!$K$2:$L$2,'JUNE-2026'!$A$2:$DK$2,0),0),0)</f>
        <v>0</v>
      </c>
      <c r="L74" s="154">
        <f>IFERROR(VLOOKUP($A$3:$A$144,'JUNE-2026'!$A$4:$ADJ$113,MATCH('FY-(26-27)Q1'!$K$2:$L$2,'JUNE-2026'!$A$2:$DK$2,0),0),0)</f>
        <v>0</v>
      </c>
      <c r="M74" s="71">
        <f t="shared" si="10"/>
        <v>0</v>
      </c>
      <c r="N74" s="165">
        <f t="shared" si="11"/>
        <v>0</v>
      </c>
      <c r="O74" s="214"/>
      <c r="P74" s="152">
        <f>IFERROR(VLOOKUP($A$3:$A$144,'FY-(26-27)Q2'!$A$4:$ABW$124,MATCH('FY-(26-27)Q1'!$P$2:$Q$2,'FY-(26-27)Q2'!$A$2:$BX$2,0),0),0)</f>
        <v>0</v>
      </c>
      <c r="Q74" s="154">
        <f>IFERROR(VLOOKUP($A$3:$A$144,'FY-(26-27)Q2'!$A$4:$ABW$124,MATCH('FY-(26-27)Q1'!$P$2:$Q$2,'FY-(26-27)Q2'!$A$2:$BX$2,0),0),0)</f>
        <v>0</v>
      </c>
      <c r="R74" s="158"/>
      <c r="S74" s="152">
        <f>IFERROR(VLOOKUP($A$3:$A$144,'FY-(26-27)Q3'!$A$4:$ABW$117,MATCH('FY-(26-27)Q1'!$S$2:$T$2,'FY-(26-27)Q3'!$A$2:$BX$2,0),0),0)</f>
        <v>0</v>
      </c>
      <c r="T74" s="154">
        <f>IFERROR(VLOOKUP($A$3:$A$144,'FY-(26-27)Q3'!$A$4:$ABW$117,MATCH('FY-(26-27)Q1'!$S$2:$T$3,'FY-(26-27)Q3'!$A$2:$BX$2,0),0),0)</f>
        <v>0</v>
      </c>
      <c r="U74" s="158"/>
      <c r="V74" s="143"/>
      <c r="W74" s="149"/>
      <c r="Y74" s="153">
        <f t="shared" si="12"/>
        <v>0</v>
      </c>
      <c r="Z74" s="167">
        <f t="shared" si="13"/>
        <v>0</v>
      </c>
    </row>
    <row r="75" spans="1:34" x14ac:dyDescent="0.25">
      <c r="A75" s="59" t="s">
        <v>197</v>
      </c>
      <c r="B75" s="62" t="s">
        <v>195</v>
      </c>
      <c r="C75" s="59" t="s">
        <v>196</v>
      </c>
      <c r="D75" s="62" t="s">
        <v>195</v>
      </c>
      <c r="E75" s="162" t="s">
        <v>256</v>
      </c>
      <c r="F75" s="114">
        <v>0.5</v>
      </c>
      <c r="G75" s="152">
        <f>IFERROR(VLOOKUP($A$3:$A$144,'APR-2026'!$A$4:$ABX$112,MATCH('FY-(26-27)Q1'!$G$2:$H$2,'APR-2026'!$A$2:$BY$2,0),0),0)</f>
        <v>34594</v>
      </c>
      <c r="H75" s="154">
        <f>IFERROR(VLOOKUP($A$3:$A$144,'APR-2026'!$A$4:$ABX$112,MATCH('FY-(26-27)Q1'!$G$2:$H$2,'APR-2026'!$A$2:$BY$2,0),0),0)</f>
        <v>0.69188000000000005</v>
      </c>
      <c r="I75" s="152">
        <f>IFERROR(VLOOKUP($A$3:$A$144,'MAY-2026'!$A$4:$ACP$113,MATCH('FY-(26-27)Q1'!$I$2:$J$2,'MAY-2026'!$A$2:$CQ$2,0),0),0)</f>
        <v>-44456</v>
      </c>
      <c r="J75" s="154">
        <f>IFERROR(VLOOKUP($A$3:$A$144,'MAY-2026'!$A$4:$ACP$113,MATCH('FY-(26-27)Q1'!$I$2:$J$2,'MAY-2026'!$A$2:$CQ$2,0),0),0)</f>
        <v>-0.88912000000000002</v>
      </c>
      <c r="K75" s="152">
        <f>IFERROR(VLOOKUP($A$3:$A$144,'JUNE-2026'!$A$4:$ADJ$113,MATCH('FY-(26-27)Q1'!$K$2:$L$2,'JUNE-2026'!$A$2:$DK$2,0),0),0)</f>
        <v>-36792</v>
      </c>
      <c r="L75" s="154">
        <f>IFERROR(VLOOKUP($A$3:$A$144,'JUNE-2026'!$A$4:$ADJ$113,MATCH('FY-(26-27)Q1'!$K$2:$L$2,'JUNE-2026'!$A$2:$DK$2,0),0),0)</f>
        <v>-0.73584000000000005</v>
      </c>
      <c r="M75" s="71">
        <f t="shared" si="10"/>
        <v>-46654</v>
      </c>
      <c r="N75" s="165">
        <f t="shared" si="11"/>
        <v>-0.93308000000000002</v>
      </c>
      <c r="O75" s="214"/>
      <c r="P75" s="152">
        <f>IFERROR(VLOOKUP($A$3:$A$144,'FY-(26-27)Q2'!$A$4:$ABW$124,MATCH('FY-(26-27)Q1'!$P$2:$Q$2,'FY-(26-27)Q2'!$A$2:$BX$2,0),0),0)</f>
        <v>-23231</v>
      </c>
      <c r="Q75" s="154">
        <f>IFERROR(VLOOKUP($A$3:$A$144,'FY-(26-27)Q2'!$A$4:$ABW$124,MATCH('FY-(26-27)Q1'!$P$2:$Q$2,'FY-(26-27)Q2'!$A$2:$BX$2,0),0),0)</f>
        <v>-0.46461999999999992</v>
      </c>
      <c r="R75" s="158"/>
      <c r="S75" s="152">
        <f>IFERROR(VLOOKUP($A$3:$A$144,'FY-(26-27)Q3'!$A$4:$ABW$117,MATCH('FY-(26-27)Q1'!$S$2:$T$2,'FY-(26-27)Q3'!$A$2:$BX$2,0),0),0)</f>
        <v>61459</v>
      </c>
      <c r="T75" s="154">
        <f>IFERROR(VLOOKUP($A$3:$A$144,'FY-(26-27)Q3'!$A$4:$ABW$117,MATCH('FY-(26-27)Q1'!$S$2:$T$3,'FY-(26-27)Q3'!$A$2:$BX$2,0),0),0)</f>
        <v>0</v>
      </c>
      <c r="U75" s="158"/>
      <c r="V75" s="143"/>
      <c r="W75" s="149"/>
      <c r="Y75" s="153">
        <f t="shared" si="12"/>
        <v>-8426</v>
      </c>
      <c r="Z75" s="167">
        <f t="shared" si="13"/>
        <v>-1.3976999999999999</v>
      </c>
    </row>
    <row r="76" spans="1:34" x14ac:dyDescent="0.25">
      <c r="A76" s="59" t="s">
        <v>213</v>
      </c>
      <c r="B76" s="62" t="s">
        <v>209</v>
      </c>
      <c r="C76" s="59" t="s">
        <v>210</v>
      </c>
      <c r="D76" s="62" t="s">
        <v>209</v>
      </c>
      <c r="E76" s="162" t="s">
        <v>256</v>
      </c>
      <c r="F76" s="114">
        <v>4</v>
      </c>
      <c r="G76" s="152">
        <f>IFERROR(VLOOKUP($A$3:$A$144,'APR-2026'!$A$4:$ABX$112,MATCH('FY-(26-27)Q1'!$G$2:$H$2,'APR-2026'!$A$2:$BY$2,0),0),0)</f>
        <v>0</v>
      </c>
      <c r="H76" s="154">
        <f>IFERROR(VLOOKUP($A$3:$A$144,'APR-2026'!$A$4:$ABX$112,MATCH('FY-(26-27)Q1'!$G$2:$H$2,'APR-2026'!$A$2:$BY$2,0),0),0)</f>
        <v>0</v>
      </c>
      <c r="I76" s="152">
        <f>IFERROR(VLOOKUP($A$3:$A$144,'MAY-2026'!$A$4:$ACP$113,MATCH('FY-(26-27)Q1'!$I$2:$J$2,'MAY-2026'!$A$2:$CQ$2,0),0),0)</f>
        <v>-206359</v>
      </c>
      <c r="J76" s="154">
        <f>IFERROR(VLOOKUP($A$3:$A$144,'MAY-2026'!$A$4:$ACP$113,MATCH('FY-(26-27)Q1'!$I$2:$J$2,'MAY-2026'!$A$2:$CQ$2,0),0),0)</f>
        <v>-0.51589750000000001</v>
      </c>
      <c r="K76" s="152">
        <f>IFERROR(VLOOKUP($A$3:$A$144,'JUNE-2026'!$A$4:$ADJ$113,MATCH('FY-(26-27)Q1'!$K$2:$L$2,'JUNE-2026'!$A$2:$DK$2,0),0),0)</f>
        <v>-201593</v>
      </c>
      <c r="L76" s="154">
        <f>IFERROR(VLOOKUP($A$3:$A$144,'JUNE-2026'!$A$4:$ADJ$113,MATCH('FY-(26-27)Q1'!$K$2:$L$2,'JUNE-2026'!$A$2:$DK$2,0),0),0)</f>
        <v>-0.5039825</v>
      </c>
      <c r="M76" s="71">
        <f t="shared" ref="M76:M81" si="14">G76+I76+K76</f>
        <v>-407952</v>
      </c>
      <c r="N76" s="165">
        <f t="shared" ref="N76:N81" si="15">H76+J76+L76</f>
        <v>-1.0198800000000001</v>
      </c>
      <c r="O76" s="214"/>
      <c r="P76" s="152">
        <f>IFERROR(VLOOKUP($A$3:$A$144,'FY-(26-27)Q2'!$A$4:$ABW$124,MATCH('FY-(26-27)Q1'!$P$2:$Q$2,'FY-(26-27)Q2'!$A$2:$BX$2,0),0),0)</f>
        <v>47121</v>
      </c>
      <c r="Q76" s="154">
        <f>IFERROR(VLOOKUP($A$3:$A$144,'FY-(26-27)Q2'!$A$4:$ABW$124,MATCH('FY-(26-27)Q1'!$P$2:$Q$2,'FY-(26-27)Q2'!$A$2:$BX$2,0),0),0)</f>
        <v>0.91588326923076946</v>
      </c>
      <c r="R76" s="158"/>
      <c r="S76" s="152">
        <f>IFERROR(VLOOKUP($A$3:$A$144,'FY-(26-27)Q3'!$A$4:$ABW$117,MATCH('FY-(26-27)Q1'!$S$2:$T$2,'FY-(26-27)Q3'!$A$2:$BX$2,0),0),0)</f>
        <v>369643</v>
      </c>
      <c r="T76" s="154">
        <f>IFERROR(VLOOKUP($A$3:$A$144,'FY-(26-27)Q3'!$A$4:$ABW$117,MATCH('FY-(26-27)Q1'!$S$2:$T$3,'FY-(26-27)Q3'!$A$2:$BX$2,0),0),0)</f>
        <v>0</v>
      </c>
      <c r="U76" s="158"/>
      <c r="V76" s="143"/>
      <c r="W76" s="149"/>
      <c r="Y76" s="153">
        <f t="shared" si="12"/>
        <v>8812</v>
      </c>
      <c r="Z76" s="167">
        <f t="shared" si="13"/>
        <v>-0.10399673076923066</v>
      </c>
    </row>
    <row r="77" spans="1:34" x14ac:dyDescent="0.25">
      <c r="A77" s="59" t="s">
        <v>214</v>
      </c>
      <c r="B77" s="62" t="s">
        <v>209</v>
      </c>
      <c r="C77" s="59" t="s">
        <v>211</v>
      </c>
      <c r="D77" s="62" t="s">
        <v>209</v>
      </c>
      <c r="E77" s="162" t="s">
        <v>256</v>
      </c>
      <c r="F77" s="114">
        <v>1</v>
      </c>
      <c r="G77" s="152">
        <f>IFERROR(VLOOKUP($A$3:$A$144,'APR-2026'!$A$4:$ABX$112,MATCH('FY-(26-27)Q1'!$G$2:$H$2,'APR-2026'!$A$2:$BY$2,0),0),0)</f>
        <v>0</v>
      </c>
      <c r="H77" s="154">
        <f>IFERROR(VLOOKUP($A$3:$A$144,'APR-2026'!$A$4:$ABX$112,MATCH('FY-(26-27)Q1'!$G$2:$H$2,'APR-2026'!$A$2:$BY$2,0),0),0)</f>
        <v>0</v>
      </c>
      <c r="I77" s="152">
        <f>IFERROR(VLOOKUP($A$3:$A$144,'MAY-2026'!$A$4:$ACP$113,MATCH('FY-(26-27)Q1'!$I$2:$J$2,'MAY-2026'!$A$2:$CQ$2,0),0),0)</f>
        <v>-52710</v>
      </c>
      <c r="J77" s="154">
        <f>IFERROR(VLOOKUP($A$3:$A$144,'MAY-2026'!$A$4:$ACP$113,MATCH('FY-(26-27)Q1'!$I$2:$J$2,'MAY-2026'!$A$2:$CQ$2,0),0),0)</f>
        <v>-0.52710000000000001</v>
      </c>
      <c r="K77" s="152">
        <f>IFERROR(VLOOKUP($A$3:$A$144,'JUNE-2026'!$A$4:$ADJ$113,MATCH('FY-(26-27)Q1'!$K$2:$L$2,'JUNE-2026'!$A$2:$DK$2,0),0),0)</f>
        <v>29428</v>
      </c>
      <c r="L77" s="154">
        <f>IFERROR(VLOOKUP($A$3:$A$144,'JUNE-2026'!$A$4:$ADJ$113,MATCH('FY-(26-27)Q1'!$K$2:$L$2,'JUNE-2026'!$A$2:$DK$2,0),0),0)</f>
        <v>0.29427999999999999</v>
      </c>
      <c r="M77" s="71">
        <f t="shared" si="14"/>
        <v>-23282</v>
      </c>
      <c r="N77" s="165">
        <f t="shared" si="15"/>
        <v>-0.23282000000000003</v>
      </c>
      <c r="O77" s="214"/>
      <c r="P77" s="152">
        <f>IFERROR(VLOOKUP($A$3:$A$144,'FY-(26-27)Q2'!$A$4:$ABW$124,MATCH('FY-(26-27)Q1'!$P$2:$Q$2,'FY-(26-27)Q2'!$A$2:$BX$2,0),0),0)</f>
        <v>24982</v>
      </c>
      <c r="Q77" s="154">
        <f>IFERROR(VLOOKUP($A$3:$A$144,'FY-(26-27)Q2'!$A$4:$ABW$124,MATCH('FY-(26-27)Q1'!$P$2:$Q$2,'FY-(26-27)Q2'!$A$2:$BX$2,0),0),0)</f>
        <v>0.19985600000000003</v>
      </c>
      <c r="R77" s="158"/>
      <c r="S77" s="152">
        <f>IFERROR(VLOOKUP($A$3:$A$144,'FY-(26-27)Q3'!$A$4:$ABW$117,MATCH('FY-(26-27)Q1'!$S$2:$T$2,'FY-(26-27)Q3'!$A$2:$BX$2,0),0),0)</f>
        <v>0</v>
      </c>
      <c r="T77" s="154">
        <f>IFERROR(VLOOKUP($A$3:$A$144,'FY-(26-27)Q3'!$A$4:$ABW$117,MATCH('FY-(26-27)Q1'!$S$2:$T$3,'FY-(26-27)Q3'!$A$2:$BX$2,0),0),0)</f>
        <v>0</v>
      </c>
      <c r="U77" s="158"/>
      <c r="V77" s="143"/>
      <c r="W77" s="149"/>
      <c r="Y77" s="153">
        <f t="shared" si="12"/>
        <v>1700</v>
      </c>
      <c r="Z77" s="167">
        <f t="shared" si="13"/>
        <v>-3.2963999999999993E-2</v>
      </c>
    </row>
    <row r="78" spans="1:34" x14ac:dyDescent="0.25">
      <c r="A78" s="59" t="s">
        <v>49</v>
      </c>
      <c r="B78" s="59" t="s">
        <v>99</v>
      </c>
      <c r="C78" s="59" t="s">
        <v>100</v>
      </c>
      <c r="D78" s="59" t="s">
        <v>99</v>
      </c>
      <c r="E78" s="59" t="s">
        <v>256</v>
      </c>
      <c r="F78" s="114">
        <v>2.5</v>
      </c>
      <c r="G78" s="152">
        <f>IFERROR(VLOOKUP($A$3:$A$144,'APR-2026'!$A$4:$ABX$112,MATCH('FY-(26-27)Q1'!$G$2:$H$2,'APR-2026'!$A$2:$BY$2,0),0),0)</f>
        <v>251440</v>
      </c>
      <c r="H78" s="154">
        <f>IFERROR(VLOOKUP($A$3:$A$144,'APR-2026'!$A$4:$ABX$112,MATCH('FY-(26-27)Q1'!$G$2:$H$2,'APR-2026'!$A$2:$BY$2,0),0),0)</f>
        <v>0.83813333333333329</v>
      </c>
      <c r="I78" s="152">
        <f>IFERROR(VLOOKUP($A$3:$A$144,'MAY-2026'!$A$4:$ACP$113,MATCH('FY-(26-27)Q1'!$I$2:$J$2,'MAY-2026'!$A$2:$CQ$2,0),0),0)</f>
        <v>-173423</v>
      </c>
      <c r="J78" s="154">
        <f>IFERROR(VLOOKUP($A$3:$A$144,'MAY-2026'!$A$4:$ACP$113,MATCH('FY-(26-27)Q1'!$I$2:$J$2,'MAY-2026'!$A$2:$CQ$2,0),0),0)</f>
        <v>-0.57807666666666657</v>
      </c>
      <c r="K78" s="152">
        <f>IFERROR(VLOOKUP($A$3:$A$144,'JUNE-2026'!$A$4:$ADJ$113,MATCH('FY-(26-27)Q1'!$K$2:$L$2,'JUNE-2026'!$A$2:$DK$2,0),0),0)</f>
        <v>-245399</v>
      </c>
      <c r="L78" s="154">
        <f>IFERROR(VLOOKUP($A$3:$A$144,'JUNE-2026'!$A$4:$ADJ$113,MATCH('FY-(26-27)Q1'!$K$2:$L$2,'JUNE-2026'!$A$2:$DK$2,0),0),0)</f>
        <v>-0.81799666666666671</v>
      </c>
      <c r="M78" s="71">
        <f t="shared" si="14"/>
        <v>-167382</v>
      </c>
      <c r="N78" s="165">
        <f t="shared" si="15"/>
        <v>-0.55793999999999999</v>
      </c>
      <c r="O78" s="214"/>
      <c r="P78" s="152">
        <f>IFERROR(VLOOKUP($A$3:$A$144,'FY-(26-27)Q2'!$A$4:$ABW$124,MATCH('FY-(26-27)Q1'!$P$2:$Q$2,'FY-(26-27)Q2'!$A$2:$BX$2,0),0),0)</f>
        <v>539686</v>
      </c>
      <c r="Q78" s="154">
        <f>IFERROR(VLOOKUP($A$3:$A$144,'FY-(26-27)Q2'!$A$4:$ABW$124,MATCH('FY-(26-27)Q1'!$P$2:$Q$2,'FY-(26-27)Q2'!$A$2:$BX$2,0),0),0)</f>
        <v>1.7989533333333336</v>
      </c>
      <c r="R78" s="158"/>
      <c r="S78" s="152">
        <f>IFERROR(VLOOKUP($A$3:$A$144,'FY-(26-27)Q3'!$A$4:$ABW$117,MATCH('FY-(26-27)Q1'!$S$2:$T$2,'FY-(26-27)Q3'!$A$2:$BX$2,0),0),0)</f>
        <v>311687</v>
      </c>
      <c r="T78" s="154">
        <f>IFERROR(VLOOKUP($A$3:$A$144,'FY-(26-27)Q3'!$A$4:$ABW$117,MATCH('FY-(26-27)Q1'!$S$2:$T$3,'FY-(26-27)Q3'!$A$2:$BX$2,0),0),0)</f>
        <v>0</v>
      </c>
      <c r="U78" s="158"/>
      <c r="V78" s="45"/>
      <c r="W78" s="72"/>
      <c r="Y78" s="153">
        <f t="shared" si="12"/>
        <v>683991</v>
      </c>
      <c r="Z78" s="167">
        <f t="shared" si="13"/>
        <v>1.2410133333333335</v>
      </c>
    </row>
    <row r="79" spans="1:34" x14ac:dyDescent="0.25">
      <c r="A79" s="59" t="s">
        <v>41</v>
      </c>
      <c r="B79" s="59" t="s">
        <v>86</v>
      </c>
      <c r="C79" s="59" t="s">
        <v>173</v>
      </c>
      <c r="D79" s="59" t="s">
        <v>86</v>
      </c>
      <c r="E79" s="59" t="s">
        <v>256</v>
      </c>
      <c r="F79" s="114">
        <v>1.5</v>
      </c>
      <c r="G79" s="152">
        <f>IFERROR(VLOOKUP($A$3:$A$144,'APR-2026'!$A$4:$ABX$112,MATCH('FY-(26-27)Q1'!$G$2:$H$2,'APR-2026'!$A$2:$BY$2,0),0),0)</f>
        <v>-37267</v>
      </c>
      <c r="H79" s="154">
        <f>IFERROR(VLOOKUP($A$3:$A$144,'APR-2026'!$A$4:$ABX$112,MATCH('FY-(26-27)Q1'!$G$2:$H$2,'APR-2026'!$A$2:$BY$2,0),0),0)</f>
        <v>-0.14906800000000001</v>
      </c>
      <c r="I79" s="152">
        <f>IFERROR(VLOOKUP($A$3:$A$144,'MAY-2026'!$A$4:$ACP$113,MATCH('FY-(26-27)Q1'!$I$2:$J$2,'MAY-2026'!$A$2:$CQ$2,0),0),0)</f>
        <v>-50171</v>
      </c>
      <c r="J79" s="154">
        <f>IFERROR(VLOOKUP($A$3:$A$144,'MAY-2026'!$A$4:$ACP$113,MATCH('FY-(26-27)Q1'!$I$2:$J$2,'MAY-2026'!$A$2:$CQ$2,0),0),0)</f>
        <v>-0.20068400000000003</v>
      </c>
      <c r="K79" s="152">
        <f>IFERROR(VLOOKUP($A$3:$A$144,'JUNE-2026'!$A$4:$ADJ$113,MATCH('FY-(26-27)Q1'!$K$2:$L$2,'JUNE-2026'!$A$2:$DK$2,0),0),0)</f>
        <v>-184314</v>
      </c>
      <c r="L79" s="154">
        <f>IFERROR(VLOOKUP($A$3:$A$144,'JUNE-2026'!$A$4:$ADJ$113,MATCH('FY-(26-27)Q1'!$K$2:$L$2,'JUNE-2026'!$A$2:$DK$2,0),0),0)</f>
        <v>-0.73725600000000013</v>
      </c>
      <c r="M79" s="71">
        <f t="shared" si="14"/>
        <v>-271752</v>
      </c>
      <c r="N79" s="165">
        <f t="shared" si="15"/>
        <v>-1.0870080000000002</v>
      </c>
      <c r="O79" s="214"/>
      <c r="P79" s="152">
        <f>IFERROR(VLOOKUP($A$3:$A$144,'FY-(26-27)Q2'!$A$4:$ABW$124,MATCH('FY-(26-27)Q1'!$P$2:$Q$2,'FY-(26-27)Q2'!$A$2:$BX$2,0),0),0)</f>
        <v>-113136</v>
      </c>
      <c r="Q79" s="154">
        <f>IFERROR(VLOOKUP($A$3:$A$144,'FY-(26-27)Q2'!$A$4:$ABW$124,MATCH('FY-(26-27)Q1'!$P$2:$Q$2,'FY-(26-27)Q2'!$A$2:$BX$2,0),0),0)</f>
        <v>-0.452544</v>
      </c>
      <c r="R79" s="158"/>
      <c r="S79" s="152">
        <f>IFERROR(VLOOKUP($A$3:$A$144,'FY-(26-27)Q3'!$A$4:$ABW$117,MATCH('FY-(26-27)Q1'!$S$2:$T$2,'FY-(26-27)Q3'!$A$2:$BX$2,0),0),0)</f>
        <v>0</v>
      </c>
      <c r="T79" s="154">
        <f>IFERROR(VLOOKUP($A$3:$A$144,'FY-(26-27)Q3'!$A$4:$ABW$117,MATCH('FY-(26-27)Q1'!$S$2:$T$3,'FY-(26-27)Q3'!$A$2:$BX$2,0),0),0)</f>
        <v>0</v>
      </c>
      <c r="U79" s="158"/>
      <c r="V79" s="45"/>
      <c r="W79" s="72"/>
      <c r="Y79" s="153">
        <f t="shared" si="12"/>
        <v>-384888</v>
      </c>
      <c r="Z79" s="167">
        <f t="shared" si="13"/>
        <v>-1.5395520000000003</v>
      </c>
    </row>
    <row r="80" spans="1:34" s="131" customFormat="1" x14ac:dyDescent="0.25">
      <c r="A80" s="59" t="s">
        <v>331</v>
      </c>
      <c r="B80" s="59" t="s">
        <v>286</v>
      </c>
      <c r="C80" s="59" t="s">
        <v>299</v>
      </c>
      <c r="D80" s="59"/>
      <c r="E80" s="59" t="s">
        <v>256</v>
      </c>
      <c r="F80" s="114">
        <v>1.5</v>
      </c>
      <c r="G80" s="152">
        <f>IFERROR(VLOOKUP($A$3:$A$144,'APR-2026'!$A$4:$ABX$112,MATCH('FY-(26-27)Q1'!$G$2:$H$2,'APR-2026'!$A$2:$BY$2,0),0),0)</f>
        <v>0</v>
      </c>
      <c r="H80" s="154">
        <f>IFERROR(VLOOKUP($A$3:$A$144,'APR-2026'!$A$4:$ABX$112,MATCH('FY-(26-27)Q1'!$G$2:$H$2,'APR-2026'!$A$2:$BY$2,0),0),0)</f>
        <v>0</v>
      </c>
      <c r="I80" s="152">
        <f>IFERROR(VLOOKUP($A$3:$A$144,'MAY-2026'!$A$4:$ACP$113,MATCH('FY-(26-27)Q1'!$I$2:$J$2,'MAY-2026'!$A$2:$CQ$2,0),0),0)</f>
        <v>0</v>
      </c>
      <c r="J80" s="154">
        <f>IFERROR(VLOOKUP($A$3:$A$144,'MAY-2026'!$A$4:$ACP$113,MATCH('FY-(26-27)Q1'!$I$2:$J$2,'MAY-2026'!$A$2:$CQ$2,0),0),0)</f>
        <v>0</v>
      </c>
      <c r="K80" s="152">
        <f>IFERROR(VLOOKUP($A$3:$A$144,'JUNE-2026'!$A$4:$ADJ$113,MATCH('FY-(26-27)Q1'!$K$2:$L$2,'JUNE-2026'!$A$2:$DK$2,0),0),0)</f>
        <v>0</v>
      </c>
      <c r="L80" s="154">
        <f>IFERROR(VLOOKUP($A$3:$A$144,'JUNE-2026'!$A$4:$ADJ$113,MATCH('FY-(26-27)Q1'!$K$2:$L$2,'JUNE-2026'!$A$2:$DK$2,0),0),0)</f>
        <v>0</v>
      </c>
      <c r="M80" s="71">
        <f t="shared" si="14"/>
        <v>0</v>
      </c>
      <c r="N80" s="165">
        <f t="shared" si="15"/>
        <v>0</v>
      </c>
      <c r="O80" s="214"/>
      <c r="P80" s="152">
        <f>IFERROR(VLOOKUP($A$3:$A$144,'FY-(26-27)Q2'!$A$4:$ABW$124,MATCH('FY-(26-27)Q1'!$P$2:$Q$2,'FY-(26-27)Q2'!$A$2:$BX$2,0),0),0)</f>
        <v>0</v>
      </c>
      <c r="Q80" s="154">
        <f>IFERROR(VLOOKUP($A$3:$A$144,'FY-(26-27)Q2'!$A$4:$ABW$124,MATCH('FY-(26-27)Q1'!$P$2:$Q$2,'FY-(26-27)Q2'!$A$2:$BX$2,0),0),0)</f>
        <v>0</v>
      </c>
      <c r="R80" s="158"/>
      <c r="S80" s="152">
        <f>IFERROR(VLOOKUP($A$3:$A$144,'FY-(26-27)Q3'!$A$4:$ABW$117,MATCH('FY-(26-27)Q1'!$S$2:$T$2,'FY-(26-27)Q3'!$A$2:$BX$2,0),0),0)</f>
        <v>30634</v>
      </c>
      <c r="T80" s="154">
        <f>IFERROR(VLOOKUP($A$3:$A$144,'FY-(26-27)Q3'!$A$4:$ABW$117,MATCH('FY-(26-27)Q1'!$S$2:$T$3,'FY-(26-27)Q3'!$A$2:$BX$2,0),0),0)</f>
        <v>0</v>
      </c>
      <c r="U80" s="158"/>
      <c r="V80" s="143"/>
      <c r="W80" s="149"/>
      <c r="Y80" s="153">
        <f t="shared" si="12"/>
        <v>30634</v>
      </c>
      <c r="Z80" s="167">
        <f t="shared" si="13"/>
        <v>0</v>
      </c>
    </row>
    <row r="81" spans="1:28" s="131" customFormat="1" x14ac:dyDescent="0.25">
      <c r="A81" s="59" t="s">
        <v>288</v>
      </c>
      <c r="B81" s="59" t="s">
        <v>286</v>
      </c>
      <c r="C81" s="59" t="s">
        <v>285</v>
      </c>
      <c r="D81" s="59"/>
      <c r="E81" s="59" t="s">
        <v>287</v>
      </c>
      <c r="F81" s="114">
        <v>5</v>
      </c>
      <c r="G81" s="152">
        <f>IFERROR(VLOOKUP($A$3:$A$144,'APR-2026'!$A$4:$ABX$112,MATCH('FY-(26-27)Q1'!$G$2:$H$2,'APR-2026'!$A$2:$BY$2,0),0),0)</f>
        <v>0</v>
      </c>
      <c r="H81" s="154">
        <f>IFERROR(VLOOKUP($A$3:$A$144,'APR-2026'!$A$4:$ABX$112,MATCH('FY-(26-27)Q1'!$G$2:$H$2,'APR-2026'!$A$2:$BY$2,0),0),0)</f>
        <v>0</v>
      </c>
      <c r="I81" s="152">
        <f>IFERROR(VLOOKUP($A$3:$A$144,'MAY-2026'!$A$4:$ACP$113,MATCH('FY-(26-27)Q1'!$I$2:$J$2,'MAY-2026'!$A$2:$CQ$2,0),0),0)</f>
        <v>0</v>
      </c>
      <c r="J81" s="154">
        <f>IFERROR(VLOOKUP($A$3:$A$144,'MAY-2026'!$A$4:$ACP$113,MATCH('FY-(26-27)Q1'!$I$2:$J$2,'MAY-2026'!$A$2:$CQ$2,0),0),0)</f>
        <v>0</v>
      </c>
      <c r="K81" s="152">
        <f>IFERROR(VLOOKUP($A$3:$A$144,'JUNE-2026'!$A$4:$ADJ$113,MATCH('FY-(26-27)Q1'!$K$2:$L$2,'JUNE-2026'!$A$2:$DK$2,0),0),0)</f>
        <v>0</v>
      </c>
      <c r="L81" s="154">
        <f>IFERROR(VLOOKUP($A$3:$A$144,'JUNE-2026'!$A$4:$ADJ$113,MATCH('FY-(26-27)Q1'!$K$2:$L$2,'JUNE-2026'!$A$2:$DK$2,0),0),0)</f>
        <v>0</v>
      </c>
      <c r="M81" s="71">
        <f t="shared" si="14"/>
        <v>0</v>
      </c>
      <c r="N81" s="165">
        <f t="shared" si="15"/>
        <v>0</v>
      </c>
      <c r="O81" s="214"/>
      <c r="P81" s="152">
        <f>IFERROR(VLOOKUP($A$3:$A$144,'FY-(26-27)Q2'!$A$4:$ABW$124,MATCH('FY-(26-27)Q1'!$P$2:$Q$2,'FY-(26-27)Q2'!$A$2:$BX$2,0),0),0)</f>
        <v>490853</v>
      </c>
      <c r="Q81" s="154">
        <f>IFERROR(VLOOKUP($A$3:$A$144,'FY-(26-27)Q2'!$A$4:$ABW$124,MATCH('FY-(26-27)Q1'!$P$2:$Q$2,'FY-(26-27)Q2'!$A$2:$BX$2,0),0),0)</f>
        <v>0.98170599999999997</v>
      </c>
      <c r="R81" s="158"/>
      <c r="S81" s="152">
        <f>IFERROR(VLOOKUP($A$3:$A$144,'FY-(26-27)Q3'!$A$4:$ABW$117,MATCH('FY-(26-27)Q1'!$S$2:$T$2,'FY-(26-27)Q3'!$A$2:$BX$2,0),0),0)</f>
        <v>881323</v>
      </c>
      <c r="T81" s="154">
        <f>IFERROR(VLOOKUP($A$3:$A$144,'FY-(26-27)Q3'!$A$4:$ABW$117,MATCH('FY-(26-27)Q1'!$S$2:$T$3,'FY-(26-27)Q3'!$A$2:$BX$2,0),0),0)</f>
        <v>0</v>
      </c>
      <c r="U81" s="158"/>
      <c r="V81" s="143"/>
      <c r="W81" s="149"/>
      <c r="Y81" s="153">
        <f t="shared" si="12"/>
        <v>1372176</v>
      </c>
      <c r="Z81" s="167">
        <f t="shared" si="13"/>
        <v>0.98170599999999997</v>
      </c>
    </row>
    <row r="82" spans="1:28" x14ac:dyDescent="0.25">
      <c r="A82" s="20"/>
      <c r="B82" s="21"/>
      <c r="C82" s="20"/>
      <c r="D82" s="22"/>
      <c r="E82" s="207"/>
      <c r="F82" s="1"/>
      <c r="G82" s="89">
        <f>SUM(G4:G81)</f>
        <v>18164639</v>
      </c>
      <c r="H82" s="90"/>
      <c r="I82" s="153">
        <f>SUM(I4:I81)</f>
        <v>-608314</v>
      </c>
      <c r="J82" s="100"/>
      <c r="K82" s="153">
        <f>SUM(K4:K81)</f>
        <v>1801210</v>
      </c>
      <c r="L82" s="109"/>
      <c r="M82" s="153">
        <f>SUM(M4:M81)</f>
        <v>19357535</v>
      </c>
      <c r="N82" s="122"/>
      <c r="O82" s="122"/>
      <c r="P82" s="153">
        <f>SUM(P4:P81)</f>
        <v>3911995</v>
      </c>
      <c r="Q82" s="122"/>
      <c r="R82" s="122"/>
      <c r="S82" s="153">
        <f>SUM(S4:S81)</f>
        <v>6892411</v>
      </c>
      <c r="T82" s="122"/>
      <c r="U82" s="122"/>
      <c r="V82" s="56"/>
      <c r="W82" s="50"/>
      <c r="Y82" s="153">
        <f>SUM(Y4:Y81)</f>
        <v>30161941</v>
      </c>
      <c r="Z82" s="160"/>
    </row>
    <row r="83" spans="1:28" ht="15.75" thickBot="1" x14ac:dyDescent="0.3">
      <c r="A83" s="1"/>
      <c r="B83" s="1"/>
      <c r="C83" s="1"/>
      <c r="D83" s="1"/>
      <c r="F83" s="1"/>
      <c r="G83" s="91"/>
      <c r="H83" s="92"/>
      <c r="I83" s="101"/>
      <c r="J83" s="102"/>
      <c r="K83" s="110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51"/>
      <c r="W83" s="54"/>
    </row>
    <row r="84" spans="1:28" ht="16.5" thickBot="1" x14ac:dyDescent="0.3">
      <c r="A84" s="1"/>
      <c r="B84" s="1"/>
      <c r="C84" s="1"/>
      <c r="D84" s="1"/>
      <c r="F84" s="1"/>
      <c r="G84" s="84" t="s">
        <v>149</v>
      </c>
      <c r="H84" s="85" t="s">
        <v>150</v>
      </c>
      <c r="I84" s="95" t="s">
        <v>159</v>
      </c>
      <c r="J84" s="96" t="s">
        <v>160</v>
      </c>
      <c r="K84" s="105" t="s">
        <v>161</v>
      </c>
      <c r="L84" s="106" t="s">
        <v>162</v>
      </c>
      <c r="M84" s="67" t="s">
        <v>90</v>
      </c>
      <c r="N84" s="68" t="s">
        <v>125</v>
      </c>
      <c r="O84" s="212"/>
      <c r="P84" s="67" t="s">
        <v>89</v>
      </c>
      <c r="Q84" s="68" t="s">
        <v>126</v>
      </c>
      <c r="R84" s="212"/>
      <c r="S84" s="67" t="s">
        <v>101</v>
      </c>
      <c r="T84" s="68" t="s">
        <v>127</v>
      </c>
      <c r="U84" s="212"/>
      <c r="V84" s="67" t="s">
        <v>119</v>
      </c>
      <c r="W84" s="68" t="s">
        <v>78</v>
      </c>
      <c r="Y84" s="126" t="s">
        <v>163</v>
      </c>
      <c r="Z84" s="127" t="s">
        <v>78</v>
      </c>
    </row>
    <row r="85" spans="1:28" x14ac:dyDescent="0.25">
      <c r="A85" s="75" t="s">
        <v>36</v>
      </c>
      <c r="B85" s="76" t="s">
        <v>71</v>
      </c>
      <c r="C85" s="77" t="s">
        <v>57</v>
      </c>
      <c r="D85" s="77" t="s">
        <v>87</v>
      </c>
      <c r="E85" s="77" t="s">
        <v>256</v>
      </c>
      <c r="F85" s="240">
        <v>30</v>
      </c>
      <c r="G85" s="238">
        <f>IFERROR(VLOOKUP($A$3:$A$144,'APR-2026'!$A$4:$ABX$112,MATCH('FY-(26-27)Q1'!$G$2:$H$2,'APR-2026'!$A$2:$BY$2,0),0),0)</f>
        <v>3718000</v>
      </c>
      <c r="H85" s="158">
        <f>IFERROR(VLOOKUP($A$3:$A$144,'APR-2026'!$A$4:$ABX$112,MATCH('FY-(26-27)Q1'!$G$2:$H$2,'APR-2026'!$A$2:$BY$2,0),0),0)</f>
        <v>1.2393333333333332</v>
      </c>
      <c r="I85" s="152">
        <f>IFERROR(VLOOKUP($A$3:$A$144,'MAY-2026'!$A$4:$ACP$113,MATCH('FY-(26-27)Q1'!$I$2:$J$2,'MAY-2026'!$A$2:$CQ$2,0),0),0)</f>
        <v>-191500</v>
      </c>
      <c r="J85" s="154">
        <f>IFERROR(VLOOKUP($A$3:$A$144,'MAY-2026'!$A$4:$ACP$113,MATCH('FY-(26-27)Q1'!$I$2:$J$2,'MAY-2026'!$A$2:$CQ$2,0),0),0)</f>
        <v>-6.3833333333333325E-2</v>
      </c>
      <c r="K85" s="152">
        <f>IFERROR(VLOOKUP($A$3:$A$144,'JUNE-2026'!$A$4:$ADJ$113,MATCH('FY-(26-27)Q1'!$K$2:$L$2,'JUNE-2026'!$A$2:$DK$2,0),0),0)</f>
        <v>269000</v>
      </c>
      <c r="L85" s="154">
        <f>IFERROR(VLOOKUP($A$3:$A$144,'JUNE-2026'!$A$4:$ADJ$113,MATCH('FY-(26-27)Q1'!$K$2:$L$2,'JUNE-2026'!$A$2:$DK$2,0),0),0)</f>
        <v>8.9666666666666658E-2</v>
      </c>
      <c r="M85" s="88">
        <f t="shared" ref="M85:N87" si="16">G85+I85+K85</f>
        <v>3795500</v>
      </c>
      <c r="N85" s="166">
        <f t="shared" si="16"/>
        <v>1.2651666666666663</v>
      </c>
      <c r="O85" s="166"/>
      <c r="P85" s="152">
        <f>IFERROR(VLOOKUP($A$3:$A$144,'FY-(26-27)Q2'!$A$4:$ABW$124,MATCH('FY-(26-27)Q1'!$P$2:$Q$2,'FY-(26-27)Q2'!$A$2:$BX$2,0),0),0)</f>
        <v>0</v>
      </c>
      <c r="Q85" s="154">
        <f>IFERROR(VLOOKUP($A$3:$A$144,'FY-(26-27)Q2'!$A$4:$ABW$124,MATCH('FY-(26-27)Q1'!$P$2:$Q$2,'FY-(26-27)Q2'!$A$2:$BX$2,0),0),0)</f>
        <v>0</v>
      </c>
      <c r="R85" s="158"/>
      <c r="S85" s="152">
        <f>IFERROR(VLOOKUP($A$4:$A$79,#REF!,MATCH('FY-(26-27)Q1'!$S$2:$T$2,#REF!,0),0),0)</f>
        <v>0</v>
      </c>
      <c r="T85" s="158">
        <f>IFERROR(VLOOKUP($A$4:$A$79,#REF!,MATCH('FY-(26-27)Q1'!$S$2:$T$2,#REF!,0),0),0)</f>
        <v>0</v>
      </c>
      <c r="U85" s="218"/>
      <c r="V85" s="52"/>
      <c r="W85" s="53"/>
      <c r="Y85" s="52">
        <f t="shared" ref="Y85:Z87" si="17">M85+P85+S85+V85</f>
        <v>3795500</v>
      </c>
      <c r="Z85" s="53">
        <f t="shared" si="17"/>
        <v>1.2651666666666663</v>
      </c>
    </row>
    <row r="86" spans="1:28" x14ac:dyDescent="0.25">
      <c r="A86" s="79" t="s">
        <v>37</v>
      </c>
      <c r="B86" s="140" t="s">
        <v>77</v>
      </c>
      <c r="C86" s="41" t="s">
        <v>57</v>
      </c>
      <c r="D86" s="41" t="s">
        <v>87</v>
      </c>
      <c r="E86" s="41" t="s">
        <v>107</v>
      </c>
      <c r="F86" s="241">
        <v>2</v>
      </c>
      <c r="G86" s="238">
        <f>IFERROR(VLOOKUP($A$3:$A$144,'APR-2026'!$A$4:$ABX$112,MATCH('FY-(26-27)Q1'!$G$2:$H$2,'APR-2026'!$A$2:$BY$2,0),0),0)</f>
        <v>3262972</v>
      </c>
      <c r="H86" s="158">
        <f>IFERROR(VLOOKUP($A$3:$A$144,'APR-2026'!$A$4:$ABX$112,MATCH('FY-(26-27)Q1'!$G$2:$H$2,'APR-2026'!$A$2:$BY$2,0),0),0)</f>
        <v>16.314859999999999</v>
      </c>
      <c r="I86" s="152">
        <f>IFERROR(VLOOKUP($A$3:$A$144,'MAY-2026'!$A$4:$ACP$113,MATCH('FY-(26-27)Q1'!$I$2:$J$2,'MAY-2026'!$A$2:$CQ$2,0),0),0)</f>
        <v>0</v>
      </c>
      <c r="J86" s="154">
        <f>IFERROR(VLOOKUP($A$3:$A$144,'MAY-2026'!$A$4:$ACP$113,MATCH('FY-(26-27)Q1'!$I$2:$J$2,'MAY-2026'!$A$2:$CQ$2,0),0),0)</f>
        <v>0</v>
      </c>
      <c r="K86" s="152">
        <f>IFERROR(VLOOKUP($A$3:$A$144,'JUNE-2026'!$A$4:$ADJ$113,MATCH('FY-(26-27)Q1'!$K$2:$L$2,'JUNE-2026'!$A$2:$DK$2,0),0),0)</f>
        <v>0</v>
      </c>
      <c r="L86" s="154">
        <f>IFERROR(VLOOKUP($A$3:$A$144,'JUNE-2026'!$A$4:$ADJ$113,MATCH('FY-(26-27)Q1'!$K$2:$L$2,'JUNE-2026'!$A$2:$DK$2,0),0),0)</f>
        <v>0</v>
      </c>
      <c r="M86" s="152">
        <f t="shared" si="16"/>
        <v>3262972</v>
      </c>
      <c r="N86" s="166">
        <f t="shared" si="16"/>
        <v>16.314859999999999</v>
      </c>
      <c r="O86" s="166"/>
      <c r="P86" s="152">
        <f>IFERROR(VLOOKUP($A$3:$A$144,'FY-(26-27)Q2'!$A$4:$ABW$124,MATCH('FY-(26-27)Q1'!$P$2:$Q$2,'FY-(26-27)Q2'!$A$2:$BX$2,0),0),0)</f>
        <v>0</v>
      </c>
      <c r="Q86" s="154">
        <f>IFERROR(VLOOKUP($A$3:$A$144,'FY-(26-27)Q2'!$A$4:$ABW$124,MATCH('FY-(26-27)Q1'!$P$2:$Q$2,'FY-(26-27)Q2'!$A$2:$BX$2,0),0),0)</f>
        <v>0</v>
      </c>
      <c r="R86" s="158"/>
      <c r="S86" s="152">
        <f>IFERROR(VLOOKUP($A$4:$A$79,#REF!,MATCH('FY-(26-27)Q1'!$S$2:$T$2,#REF!,0),0),0)</f>
        <v>0</v>
      </c>
      <c r="T86" s="158">
        <f>IFERROR(VLOOKUP($A$4:$A$79,#REF!,MATCH('FY-(26-27)Q1'!$S$2:$T$2,#REF!,0),0),0)</f>
        <v>0</v>
      </c>
      <c r="U86" s="218"/>
      <c r="V86" s="52"/>
      <c r="W86" s="53"/>
      <c r="Y86" s="52">
        <f t="shared" si="17"/>
        <v>3262972</v>
      </c>
      <c r="Z86" s="53">
        <f t="shared" si="17"/>
        <v>16.314859999999999</v>
      </c>
    </row>
    <row r="87" spans="1:28" x14ac:dyDescent="0.25">
      <c r="A87" s="79" t="s">
        <v>241</v>
      </c>
      <c r="B87" s="140" t="s">
        <v>240</v>
      </c>
      <c r="C87" s="140" t="s">
        <v>57</v>
      </c>
      <c r="D87" s="140"/>
      <c r="E87" s="140"/>
      <c r="F87" s="206"/>
      <c r="G87" s="238">
        <f>IFERROR(VLOOKUP($A$3:$A$144,'APR-2026'!$A$4:$ABX$112,MATCH('FY-(26-27)Q1'!$G$2:$H$2,'APR-2026'!$A$2:$BY$2,0),0),0)</f>
        <v>0</v>
      </c>
      <c r="H87" s="158">
        <f>IFERROR(VLOOKUP($A$3:$A$144,'APR-2026'!$A$4:$ABX$112,MATCH('FY-(26-27)Q1'!$G$2:$H$2,'APR-2026'!$A$2:$BY$2,0),0),0)</f>
        <v>0</v>
      </c>
      <c r="I87" s="152">
        <f>IFERROR(VLOOKUP($A$3:$A$144,'MAY-2026'!$A$4:$ACP$113,MATCH('FY-(26-27)Q1'!$I$2:$J$2,'MAY-2026'!$A$2:$CQ$2,0),0),0)</f>
        <v>212000</v>
      </c>
      <c r="J87" s="154">
        <f>IFERROR(VLOOKUP($A$3:$A$144,'MAY-2026'!$A$4:$ACP$113,MATCH('FY-(26-27)Q1'!$I$2:$J$2,'MAY-2026'!$A$2:$CQ$2,0),0),0)</f>
        <v>0</v>
      </c>
      <c r="K87" s="152">
        <f>IFERROR(VLOOKUP($A$3:$A$144,'JUNE-2026'!$A$4:$ADJ$113,MATCH('FY-(26-27)Q1'!$K$2:$L$2,'JUNE-2026'!$A$2:$DK$2,0),0),0)</f>
        <v>-500</v>
      </c>
      <c r="L87" s="154">
        <f>IFERROR(VLOOKUP($A$3:$A$144,'JUNE-2026'!$A$4:$ADJ$113,MATCH('FY-(26-27)Q1'!$K$2:$L$2,'JUNE-2026'!$A$2:$DK$2,0),0),0)</f>
        <v>0</v>
      </c>
      <c r="M87" s="152">
        <f t="shared" si="16"/>
        <v>211500</v>
      </c>
      <c r="N87" s="166">
        <f t="shared" si="16"/>
        <v>0</v>
      </c>
      <c r="O87" s="166"/>
      <c r="P87" s="152">
        <f>IFERROR(VLOOKUP($A$3:$A$144,'FY-(26-27)Q2'!$A$4:$ABW$124,MATCH('FY-(26-27)Q1'!$P$2:$Q$2,'FY-(26-27)Q2'!$A$2:$BX$2,0),0),0)</f>
        <v>-292171</v>
      </c>
      <c r="Q87" s="154">
        <f>IFERROR(VLOOKUP($A$3:$A$144,'FY-(26-27)Q2'!$A$4:$ABW$124,MATCH('FY-(26-27)Q1'!$P$2:$Q$2,'FY-(26-27)Q2'!$A$2:$BX$2,0),0),0)</f>
        <v>-0.9739033333333329</v>
      </c>
      <c r="R87" s="158"/>
      <c r="S87" s="152">
        <f>IFERROR(VLOOKUP($A$4:$A$79,#REF!,MATCH('FY-(26-27)Q1'!$S$2:$T$2,#REF!,0),0),0)</f>
        <v>0</v>
      </c>
      <c r="T87" s="158">
        <f>IFERROR(VLOOKUP($A$4:$A$79,#REF!,MATCH('FY-(26-27)Q1'!$S$2:$T$2,#REF!,0),0),0)</f>
        <v>0</v>
      </c>
      <c r="U87" s="218"/>
      <c r="V87" s="52"/>
      <c r="W87" s="53"/>
      <c r="X87" s="131"/>
      <c r="Y87" s="52">
        <f t="shared" si="17"/>
        <v>-80671</v>
      </c>
      <c r="Z87" s="53">
        <f t="shared" si="17"/>
        <v>-0.9739033333333329</v>
      </c>
      <c r="AA87" s="131"/>
    </row>
    <row r="88" spans="1:28" s="131" customFormat="1" x14ac:dyDescent="0.25">
      <c r="A88" s="79" t="s">
        <v>273</v>
      </c>
      <c r="B88" s="140" t="s">
        <v>272</v>
      </c>
      <c r="C88" s="140" t="s">
        <v>57</v>
      </c>
      <c r="D88" s="140" t="s">
        <v>87</v>
      </c>
      <c r="E88" s="140" t="s">
        <v>256</v>
      </c>
      <c r="F88" s="206"/>
      <c r="G88" s="238">
        <f>IFERROR(VLOOKUP($A$3:$A$144,'APR-2026'!$A$4:$ABX$112,MATCH('FY-(26-27)Q1'!$G$2:$H$2,'APR-2026'!$A$2:$BY$2,0),0),0)</f>
        <v>0</v>
      </c>
      <c r="H88" s="158">
        <f>IFERROR(VLOOKUP($A$3:$A$144,'APR-2026'!$A$4:$ABX$112,MATCH('FY-(26-27)Q1'!$G$2:$H$2,'APR-2026'!$A$2:$BY$2,0),0),0)</f>
        <v>0</v>
      </c>
      <c r="I88" s="152">
        <f>IFERROR(VLOOKUP($A$3:$A$144,'MAY-2026'!$A$4:$ACP$113,MATCH('FY-(26-27)Q1'!$I$2:$J$2,'MAY-2026'!$A$2:$CQ$2,0),0),0)</f>
        <v>0</v>
      </c>
      <c r="J88" s="154">
        <f>IFERROR(VLOOKUP($A$3:$A$144,'MAY-2026'!$A$4:$ACP$113,MATCH('FY-(26-27)Q1'!$I$2:$J$2,'MAY-2026'!$A$2:$CQ$2,0),0),0)</f>
        <v>0</v>
      </c>
      <c r="K88" s="152">
        <f>IFERROR(VLOOKUP($A$3:$A$144,'JUNE-2026'!$A$4:$ADJ$113,MATCH('FY-(26-27)Q1'!$K$2:$L$2,'JUNE-2026'!$A$2:$DK$2,0),0),0)</f>
        <v>-410000</v>
      </c>
      <c r="L88" s="154">
        <f>IFERROR(VLOOKUP($A$3:$A$144,'JUNE-2026'!$A$4:$ADJ$113,MATCH('FY-(26-27)Q1'!$K$2:$L$2,'JUNE-2026'!$A$2:$DK$2,0),0),0)</f>
        <v>0</v>
      </c>
      <c r="M88" s="152">
        <f t="shared" ref="M88" si="18">G88+I88+K88</f>
        <v>-410000</v>
      </c>
      <c r="N88" s="166">
        <f t="shared" ref="N88" si="19">H88+J88+L88</f>
        <v>0</v>
      </c>
      <c r="O88" s="166"/>
      <c r="P88" s="152">
        <f>IFERROR(VLOOKUP($A$3:$A$144,'FY-(26-27)Q2'!$A$4:$ABW$124,MATCH('FY-(26-27)Q1'!$P$2:$Q$2,'FY-(26-27)Q2'!$A$2:$BX$2,0),0),0)</f>
        <v>1019091</v>
      </c>
      <c r="Q88" s="154">
        <f>IFERROR(VLOOKUP($A$3:$A$144,'FY-(26-27)Q2'!$A$4:$ABW$124,MATCH('FY-(26-27)Q1'!$P$2:$Q$2,'FY-(26-27)Q2'!$A$2:$BX$2,0),0),0)</f>
        <v>0</v>
      </c>
      <c r="R88" s="158"/>
      <c r="S88" s="152">
        <f>IFERROR(VLOOKUP($A$4:$A$79,#REF!,MATCH('FY-(26-27)Q1'!$S$2:$T$2,#REF!,0),0),0)</f>
        <v>0</v>
      </c>
      <c r="T88" s="158">
        <f>IFERROR(VLOOKUP($A$4:$A$79,#REF!,MATCH('FY-(26-27)Q1'!$S$2:$T$2,#REF!,0),0),0)</f>
        <v>0</v>
      </c>
      <c r="U88" s="218"/>
      <c r="V88" s="52"/>
      <c r="W88" s="53"/>
      <c r="Y88" s="52">
        <f t="shared" ref="Y88" si="20">M88+P88+S88+V88</f>
        <v>609091</v>
      </c>
      <c r="Z88" s="53">
        <f t="shared" ref="Z88" si="21">N88+Q88+T88+W88</f>
        <v>0</v>
      </c>
    </row>
    <row r="89" spans="1:28" ht="15.75" thickBot="1" x14ac:dyDescent="0.3">
      <c r="A89" s="242"/>
      <c r="B89" s="243"/>
      <c r="C89" s="243"/>
      <c r="D89" s="243"/>
      <c r="E89" s="243"/>
      <c r="F89" s="244"/>
      <c r="G89" s="239">
        <f>SUM(G85:G86)</f>
        <v>6980972</v>
      </c>
      <c r="H89" s="94"/>
      <c r="I89" s="103">
        <f>SUM(I85:I86)</f>
        <v>-191500</v>
      </c>
      <c r="J89" s="104"/>
      <c r="K89" s="112">
        <f>SUM(K85:K86)</f>
        <v>269000</v>
      </c>
      <c r="L89" s="113"/>
      <c r="M89" s="123"/>
      <c r="N89" s="123"/>
      <c r="O89" s="123"/>
      <c r="P89" s="112">
        <f>SUM(P85:P88)</f>
        <v>726920</v>
      </c>
      <c r="Q89" s="123"/>
      <c r="R89" s="123"/>
      <c r="S89" s="112">
        <f>SUM(S85:S88)</f>
        <v>0</v>
      </c>
      <c r="T89" s="123"/>
      <c r="U89" s="123"/>
      <c r="V89" s="57"/>
      <c r="W89" s="58"/>
      <c r="Y89" s="57">
        <f>SUM(Y85:Y86)</f>
        <v>7058472</v>
      </c>
      <c r="Z89" s="58">
        <f>SUM(Z85:Z86)</f>
        <v>17.580026666666665</v>
      </c>
      <c r="AB89" s="131"/>
    </row>
    <row r="90" spans="1:28" x14ac:dyDescent="0.25">
      <c r="A90" s="1"/>
    </row>
  </sheetData>
  <conditionalFormatting sqref="A60:C60 V4:W4 A29:F31 V22:W23 A15:C15 W52:W53 A3:F4 L2:L3 A52:F53 A56:C56 W24:W32 A85:F86 C18 W49:W50 W45 A45:F45 F18 F15 W62:W66 A72:F72 F57 F60 W56:W57 H4:O4 O5 A22:F26 D5:F5 A47:F47 A78:C78 A79:E79 A49:F50 E56:F56 A65:F65 M85:O87 A36:F38 R36:R39 R15:R19 R24:R32 R52:R57 U85:U87 A82:E82 A41:F42 A68:F68 R41:R50 O41:O57 W41:W42 W72:W74 A9 F9 O15:O20 R59:R66 O59:O66 W59:W60 O22:O34 A33:A34 A7:F8 U59:U66 U68:U77 U41:U46 U52:U57 U24:U32 U19 U49:U50 U36:W39 U15:W18 U47:W48 G89:W89 F76:F79 O68:O79 R68:R79 U78:W79 E78 O7:O13 O36:O39 R7:R11 U7:W11 S4:T81 G82:W83 Y4:Z82 H5:N81">
    <cfRule type="expression" dxfId="236" priority="456">
      <formula>MOD(ROW(),2)=0</formula>
    </cfRule>
  </conditionalFormatting>
  <conditionalFormatting sqref="V41:V42 V25:V26 V64 V52:V53 V60 V49:V50 V29:V31 G2:I3 V56 G4:H81">
    <cfRule type="expression" dxfId="235" priority="455">
      <formula>MOD(ROW(),2)=0</formula>
    </cfRule>
  </conditionalFormatting>
  <conditionalFormatting sqref="J2:J3">
    <cfRule type="expression" dxfId="234" priority="452">
      <formula>MOD(ROW(),2)=0</formula>
    </cfRule>
  </conditionalFormatting>
  <conditionalFormatting sqref="V85:W86">
    <cfRule type="expression" dxfId="233" priority="449">
      <formula>MOD(ROW(),2)=0</formula>
    </cfRule>
  </conditionalFormatting>
  <conditionalFormatting sqref="K2:K3">
    <cfRule type="expression" dxfId="232" priority="450">
      <formula>MOD(ROW(),2)=0</formula>
    </cfRule>
  </conditionalFormatting>
  <conditionalFormatting sqref="V65:V66">
    <cfRule type="expression" dxfId="231" priority="440">
      <formula>MOD(ROW(),2)=0</formula>
    </cfRule>
  </conditionalFormatting>
  <conditionalFormatting sqref="V24">
    <cfRule type="expression" dxfId="230" priority="441">
      <formula>MOD(ROW(),2)=0</formula>
    </cfRule>
  </conditionalFormatting>
  <conditionalFormatting sqref="A57:C57 E57">
    <cfRule type="expression" dxfId="229" priority="430">
      <formula>MOD(ROW(),2)=0</formula>
    </cfRule>
  </conditionalFormatting>
  <conditionalFormatting sqref="V57 V59">
    <cfRule type="expression" dxfId="228" priority="428">
      <formula>MOD(ROW(),2)=0</formula>
    </cfRule>
  </conditionalFormatting>
  <conditionalFormatting sqref="E60">
    <cfRule type="expression" dxfId="227" priority="426">
      <formula>MOD(ROW(),2)=0</formula>
    </cfRule>
  </conditionalFormatting>
  <conditionalFormatting sqref="V45">
    <cfRule type="expression" dxfId="226" priority="417">
      <formula>MOD(ROW(),2)=0</formula>
    </cfRule>
  </conditionalFormatting>
  <conditionalFormatting sqref="A32:F32">
    <cfRule type="expression" dxfId="225" priority="416">
      <formula>MOD(ROW(),2)=0</formula>
    </cfRule>
  </conditionalFormatting>
  <conditionalFormatting sqref="V32">
    <cfRule type="expression" dxfId="224" priority="414">
      <formula>MOD(ROW(),2)=0</formula>
    </cfRule>
  </conditionalFormatting>
  <conditionalFormatting sqref="A28:E28">
    <cfRule type="expression" dxfId="223" priority="413">
      <formula>MOD(ROW(),2)=0</formula>
    </cfRule>
  </conditionalFormatting>
  <conditionalFormatting sqref="V28">
    <cfRule type="expression" dxfId="222" priority="411">
      <formula>MOD(ROW(),2)=0</formula>
    </cfRule>
  </conditionalFormatting>
  <conditionalFormatting sqref="A27:E27">
    <cfRule type="expression" dxfId="221" priority="410">
      <formula>MOD(ROW(),2)=0</formula>
    </cfRule>
  </conditionalFormatting>
  <conditionalFormatting sqref="V27">
    <cfRule type="expression" dxfId="220" priority="408">
      <formula>MOD(ROW(),2)=0</formula>
    </cfRule>
  </conditionalFormatting>
  <conditionalFormatting sqref="A62:C62 E62:F62">
    <cfRule type="expression" dxfId="219" priority="395">
      <formula>MOD(ROW(),2)=0</formula>
    </cfRule>
  </conditionalFormatting>
  <conditionalFormatting sqref="U4 U22:U23">
    <cfRule type="expression" dxfId="218" priority="339">
      <formula>MOD(ROW(),2)=0</formula>
    </cfRule>
  </conditionalFormatting>
  <conditionalFormatting sqref="U4 U22:U23">
    <cfRule type="expression" dxfId="217" priority="338">
      <formula>MOD(ROW(),2)=0</formula>
    </cfRule>
  </conditionalFormatting>
  <conditionalFormatting sqref="V62:V63">
    <cfRule type="expression" dxfId="216" priority="391">
      <formula>MOD(ROW(),2)=0</formula>
    </cfRule>
  </conditionalFormatting>
  <conditionalFormatting sqref="F27">
    <cfRule type="expression" dxfId="215" priority="357">
      <formula>MOD(ROW(),2)=0</formula>
    </cfRule>
  </conditionalFormatting>
  <conditionalFormatting sqref="O22:O23 O36">
    <cfRule type="expression" dxfId="214" priority="355">
      <formula>MOD(ROW(),2)=0</formula>
    </cfRule>
  </conditionalFormatting>
  <conditionalFormatting sqref="A19:F19 A20:C20 E20:F20">
    <cfRule type="expression" dxfId="213" priority="363">
      <formula>MOD(ROW(),2)=0</formula>
    </cfRule>
  </conditionalFormatting>
  <conditionalFormatting sqref="V19:W19">
    <cfRule type="expression" dxfId="212" priority="362">
      <formula>MOD(ROW(),2)=0</formula>
    </cfRule>
  </conditionalFormatting>
  <conditionalFormatting sqref="R4 R22:R23">
    <cfRule type="expression" dxfId="211" priority="347">
      <formula>MOD(ROW(),2)=0</formula>
    </cfRule>
  </conditionalFormatting>
  <conditionalFormatting sqref="R4 R22:R23">
    <cfRule type="expression" dxfId="210" priority="346">
      <formula>MOD(ROW(),2)=0</formula>
    </cfRule>
  </conditionalFormatting>
  <conditionalFormatting sqref="V72:V74">
    <cfRule type="expression" dxfId="209" priority="377">
      <formula>MOD(ROW(),2)=0</formula>
    </cfRule>
  </conditionalFormatting>
  <conditionalFormatting sqref="W68">
    <cfRule type="expression" dxfId="208" priority="337">
      <formula>MOD(ROW(),2)=0</formula>
    </cfRule>
  </conditionalFormatting>
  <conditionalFormatting sqref="O37">
    <cfRule type="expression" dxfId="207" priority="348">
      <formula>MOD(ROW(),2)=0</formula>
    </cfRule>
  </conditionalFormatting>
  <conditionalFormatting sqref="F28">
    <cfRule type="expression" dxfId="206" priority="358">
      <formula>MOD(ROW(),2)=0</formula>
    </cfRule>
  </conditionalFormatting>
  <conditionalFormatting sqref="O22:O23 O36">
    <cfRule type="expression" dxfId="205" priority="356">
      <formula>MOD(ROW(),2)=0</formula>
    </cfRule>
  </conditionalFormatting>
  <conditionalFormatting sqref="O37">
    <cfRule type="expression" dxfId="204" priority="349">
      <formula>MOD(ROW(),2)=0</formula>
    </cfRule>
  </conditionalFormatting>
  <conditionalFormatting sqref="V68">
    <cfRule type="expression" dxfId="203" priority="336">
      <formula>MOD(ROW(),2)=0</formula>
    </cfRule>
  </conditionalFormatting>
  <conditionalFormatting sqref="O20">
    <cfRule type="expression" dxfId="202" priority="294">
      <formula>MOD(ROW(),2)=0</formula>
    </cfRule>
  </conditionalFormatting>
  <conditionalFormatting sqref="R20">
    <cfRule type="expression" dxfId="201" priority="293">
      <formula>MOD(ROW(),2)=0</formula>
    </cfRule>
  </conditionalFormatting>
  <conditionalFormatting sqref="U20">
    <cfRule type="expression" dxfId="200" priority="291">
      <formula>MOD(ROW(),2)=0</formula>
    </cfRule>
  </conditionalFormatting>
  <conditionalFormatting sqref="B33:F33 B34:C34 E34:F34">
    <cfRule type="expression" dxfId="199" priority="283">
      <formula>MOD(ROW(),2)=0</formula>
    </cfRule>
  </conditionalFormatting>
  <conditionalFormatting sqref="W33">
    <cfRule type="expression" dxfId="198" priority="282">
      <formula>MOD(ROW(),2)=0</formula>
    </cfRule>
  </conditionalFormatting>
  <conditionalFormatting sqref="V20:W20">
    <cfRule type="expression" dxfId="197" priority="296">
      <formula>MOD(ROW(),2)=0</formula>
    </cfRule>
  </conditionalFormatting>
  <conditionalFormatting sqref="O20">
    <cfRule type="expression" dxfId="196" priority="295">
      <formula>MOD(ROW(),2)=0</formula>
    </cfRule>
  </conditionalFormatting>
  <conditionalFormatting sqref="R20">
    <cfRule type="expression" dxfId="195" priority="292">
      <formula>MOD(ROW(),2)=0</formula>
    </cfRule>
  </conditionalFormatting>
  <conditionalFormatting sqref="U20">
    <cfRule type="expression" dxfId="194" priority="290">
      <formula>MOD(ROW(),2)=0</formula>
    </cfRule>
  </conditionalFormatting>
  <conditionalFormatting sqref="V33">
    <cfRule type="expression" dxfId="193" priority="281">
      <formula>MOD(ROW(),2)=0</formula>
    </cfRule>
  </conditionalFormatting>
  <conditionalFormatting sqref="U33">
    <cfRule type="expression" dxfId="192" priority="275">
      <formula>MOD(ROW(),2)=0</formula>
    </cfRule>
  </conditionalFormatting>
  <conditionalFormatting sqref="O33">
    <cfRule type="expression" dxfId="191" priority="280">
      <formula>MOD(ROW(),2)=0</formula>
    </cfRule>
  </conditionalFormatting>
  <conditionalFormatting sqref="O33">
    <cfRule type="expression" dxfId="190" priority="279">
      <formula>MOD(ROW(),2)=0</formula>
    </cfRule>
  </conditionalFormatting>
  <conditionalFormatting sqref="U33">
    <cfRule type="expression" dxfId="189" priority="276">
      <formula>MOD(ROW(),2)=0</formula>
    </cfRule>
  </conditionalFormatting>
  <conditionalFormatting sqref="R33">
    <cfRule type="expression" dxfId="188" priority="278">
      <formula>MOD(ROW(),2)=0</formula>
    </cfRule>
  </conditionalFormatting>
  <conditionalFormatting sqref="R33">
    <cfRule type="expression" dxfId="187" priority="277">
      <formula>MOD(ROW(),2)=0</formula>
    </cfRule>
  </conditionalFormatting>
  <conditionalFormatting sqref="A13:F13 A12:C12 E12:F12 F14">
    <cfRule type="expression" dxfId="186" priority="268">
      <formula>MOD(ROW(),2)=0</formula>
    </cfRule>
  </conditionalFormatting>
  <conditionalFormatting sqref="V12:W13">
    <cfRule type="expression" dxfId="185" priority="267">
      <formula>MOD(ROW(),2)=0</formula>
    </cfRule>
  </conditionalFormatting>
  <conditionalFormatting sqref="R12:R13">
    <cfRule type="expression" dxfId="184" priority="264">
      <formula>MOD(ROW(),2)=0</formula>
    </cfRule>
  </conditionalFormatting>
  <conditionalFormatting sqref="R12:R13">
    <cfRule type="expression" dxfId="183" priority="263">
      <formula>MOD(ROW(),2)=0</formula>
    </cfRule>
  </conditionalFormatting>
  <conditionalFormatting sqref="U12:U13">
    <cfRule type="expression" dxfId="182" priority="261">
      <formula>MOD(ROW(),2)=0</formula>
    </cfRule>
  </conditionalFormatting>
  <conditionalFormatting sqref="O12:O13">
    <cfRule type="expression" dxfId="181" priority="266">
      <formula>MOD(ROW(),2)=0</formula>
    </cfRule>
  </conditionalFormatting>
  <conditionalFormatting sqref="O12:O13">
    <cfRule type="expression" dxfId="180" priority="265">
      <formula>MOD(ROW(),2)=0</formula>
    </cfRule>
  </conditionalFormatting>
  <conditionalFormatting sqref="U12:U13">
    <cfRule type="expression" dxfId="179" priority="262">
      <formula>MOD(ROW(),2)=0</formula>
    </cfRule>
  </conditionalFormatting>
  <conditionalFormatting sqref="A51:C51 E51:F51">
    <cfRule type="expression" dxfId="178" priority="254">
      <formula>MOD(ROW(),2)=0</formula>
    </cfRule>
  </conditionalFormatting>
  <conditionalFormatting sqref="W51">
    <cfRule type="expression" dxfId="177" priority="253">
      <formula>MOD(ROW(),2)=0</formula>
    </cfRule>
  </conditionalFormatting>
  <conditionalFormatting sqref="V51">
    <cfRule type="expression" dxfId="176" priority="252">
      <formula>MOD(ROW(),2)=0</formula>
    </cfRule>
  </conditionalFormatting>
  <conditionalFormatting sqref="U51">
    <cfRule type="expression" dxfId="175" priority="247">
      <formula>MOD(ROW(),2)=0</formula>
    </cfRule>
  </conditionalFormatting>
  <conditionalFormatting sqref="U51">
    <cfRule type="expression" dxfId="174" priority="246">
      <formula>MOD(ROW(),2)=0</formula>
    </cfRule>
  </conditionalFormatting>
  <conditionalFormatting sqref="O51">
    <cfRule type="expression" dxfId="173" priority="250">
      <formula>MOD(ROW(),2)=0</formula>
    </cfRule>
  </conditionalFormatting>
  <conditionalFormatting sqref="R51">
    <cfRule type="expression" dxfId="172" priority="249">
      <formula>MOD(ROW(),2)=0</formula>
    </cfRule>
  </conditionalFormatting>
  <conditionalFormatting sqref="R51">
    <cfRule type="expression" dxfId="171" priority="248">
      <formula>MOD(ROW(),2)=0</formula>
    </cfRule>
  </conditionalFormatting>
  <conditionalFormatting sqref="O51">
    <cfRule type="expression" dxfId="170" priority="251">
      <formula>MOD(ROW(),2)=0</formula>
    </cfRule>
  </conditionalFormatting>
  <conditionalFormatting sqref="A64:C64 E64:F64">
    <cfRule type="expression" dxfId="169" priority="239">
      <formula>MOD(ROW(),2)=0</formula>
    </cfRule>
  </conditionalFormatting>
  <conditionalFormatting sqref="A5:C5">
    <cfRule type="expression" dxfId="168" priority="235">
      <formula>MOD(ROW(),2)=0</formula>
    </cfRule>
  </conditionalFormatting>
  <conditionalFormatting sqref="V5:W5">
    <cfRule type="expression" dxfId="167" priority="234">
      <formula>MOD(ROW(),2)=0</formula>
    </cfRule>
  </conditionalFormatting>
  <conditionalFormatting sqref="U5">
    <cfRule type="expression" dxfId="166" priority="228">
      <formula>MOD(ROW(),2)=0</formula>
    </cfRule>
  </conditionalFormatting>
  <conditionalFormatting sqref="U5">
    <cfRule type="expression" dxfId="165" priority="227">
      <formula>MOD(ROW(),2)=0</formula>
    </cfRule>
  </conditionalFormatting>
  <conditionalFormatting sqref="O5">
    <cfRule type="expression" dxfId="164" priority="231">
      <formula>MOD(ROW(),2)=0</formula>
    </cfRule>
  </conditionalFormatting>
  <conditionalFormatting sqref="R5">
    <cfRule type="expression" dxfId="163" priority="230">
      <formula>MOD(ROW(),2)=0</formula>
    </cfRule>
  </conditionalFormatting>
  <conditionalFormatting sqref="R5">
    <cfRule type="expression" dxfId="162" priority="229">
      <formula>MOD(ROW(),2)=0</formula>
    </cfRule>
  </conditionalFormatting>
  <conditionalFormatting sqref="O5">
    <cfRule type="expression" dxfId="161" priority="232">
      <formula>MOD(ROW(),2)=0</formula>
    </cfRule>
  </conditionalFormatting>
  <conditionalFormatting sqref="A54:F55">
    <cfRule type="expression" dxfId="160" priority="216">
      <formula>MOD(ROW(),2)=0</formula>
    </cfRule>
  </conditionalFormatting>
  <conditionalFormatting sqref="W54:W55">
    <cfRule type="expression" dxfId="159" priority="215">
      <formula>MOD(ROW(),2)=0</formula>
    </cfRule>
  </conditionalFormatting>
  <conditionalFormatting sqref="V54:V55">
    <cfRule type="expression" dxfId="158" priority="214">
      <formula>MOD(ROW(),2)=0</formula>
    </cfRule>
  </conditionalFormatting>
  <conditionalFormatting sqref="W34">
    <cfRule type="expression" dxfId="157" priority="208">
      <formula>MOD(ROW(),2)=0</formula>
    </cfRule>
  </conditionalFormatting>
  <conditionalFormatting sqref="V34">
    <cfRule type="expression" dxfId="156" priority="207">
      <formula>MOD(ROW(),2)=0</formula>
    </cfRule>
  </conditionalFormatting>
  <conditionalFormatting sqref="U34">
    <cfRule type="expression" dxfId="155" priority="201">
      <formula>MOD(ROW(),2)=0</formula>
    </cfRule>
  </conditionalFormatting>
  <conditionalFormatting sqref="O34">
    <cfRule type="expression" dxfId="154" priority="206">
      <formula>MOD(ROW(),2)=0</formula>
    </cfRule>
  </conditionalFormatting>
  <conditionalFormatting sqref="O34">
    <cfRule type="expression" dxfId="153" priority="205">
      <formula>MOD(ROW(),2)=0</formula>
    </cfRule>
  </conditionalFormatting>
  <conditionalFormatting sqref="U34">
    <cfRule type="expression" dxfId="152" priority="202">
      <formula>MOD(ROW(),2)=0</formula>
    </cfRule>
  </conditionalFormatting>
  <conditionalFormatting sqref="R34">
    <cfRule type="expression" dxfId="151" priority="204">
      <formula>MOD(ROW(),2)=0</formula>
    </cfRule>
  </conditionalFormatting>
  <conditionalFormatting sqref="R34">
    <cfRule type="expression" dxfId="150" priority="203">
      <formula>MOD(ROW(),2)=0</formula>
    </cfRule>
  </conditionalFormatting>
  <conditionalFormatting sqref="W69">
    <cfRule type="expression" dxfId="149" priority="199">
      <formula>MOD(ROW(),2)=0</formula>
    </cfRule>
  </conditionalFormatting>
  <conditionalFormatting sqref="V69">
    <cfRule type="expression" dxfId="148" priority="198">
      <formula>MOD(ROW(),2)=0</formula>
    </cfRule>
  </conditionalFormatting>
  <conditionalFormatting sqref="A16:F16">
    <cfRule type="expression" dxfId="147" priority="185">
      <formula>MOD(ROW(),2)=0</formula>
    </cfRule>
  </conditionalFormatting>
  <conditionalFormatting sqref="W44">
    <cfRule type="expression" dxfId="146" priority="194">
      <formula>MOD(ROW(),2)=0</formula>
    </cfRule>
  </conditionalFormatting>
  <conditionalFormatting sqref="V44">
    <cfRule type="expression" dxfId="145" priority="193">
      <formula>MOD(ROW(),2)=0</formula>
    </cfRule>
  </conditionalFormatting>
  <conditionalFormatting sqref="A75:C75 E75:F75">
    <cfRule type="expression" dxfId="144" priority="183">
      <formula>MOD(ROW(),2)=0</formula>
    </cfRule>
  </conditionalFormatting>
  <conditionalFormatting sqref="W75">
    <cfRule type="expression" dxfId="143" priority="182">
      <formula>MOD(ROW(),2)=0</formula>
    </cfRule>
  </conditionalFormatting>
  <conditionalFormatting sqref="V75">
    <cfRule type="expression" dxfId="142" priority="181">
      <formula>MOD(ROW(),2)=0</formula>
    </cfRule>
  </conditionalFormatting>
  <conditionalFormatting sqref="G85:G86">
    <cfRule type="expression" dxfId="141" priority="176">
      <formula>MOD(ROW(),2)=0</formula>
    </cfRule>
  </conditionalFormatting>
  <conditionalFormatting sqref="H85">
    <cfRule type="expression" dxfId="140" priority="173">
      <formula>MOD(ROW(),2)=0</formula>
    </cfRule>
  </conditionalFormatting>
  <conditionalFormatting sqref="H86">
    <cfRule type="expression" dxfId="139" priority="172">
      <formula>MOD(ROW(),2)=0</formula>
    </cfRule>
  </conditionalFormatting>
  <conditionalFormatting sqref="L84">
    <cfRule type="expression" dxfId="138" priority="171">
      <formula>MOD(ROW(),2)=0</formula>
    </cfRule>
  </conditionalFormatting>
  <conditionalFormatting sqref="G84:I84">
    <cfRule type="expression" dxfId="137" priority="170">
      <formula>MOD(ROW(),2)=0</formula>
    </cfRule>
  </conditionalFormatting>
  <conditionalFormatting sqref="J84">
    <cfRule type="expression" dxfId="136" priority="169">
      <formula>MOD(ROW(),2)=0</formula>
    </cfRule>
  </conditionalFormatting>
  <conditionalFormatting sqref="K84">
    <cfRule type="expression" dxfId="135" priority="168">
      <formula>MOD(ROW(),2)=0</formula>
    </cfRule>
  </conditionalFormatting>
  <conditionalFormatting sqref="Y85:Z86">
    <cfRule type="expression" dxfId="134" priority="155">
      <formula>MOD(ROW(),2)=0</formula>
    </cfRule>
  </conditionalFormatting>
  <conditionalFormatting sqref="A43:F43">
    <cfRule type="expression" dxfId="133" priority="165">
      <formula>MOD(ROW(),2)=0</formula>
    </cfRule>
  </conditionalFormatting>
  <conditionalFormatting sqref="A44:F44">
    <cfRule type="expression" dxfId="132" priority="164">
      <formula>MOD(ROW(),2)=0</formula>
    </cfRule>
  </conditionalFormatting>
  <conditionalFormatting sqref="A46:F46">
    <cfRule type="expression" dxfId="131" priority="163">
      <formula>MOD(ROW(),2)=0</formula>
    </cfRule>
  </conditionalFormatting>
  <conditionalFormatting sqref="W46">
    <cfRule type="expression" dxfId="130" priority="162">
      <formula>MOD(ROW(),2)=0</formula>
    </cfRule>
  </conditionalFormatting>
  <conditionalFormatting sqref="V46">
    <cfRule type="expression" dxfId="129" priority="161">
      <formula>MOD(ROW(),2)=0</formula>
    </cfRule>
  </conditionalFormatting>
  <conditionalFormatting sqref="W43">
    <cfRule type="expression" dxfId="128" priority="160">
      <formula>MOD(ROW(),2)=0</formula>
    </cfRule>
  </conditionalFormatting>
  <conditionalFormatting sqref="V43">
    <cfRule type="expression" dxfId="127" priority="159">
      <formula>MOD(ROW(),2)=0</formula>
    </cfRule>
  </conditionalFormatting>
  <conditionalFormatting sqref="D15:E15">
    <cfRule type="expression" dxfId="126" priority="150">
      <formula>MOD(ROW(),2)=0</formula>
    </cfRule>
  </conditionalFormatting>
  <conditionalFormatting sqref="Y89:Z89">
    <cfRule type="expression" dxfId="125" priority="156">
      <formula>MOD(ROW(),2)=0</formula>
    </cfRule>
  </conditionalFormatting>
  <conditionalFormatting sqref="A17:B18">
    <cfRule type="expression" dxfId="124" priority="154">
      <formula>MOD(ROW(),2)=0</formula>
    </cfRule>
  </conditionalFormatting>
  <conditionalFormatting sqref="C17">
    <cfRule type="expression" dxfId="123" priority="153">
      <formula>MOD(ROW(),2)=0</formula>
    </cfRule>
  </conditionalFormatting>
  <conditionalFormatting sqref="F17">
    <cfRule type="expression" dxfId="122" priority="152">
      <formula>MOD(ROW(),2)=0</formula>
    </cfRule>
  </conditionalFormatting>
  <conditionalFormatting sqref="D17:E18">
    <cfRule type="expression" dxfId="121" priority="151">
      <formula>MOD(ROW(),2)=0</formula>
    </cfRule>
  </conditionalFormatting>
  <conditionalFormatting sqref="J85:J86">
    <cfRule type="expression" dxfId="120" priority="146">
      <formula>MOD(ROW(),2)=0</formula>
    </cfRule>
  </conditionalFormatting>
  <conditionalFormatting sqref="I85:J86">
    <cfRule type="expression" dxfId="119" priority="145">
      <formula>MOD(ROW(),2)=0</formula>
    </cfRule>
  </conditionalFormatting>
  <conditionalFormatting sqref="A76:C77 E76:E77">
    <cfRule type="expression" dxfId="118" priority="144">
      <formula>MOD(ROW(),2)=0</formula>
    </cfRule>
  </conditionalFormatting>
  <conditionalFormatting sqref="O76:O77">
    <cfRule type="expression" dxfId="117" priority="143">
      <formula>MOD(ROW(),2)=0</formula>
    </cfRule>
  </conditionalFormatting>
  <conditionalFormatting sqref="W76:W77">
    <cfRule type="expression" dxfId="116" priority="142">
      <formula>MOD(ROW(),2)=0</formula>
    </cfRule>
  </conditionalFormatting>
  <conditionalFormatting sqref="V76:V77">
    <cfRule type="expression" dxfId="115" priority="141">
      <formula>MOD(ROW(),2)=0</formula>
    </cfRule>
  </conditionalFormatting>
  <conditionalFormatting sqref="V61">
    <cfRule type="expression" dxfId="114" priority="138">
      <formula>MOD(ROW(),2)=0</formula>
    </cfRule>
  </conditionalFormatting>
  <conditionalFormatting sqref="A61:C61 E61:F61">
    <cfRule type="expression" dxfId="113" priority="140">
      <formula>MOD(ROW(),2)=0</formula>
    </cfRule>
  </conditionalFormatting>
  <conditionalFormatting sqref="W61">
    <cfRule type="expression" dxfId="112" priority="139">
      <formula>MOD(ROW(),2)=0</formula>
    </cfRule>
  </conditionalFormatting>
  <conditionalFormatting sqref="A70:A71">
    <cfRule type="expression" dxfId="111" priority="137">
      <formula>MOD(ROW(),2)=0</formula>
    </cfRule>
  </conditionalFormatting>
  <conditionalFormatting sqref="A69:B69">
    <cfRule type="expression" dxfId="110" priority="136">
      <formula>MOD(ROW(),2)=0</formula>
    </cfRule>
  </conditionalFormatting>
  <conditionalFormatting sqref="B70:B71">
    <cfRule type="expression" dxfId="109" priority="135">
      <formula>MOD(ROW(),2)=0</formula>
    </cfRule>
  </conditionalFormatting>
  <conditionalFormatting sqref="O70:O71">
    <cfRule type="expression" dxfId="108" priority="134">
      <formula>MOD(ROW(),2)=0</formula>
    </cfRule>
  </conditionalFormatting>
  <conditionalFormatting sqref="W70:W71">
    <cfRule type="expression" dxfId="107" priority="132">
      <formula>MOD(ROW(),2)=0</formula>
    </cfRule>
  </conditionalFormatting>
  <conditionalFormatting sqref="V70:V71">
    <cfRule type="expression" dxfId="106" priority="131">
      <formula>MOD(ROW(),2)=0</formula>
    </cfRule>
  </conditionalFormatting>
  <conditionalFormatting sqref="A6:C6 E6:F6">
    <cfRule type="expression" dxfId="105" priority="130">
      <formula>MOD(ROW(),2)=0</formula>
    </cfRule>
  </conditionalFormatting>
  <conditionalFormatting sqref="O6">
    <cfRule type="expression" dxfId="104" priority="129">
      <formula>MOD(ROW(),2)=0</formula>
    </cfRule>
  </conditionalFormatting>
  <conditionalFormatting sqref="V6:W6">
    <cfRule type="expression" dxfId="103" priority="128">
      <formula>MOD(ROW(),2)=0</formula>
    </cfRule>
  </conditionalFormatting>
  <conditionalFormatting sqref="U6">
    <cfRule type="expression" dxfId="102" priority="123">
      <formula>MOD(ROW(),2)=0</formula>
    </cfRule>
  </conditionalFormatting>
  <conditionalFormatting sqref="U6">
    <cfRule type="expression" dxfId="101" priority="122">
      <formula>MOD(ROW(),2)=0</formula>
    </cfRule>
  </conditionalFormatting>
  <conditionalFormatting sqref="O6">
    <cfRule type="expression" dxfId="100" priority="126">
      <formula>MOD(ROW(),2)=0</formula>
    </cfRule>
  </conditionalFormatting>
  <conditionalFormatting sqref="R6">
    <cfRule type="expression" dxfId="99" priority="125">
      <formula>MOD(ROW(),2)=0</formula>
    </cfRule>
  </conditionalFormatting>
  <conditionalFormatting sqref="R6">
    <cfRule type="expression" dxfId="98" priority="124">
      <formula>MOD(ROW(),2)=0</formula>
    </cfRule>
  </conditionalFormatting>
  <conditionalFormatting sqref="O6">
    <cfRule type="expression" dxfId="97" priority="127">
      <formula>MOD(ROW(),2)=0</formula>
    </cfRule>
  </conditionalFormatting>
  <conditionalFormatting sqref="A59:C59 E59:F59">
    <cfRule type="expression" dxfId="96" priority="121">
      <formula>MOD(ROW(),2)=0</formula>
    </cfRule>
  </conditionalFormatting>
  <conditionalFormatting sqref="A87:F87">
    <cfRule type="expression" dxfId="95" priority="119">
      <formula>MOD(ROW(),2)=0</formula>
    </cfRule>
  </conditionalFormatting>
  <conditionalFormatting sqref="V87:W87">
    <cfRule type="expression" dxfId="94" priority="117">
      <formula>MOD(ROW(),2)=0</formula>
    </cfRule>
  </conditionalFormatting>
  <conditionalFormatting sqref="G87">
    <cfRule type="expression" dxfId="93" priority="116">
      <formula>MOD(ROW(),2)=0</formula>
    </cfRule>
  </conditionalFormatting>
  <conditionalFormatting sqref="H87">
    <cfRule type="expression" dxfId="92" priority="115">
      <formula>MOD(ROW(),2)=0</formula>
    </cfRule>
  </conditionalFormatting>
  <conditionalFormatting sqref="Y87:Z87">
    <cfRule type="expression" dxfId="91" priority="114">
      <formula>MOD(ROW(),2)=0</formula>
    </cfRule>
  </conditionalFormatting>
  <conditionalFormatting sqref="J87">
    <cfRule type="expression" dxfId="90" priority="113">
      <formula>MOD(ROW(),2)=0</formula>
    </cfRule>
  </conditionalFormatting>
  <conditionalFormatting sqref="I87:J87">
    <cfRule type="expression" dxfId="89" priority="112">
      <formula>MOD(ROW(),2)=0</formula>
    </cfRule>
  </conditionalFormatting>
  <conditionalFormatting sqref="K85:L87">
    <cfRule type="expression" dxfId="88" priority="110">
      <formula>MOD(ROW(),2)=0</formula>
    </cfRule>
  </conditionalFormatting>
  <conditionalFormatting sqref="U21">
    <cfRule type="expression" dxfId="87" priority="100">
      <formula>MOD(ROW(),2)=0</formula>
    </cfRule>
  </conditionalFormatting>
  <conditionalFormatting sqref="A21:F21">
    <cfRule type="expression" dxfId="86" priority="108">
      <formula>MOD(ROW(),2)=0</formula>
    </cfRule>
  </conditionalFormatting>
  <conditionalFormatting sqref="O21">
    <cfRule type="expression" dxfId="85" priority="107">
      <formula>MOD(ROW(),2)=0</formula>
    </cfRule>
  </conditionalFormatting>
  <conditionalFormatting sqref="O21">
    <cfRule type="expression" dxfId="84" priority="104">
      <formula>MOD(ROW(),2)=0</formula>
    </cfRule>
  </conditionalFormatting>
  <conditionalFormatting sqref="R21">
    <cfRule type="expression" dxfId="83" priority="103">
      <formula>MOD(ROW(),2)=0</formula>
    </cfRule>
  </conditionalFormatting>
  <conditionalFormatting sqref="U21">
    <cfRule type="expression" dxfId="82" priority="101">
      <formula>MOD(ROW(),2)=0</formula>
    </cfRule>
  </conditionalFormatting>
  <conditionalFormatting sqref="V21:W21">
    <cfRule type="expression" dxfId="81" priority="106">
      <formula>MOD(ROW(),2)=0</formula>
    </cfRule>
  </conditionalFormatting>
  <conditionalFormatting sqref="O21">
    <cfRule type="expression" dxfId="80" priority="105">
      <formula>MOD(ROW(),2)=0</formula>
    </cfRule>
  </conditionalFormatting>
  <conditionalFormatting sqref="R21">
    <cfRule type="expression" dxfId="79" priority="102">
      <formula>MOD(ROW(),2)=0</formula>
    </cfRule>
  </conditionalFormatting>
  <conditionalFormatting sqref="F70:F71">
    <cfRule type="expression" dxfId="78" priority="98">
      <formula>MOD(ROW(),2)=0</formula>
    </cfRule>
  </conditionalFormatting>
  <conditionalFormatting sqref="F69">
    <cfRule type="expression" dxfId="77" priority="97">
      <formula>MOD(ROW(),2)=0</formula>
    </cfRule>
  </conditionalFormatting>
  <conditionalFormatting sqref="D69:E69 C70:E71">
    <cfRule type="expression" dxfId="76" priority="96">
      <formula>MOD(ROW(),2)=0</formula>
    </cfRule>
  </conditionalFormatting>
  <conditionalFormatting sqref="D12">
    <cfRule type="expression" dxfId="75" priority="95">
      <formula>MOD(ROW(),2)=0</formula>
    </cfRule>
  </conditionalFormatting>
  <conditionalFormatting sqref="D6">
    <cfRule type="expression" dxfId="74" priority="94">
      <formula>MOD(ROW(),2)=0</formula>
    </cfRule>
  </conditionalFormatting>
  <conditionalFormatting sqref="D20">
    <cfRule type="expression" dxfId="73" priority="93">
      <formula>MOD(ROW(),2)=0</formula>
    </cfRule>
  </conditionalFormatting>
  <conditionalFormatting sqref="D34">
    <cfRule type="expression" dxfId="72" priority="92">
      <formula>MOD(ROW(),2)=0</formula>
    </cfRule>
  </conditionalFormatting>
  <conditionalFormatting sqref="D76:D77">
    <cfRule type="expression" dxfId="71" priority="80">
      <formula>MOD(ROW(),2)=0</formula>
    </cfRule>
  </conditionalFormatting>
  <conditionalFormatting sqref="D51">
    <cfRule type="expression" dxfId="70" priority="90">
      <formula>MOD(ROW(),2)=0</formula>
    </cfRule>
  </conditionalFormatting>
  <conditionalFormatting sqref="D57 D59">
    <cfRule type="expression" dxfId="69" priority="89">
      <formula>MOD(ROW(),2)=0</formula>
    </cfRule>
  </conditionalFormatting>
  <conditionalFormatting sqref="D56">
    <cfRule type="expression" dxfId="68" priority="88">
      <formula>MOD(ROW(),2)=0</formula>
    </cfRule>
  </conditionalFormatting>
  <conditionalFormatting sqref="D60">
    <cfRule type="expression" dxfId="67" priority="87">
      <formula>MOD(ROW(),2)=0</formula>
    </cfRule>
  </conditionalFormatting>
  <conditionalFormatting sqref="D61">
    <cfRule type="expression" dxfId="66" priority="86">
      <formula>MOD(ROW(),2)=0</formula>
    </cfRule>
  </conditionalFormatting>
  <conditionalFormatting sqref="D62">
    <cfRule type="expression" dxfId="65" priority="85">
      <formula>MOD(ROW(),2)=0</formula>
    </cfRule>
  </conditionalFormatting>
  <conditionalFormatting sqref="D64">
    <cfRule type="expression" dxfId="64" priority="84">
      <formula>MOD(ROW(),2)=0</formula>
    </cfRule>
  </conditionalFormatting>
  <conditionalFormatting sqref="D78">
    <cfRule type="expression" dxfId="63" priority="83">
      <formula>MOD(ROW(),2)=0</formula>
    </cfRule>
  </conditionalFormatting>
  <conditionalFormatting sqref="D75">
    <cfRule type="expression" dxfId="62" priority="81">
      <formula>MOD(ROW(),2)=0</formula>
    </cfRule>
  </conditionalFormatting>
  <conditionalFormatting sqref="A35:F35">
    <cfRule type="expression" dxfId="61" priority="79">
      <formula>MOD(ROW(),2)=0</formula>
    </cfRule>
  </conditionalFormatting>
  <conditionalFormatting sqref="O35">
    <cfRule type="expression" dxfId="60" priority="78">
      <formula>MOD(ROW(),2)=0</formula>
    </cfRule>
  </conditionalFormatting>
  <conditionalFormatting sqref="W35">
    <cfRule type="expression" dxfId="59" priority="77">
      <formula>MOD(ROW(),2)=0</formula>
    </cfRule>
  </conditionalFormatting>
  <conditionalFormatting sqref="V35">
    <cfRule type="expression" dxfId="58" priority="76">
      <formula>MOD(ROW(),2)=0</formula>
    </cfRule>
  </conditionalFormatting>
  <conditionalFormatting sqref="U35">
    <cfRule type="expression" dxfId="57" priority="70">
      <formula>MOD(ROW(),2)=0</formula>
    </cfRule>
  </conditionalFormatting>
  <conditionalFormatting sqref="O35">
    <cfRule type="expression" dxfId="56" priority="75">
      <formula>MOD(ROW(),2)=0</formula>
    </cfRule>
  </conditionalFormatting>
  <conditionalFormatting sqref="O35">
    <cfRule type="expression" dxfId="55" priority="74">
      <formula>MOD(ROW(),2)=0</formula>
    </cfRule>
  </conditionalFormatting>
  <conditionalFormatting sqref="U35">
    <cfRule type="expression" dxfId="54" priority="71">
      <formula>MOD(ROW(),2)=0</formula>
    </cfRule>
  </conditionalFormatting>
  <conditionalFormatting sqref="R35">
    <cfRule type="expression" dxfId="53" priority="73">
      <formula>MOD(ROW(),2)=0</formula>
    </cfRule>
  </conditionalFormatting>
  <conditionalFormatting sqref="R35">
    <cfRule type="expression" dxfId="52" priority="72">
      <formula>MOD(ROW(),2)=0</formula>
    </cfRule>
  </conditionalFormatting>
  <conditionalFormatting sqref="Q4:Q81">
    <cfRule type="expression" dxfId="51" priority="67">
      <formula>MOD(ROW(),2)=0</formula>
    </cfRule>
  </conditionalFormatting>
  <conditionalFormatting sqref="P4:Q81">
    <cfRule type="expression" dxfId="50" priority="66">
      <formula>MOD(ROW(),2)=0</formula>
    </cfRule>
  </conditionalFormatting>
  <conditionalFormatting sqref="R85:T87">
    <cfRule type="expression" dxfId="49" priority="65">
      <formula>MOD(ROW(),2)=0</formula>
    </cfRule>
  </conditionalFormatting>
  <conditionalFormatting sqref="Q85:Q87">
    <cfRule type="expression" dxfId="48" priority="64">
      <formula>MOD(ROW(),2)=0</formula>
    </cfRule>
  </conditionalFormatting>
  <conditionalFormatting sqref="P85:Q87">
    <cfRule type="expression" dxfId="47" priority="63">
      <formula>MOD(ROW(),2)=0</formula>
    </cfRule>
  </conditionalFormatting>
  <conditionalFormatting sqref="A81:F81">
    <cfRule type="expression" dxfId="46" priority="62">
      <formula>MOD(ROW(),2)=0</formula>
    </cfRule>
  </conditionalFormatting>
  <conditionalFormatting sqref="A80:F80">
    <cfRule type="expression" dxfId="45" priority="61">
      <formula>MOD(ROW(),2)=0</formula>
    </cfRule>
  </conditionalFormatting>
  <conditionalFormatting sqref="O80:O81 R80:R81 U80:W81">
    <cfRule type="expression" dxfId="44" priority="60">
      <formula>MOD(ROW(),2)=0</formula>
    </cfRule>
  </conditionalFormatting>
  <conditionalFormatting sqref="A40:F40">
    <cfRule type="expression" dxfId="43" priority="56">
      <formula>MOD(ROW(),2)=0</formula>
    </cfRule>
  </conditionalFormatting>
  <conditionalFormatting sqref="P88:Q88">
    <cfRule type="expression" dxfId="42" priority="32">
      <formula>MOD(ROW(),2)=0</formula>
    </cfRule>
  </conditionalFormatting>
  <conditionalFormatting sqref="A67:F67">
    <cfRule type="expression" dxfId="41" priority="54">
      <formula>MOD(ROW(),2)=0</formula>
    </cfRule>
  </conditionalFormatting>
  <conditionalFormatting sqref="W67 O67 R67 U67">
    <cfRule type="expression" dxfId="40" priority="53">
      <formula>MOD(ROW(),2)=0</formula>
    </cfRule>
  </conditionalFormatting>
  <conditionalFormatting sqref="V67">
    <cfRule type="expression" dxfId="39" priority="52">
      <formula>MOD(ROW(),2)=0</formula>
    </cfRule>
  </conditionalFormatting>
  <conditionalFormatting sqref="O40 R40 U40:W40">
    <cfRule type="expression" dxfId="38" priority="49">
      <formula>MOD(ROW(),2)=0</formula>
    </cfRule>
  </conditionalFormatting>
  <conditionalFormatting sqref="Q88">
    <cfRule type="expression" dxfId="37" priority="33">
      <formula>MOD(ROW(),2)=0</formula>
    </cfRule>
  </conditionalFormatting>
  <conditionalFormatting sqref="F88">
    <cfRule type="expression" dxfId="36" priority="44">
      <formula>MOD(ROW(),2)=0</formula>
    </cfRule>
  </conditionalFormatting>
  <conditionalFormatting sqref="A88:E88">
    <cfRule type="expression" dxfId="35" priority="43">
      <formula>MOD(ROW(),2)=0</formula>
    </cfRule>
  </conditionalFormatting>
  <conditionalFormatting sqref="M88:O88 U88">
    <cfRule type="expression" dxfId="34" priority="42">
      <formula>MOD(ROW(),2)=0</formula>
    </cfRule>
  </conditionalFormatting>
  <conditionalFormatting sqref="V88:W88">
    <cfRule type="expression" dxfId="33" priority="41">
      <formula>MOD(ROW(),2)=0</formula>
    </cfRule>
  </conditionalFormatting>
  <conditionalFormatting sqref="G88">
    <cfRule type="expression" dxfId="32" priority="40">
      <formula>MOD(ROW(),2)=0</formula>
    </cfRule>
  </conditionalFormatting>
  <conditionalFormatting sqref="H88">
    <cfRule type="expression" dxfId="31" priority="39">
      <formula>MOD(ROW(),2)=0</formula>
    </cfRule>
  </conditionalFormatting>
  <conditionalFormatting sqref="Y88:Z88">
    <cfRule type="expression" dxfId="30" priority="38">
      <formula>MOD(ROW(),2)=0</formula>
    </cfRule>
  </conditionalFormatting>
  <conditionalFormatting sqref="J88">
    <cfRule type="expression" dxfId="29" priority="37">
      <formula>MOD(ROW(),2)=0</formula>
    </cfRule>
  </conditionalFormatting>
  <conditionalFormatting sqref="I88:J88">
    <cfRule type="expression" dxfId="28" priority="36">
      <formula>MOD(ROW(),2)=0</formula>
    </cfRule>
  </conditionalFormatting>
  <conditionalFormatting sqref="K88:L88">
    <cfRule type="expression" dxfId="27" priority="35">
      <formula>MOD(ROW(),2)=0</formula>
    </cfRule>
  </conditionalFormatting>
  <conditionalFormatting sqref="R88:T88">
    <cfRule type="expression" dxfId="26" priority="34">
      <formula>MOD(ROW(),2)=0</formula>
    </cfRule>
  </conditionalFormatting>
  <conditionalFormatting sqref="F73:F74">
    <cfRule type="expression" dxfId="25" priority="31">
      <formula>MOD(ROW(),2)=0</formula>
    </cfRule>
  </conditionalFormatting>
  <conditionalFormatting sqref="A73:E73 A74">
    <cfRule type="expression" dxfId="24" priority="30">
      <formula>MOD(ROW(),2)=0</formula>
    </cfRule>
  </conditionalFormatting>
  <conditionalFormatting sqref="B74:E74">
    <cfRule type="expression" dxfId="23" priority="29">
      <formula>MOD(ROW(),2)=0</formula>
    </cfRule>
  </conditionalFormatting>
  <conditionalFormatting sqref="B9:E9">
    <cfRule type="expression" dxfId="22" priority="28">
      <formula>MOD(ROW(),2)=0</formula>
    </cfRule>
  </conditionalFormatting>
  <conditionalFormatting sqref="A14:B14 D14:E14">
    <cfRule type="expression" dxfId="21" priority="27">
      <formula>MOD(ROW(),2)=0</formula>
    </cfRule>
  </conditionalFormatting>
  <conditionalFormatting sqref="C14">
    <cfRule type="expression" dxfId="20" priority="26">
      <formula>MOD(ROW(),2)=0</formula>
    </cfRule>
  </conditionalFormatting>
  <conditionalFormatting sqref="O14">
    <cfRule type="expression" dxfId="19" priority="25">
      <formula>MOD(ROW(),2)=0</formula>
    </cfRule>
  </conditionalFormatting>
  <conditionalFormatting sqref="V14:W14">
    <cfRule type="expression" dxfId="18" priority="24">
      <formula>MOD(ROW(),2)=0</formula>
    </cfRule>
  </conditionalFormatting>
  <conditionalFormatting sqref="R14">
    <cfRule type="expression" dxfId="17" priority="21">
      <formula>MOD(ROW(),2)=0</formula>
    </cfRule>
  </conditionalFormatting>
  <conditionalFormatting sqref="R14">
    <cfRule type="expression" dxfId="16" priority="20">
      <formula>MOD(ROW(),2)=0</formula>
    </cfRule>
  </conditionalFormatting>
  <conditionalFormatting sqref="U14">
    <cfRule type="expression" dxfId="15" priority="18">
      <formula>MOD(ROW(),2)=0</formula>
    </cfRule>
  </conditionalFormatting>
  <conditionalFormatting sqref="O14">
    <cfRule type="expression" dxfId="14" priority="23">
      <formula>MOD(ROW(),2)=0</formula>
    </cfRule>
  </conditionalFormatting>
  <conditionalFormatting sqref="O14">
    <cfRule type="expression" dxfId="13" priority="22">
      <formula>MOD(ROW(),2)=0</formula>
    </cfRule>
  </conditionalFormatting>
  <conditionalFormatting sqref="U14">
    <cfRule type="expression" dxfId="12" priority="19">
      <formula>MOD(ROW(),2)=0</formula>
    </cfRule>
  </conditionalFormatting>
  <conditionalFormatting sqref="A58:C58 E58:F58">
    <cfRule type="expression" dxfId="11" priority="15">
      <formula>MOD(ROW(),2)=0</formula>
    </cfRule>
  </conditionalFormatting>
  <conditionalFormatting sqref="D58">
    <cfRule type="expression" dxfId="10" priority="13">
      <formula>MOD(ROW(),2)=0</formula>
    </cfRule>
  </conditionalFormatting>
  <conditionalFormatting sqref="W58 R58 O58 U58">
    <cfRule type="expression" dxfId="9" priority="12">
      <formula>MOD(ROW(),2)=0</formula>
    </cfRule>
  </conditionalFormatting>
  <conditionalFormatting sqref="V58">
    <cfRule type="expression" dxfId="8" priority="11">
      <formula>MOD(ROW(),2)=0</formula>
    </cfRule>
  </conditionalFormatting>
  <conditionalFormatting sqref="A39:F39">
    <cfRule type="expression" dxfId="7" priority="6">
      <formula>MOD(ROW(),2)=0</formula>
    </cfRule>
  </conditionalFormatting>
  <conditionalFormatting sqref="A48:F48">
    <cfRule type="expression" dxfId="6" priority="5">
      <formula>MOD(ROW(),2)=0</formula>
    </cfRule>
  </conditionalFormatting>
  <conditionalFormatting sqref="A63:F63">
    <cfRule type="expression" dxfId="5" priority="4">
      <formula>MOD(ROW(),2)=0</formula>
    </cfRule>
  </conditionalFormatting>
  <conditionalFormatting sqref="A66:F66">
    <cfRule type="expression" dxfId="4" priority="3">
      <formula>MOD(ROW(),2)=0</formula>
    </cfRule>
  </conditionalFormatting>
  <conditionalFormatting sqref="D10:F11">
    <cfRule type="expression" dxfId="3" priority="2">
      <formula>MOD(ROW(),2)=0</formula>
    </cfRule>
  </conditionalFormatting>
  <conditionalFormatting sqref="A10:C11">
    <cfRule type="expression" dxfId="2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2026-10-26T10:32:43Z</dcterms:modified>
</cp:coreProperties>
</file>