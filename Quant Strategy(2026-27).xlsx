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U60" i="43" l="1"/>
  <c r="U56" i="43"/>
  <c r="T60" i="43"/>
  <c r="T56" i="43"/>
  <c r="S60" i="43"/>
  <c r="S56" i="43"/>
  <c r="R60" i="43"/>
  <c r="R56" i="43"/>
  <c r="Q60" i="43"/>
  <c r="Q56" i="43"/>
  <c r="P60" i="43" l="1"/>
  <c r="P56" i="43"/>
  <c r="O60" i="43" l="1"/>
  <c r="O56" i="43"/>
  <c r="N60" i="43" l="1"/>
  <c r="N56" i="43"/>
  <c r="M60" i="43"/>
  <c r="M56" i="43"/>
  <c r="L60" i="43"/>
  <c r="L56" i="43"/>
  <c r="K60" i="43" l="1"/>
  <c r="K56" i="43"/>
  <c r="G71" i="41" l="1"/>
  <c r="I70" i="41"/>
  <c r="J70" i="41"/>
  <c r="J69" i="41"/>
  <c r="I69" i="41"/>
  <c r="I71" i="41" s="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W40" i="43"/>
  <c r="X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V60" i="43"/>
  <c r="H60" i="43"/>
  <c r="W59" i="43"/>
  <c r="W58" i="43"/>
  <c r="V56" i="43"/>
  <c r="H56" i="43"/>
  <c r="W55" i="43"/>
  <c r="W54" i="43"/>
  <c r="W53" i="43"/>
  <c r="W52" i="43"/>
  <c r="W51" i="43"/>
  <c r="W50" i="43"/>
  <c r="W49" i="43"/>
  <c r="X49" i="43" s="1"/>
  <c r="W48" i="43"/>
  <c r="W47" i="43"/>
  <c r="W46" i="43"/>
  <c r="W45" i="43"/>
  <c r="W44" i="43"/>
  <c r="W43" i="43"/>
  <c r="W42" i="43"/>
  <c r="W41" i="43"/>
  <c r="W39" i="43"/>
  <c r="W38" i="43"/>
  <c r="W37" i="43"/>
  <c r="W36" i="43"/>
  <c r="AA35" i="43"/>
  <c r="AA37" i="43" s="1"/>
  <c r="W35" i="43"/>
  <c r="W34" i="43"/>
  <c r="W33" i="43"/>
  <c r="W32" i="43"/>
  <c r="W31" i="43"/>
  <c r="W30" i="43"/>
  <c r="W29" i="43"/>
  <c r="W28" i="43"/>
  <c r="W27" i="43"/>
  <c r="W26" i="43"/>
  <c r="W25" i="43"/>
  <c r="W24" i="43"/>
  <c r="W23" i="43"/>
  <c r="X23" i="43" s="1"/>
  <c r="W22" i="43"/>
  <c r="W21" i="43"/>
  <c r="W20" i="43"/>
  <c r="W19" i="43"/>
  <c r="W18" i="43"/>
  <c r="AI17" i="43"/>
  <c r="AG17" i="43"/>
  <c r="AG18" i="43" s="1"/>
  <c r="W17" i="43"/>
  <c r="W16" i="43"/>
  <c r="W15" i="43"/>
  <c r="W14" i="43"/>
  <c r="W13" i="43"/>
  <c r="W12" i="43"/>
  <c r="W11" i="43"/>
  <c r="AA10" i="43"/>
  <c r="AA15" i="43" s="1"/>
  <c r="AF15" i="43" s="1"/>
  <c r="W10" i="43"/>
  <c r="W9" i="43"/>
  <c r="W8" i="43"/>
  <c r="W7" i="43"/>
  <c r="W6" i="43"/>
  <c r="W5" i="43"/>
  <c r="W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X7" i="43" l="1"/>
  <c r="L7" i="41" s="1"/>
  <c r="K7" i="41"/>
  <c r="X55" i="43"/>
  <c r="L64" i="41" s="1"/>
  <c r="K64" i="41"/>
  <c r="X59" i="43"/>
  <c r="L70" i="41" s="1"/>
  <c r="K70" i="41"/>
  <c r="X58" i="43"/>
  <c r="L69" i="41" s="1"/>
  <c r="K69" i="41"/>
  <c r="X54" i="43"/>
  <c r="L63" i="41" s="1"/>
  <c r="K63" i="41"/>
  <c r="X50" i="43"/>
  <c r="L58" i="41" s="1"/>
  <c r="K58" i="41"/>
  <c r="X53" i="43"/>
  <c r="L61" i="41" s="1"/>
  <c r="K61" i="41"/>
  <c r="X52" i="43"/>
  <c r="L60" i="41" s="1"/>
  <c r="K60" i="41"/>
  <c r="X51" i="43"/>
  <c r="L59" i="41" s="1"/>
  <c r="K59" i="41"/>
  <c r="X8" i="43"/>
  <c r="L8" i="41" s="1"/>
  <c r="K8" i="41"/>
  <c r="X13" i="43"/>
  <c r="L13" i="41" s="1"/>
  <c r="K13" i="41"/>
  <c r="X16" i="43"/>
  <c r="L16" i="41" s="1"/>
  <c r="K16" i="41"/>
  <c r="X25" i="43"/>
  <c r="L26" i="41" s="1"/>
  <c r="K26" i="41"/>
  <c r="X36" i="43"/>
  <c r="L42" i="41" s="1"/>
  <c r="K42" i="41"/>
  <c r="X43" i="43"/>
  <c r="L50" i="41" s="1"/>
  <c r="K50" i="41"/>
  <c r="X48" i="43"/>
  <c r="L56" i="41" s="1"/>
  <c r="K56" i="41"/>
  <c r="X45" i="43"/>
  <c r="L54" i="41" s="1"/>
  <c r="K54" i="41"/>
  <c r="X46" i="43"/>
  <c r="L55" i="41" s="1"/>
  <c r="K55" i="41"/>
  <c r="X21" i="43"/>
  <c r="L21" i="41" s="1"/>
  <c r="K21" i="41"/>
  <c r="X44" i="43"/>
  <c r="L51" i="41" s="1"/>
  <c r="K51" i="41"/>
  <c r="X38" i="43"/>
  <c r="L44" i="41" s="1"/>
  <c r="K44" i="41"/>
  <c r="X35" i="43"/>
  <c r="L41" i="41" s="1"/>
  <c r="K41" i="41"/>
  <c r="X26" i="43"/>
  <c r="L27" i="41" s="1"/>
  <c r="K27" i="41"/>
  <c r="X24" i="43"/>
  <c r="L25" i="41" s="1"/>
  <c r="K25" i="41"/>
  <c r="X19" i="43"/>
  <c r="L23" i="41" s="1"/>
  <c r="K23" i="41"/>
  <c r="X5" i="43"/>
  <c r="L5" i="41" s="1"/>
  <c r="K5" i="41"/>
  <c r="X22" i="43"/>
  <c r="L22" i="41" s="1"/>
  <c r="K22" i="41"/>
  <c r="X30" i="43"/>
  <c r="L36" i="41" s="1"/>
  <c r="K36" i="41"/>
  <c r="X47" i="43"/>
  <c r="L52" i="41" s="1"/>
  <c r="K52" i="41"/>
  <c r="X42" i="43"/>
  <c r="L49" i="41" s="1"/>
  <c r="K49" i="41"/>
  <c r="X32" i="43"/>
  <c r="L38" i="41" s="1"/>
  <c r="K38" i="41"/>
  <c r="X41" i="43"/>
  <c r="L48" i="41" s="1"/>
  <c r="K48" i="41"/>
  <c r="X28" i="43"/>
  <c r="L29" i="41" s="1"/>
  <c r="K29" i="41"/>
  <c r="X12" i="43"/>
  <c r="L12" i="41" s="1"/>
  <c r="K12" i="41"/>
  <c r="X11" i="43"/>
  <c r="L11" i="41" s="1"/>
  <c r="K11" i="41"/>
  <c r="X6" i="43"/>
  <c r="L6" i="41" s="1"/>
  <c r="K6" i="41"/>
  <c r="X39" i="43"/>
  <c r="L47" i="41" s="1"/>
  <c r="K47" i="41"/>
  <c r="X37" i="43"/>
  <c r="L43" i="41" s="1"/>
  <c r="N43" i="41" s="1"/>
  <c r="Q54" i="32" s="1"/>
  <c r="K43" i="41"/>
  <c r="M43" i="41" s="1"/>
  <c r="P54" i="32" s="1"/>
  <c r="X34" i="43"/>
  <c r="L40" i="41" s="1"/>
  <c r="K40" i="41"/>
  <c r="X33" i="43"/>
  <c r="L39" i="41" s="1"/>
  <c r="K39" i="41"/>
  <c r="X31" i="43"/>
  <c r="L37" i="41" s="1"/>
  <c r="K37" i="41"/>
  <c r="X29" i="43"/>
  <c r="L35" i="41" s="1"/>
  <c r="K35" i="41"/>
  <c r="X27" i="43"/>
  <c r="L28" i="41" s="1"/>
  <c r="K28" i="41"/>
  <c r="X20" i="43"/>
  <c r="L20" i="41" s="1"/>
  <c r="K20" i="41"/>
  <c r="X18" i="43"/>
  <c r="L19" i="41" s="1"/>
  <c r="K19" i="41"/>
  <c r="X17" i="43"/>
  <c r="L18" i="41" s="1"/>
  <c r="K18" i="41"/>
  <c r="X15" i="43"/>
  <c r="L17" i="41" s="1"/>
  <c r="K17" i="41"/>
  <c r="X14" i="43"/>
  <c r="L14" i="41" s="1"/>
  <c r="K14" i="41"/>
  <c r="X10" i="43"/>
  <c r="L10" i="41" s="1"/>
  <c r="K10" i="41"/>
  <c r="X9" i="43"/>
  <c r="L9" i="41" s="1"/>
  <c r="K9" i="41"/>
  <c r="X4" i="43"/>
  <c r="L4" i="41" s="1"/>
  <c r="K4" i="41"/>
  <c r="N12" i="32"/>
  <c r="W60" i="43"/>
  <c r="W56" i="43"/>
  <c r="X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<sst xmlns="http://schemas.openxmlformats.org/spreadsheetml/2006/main" count="2661" uniqueCount="324">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</sst>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8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6"/>
  <sheetViews>
    <sheetView tabSelected="1" workbookViewId="0">
      <selection activeCell="U8" sqref="U8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7" width="13.42578125" style="133" hidden="1" customWidth="1" outlineLevel="1"/>
    <col min="18" max="18" width="13.42578125" style="133" customWidth="1" collapsed="1"/>
    <col min="19" max="21" width="13.42578125" style="133" customWidth="1"/>
    <col min="22" max="22" width="11.28515625" style="133" customWidth="1"/>
    <col min="23" max="23" width="10.42578125" style="133" hidden="1" customWidth="1" outlineLevel="1"/>
    <col min="24" max="24" width="10.7109375" style="133" hidden="1" customWidth="1" outlineLevel="1"/>
    <col min="25" max="25" width="9.140625" style="133" collapsed="1"/>
    <col min="26" max="30" width="9.140625" style="133"/>
    <col min="31" max="31" width="14.140625" style="133" customWidth="1"/>
    <col min="32" max="32" width="12" style="133" customWidth="1"/>
    <col min="33" max="33" width="15.85546875" style="133" customWidth="1"/>
    <col min="34" max="16384" width="9.140625" style="133"/>
  </cols>
  <sheetData>
    <row r="1" spans="1:32" ht="15.75" thickBot="1" x14ac:dyDescent="0.3"/>
    <row r="2" spans="1:32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256">
        <v>46274</v>
      </c>
      <c r="O2" s="256">
        <v>46275</v>
      </c>
      <c r="P2" s="256">
        <v>46276</v>
      </c>
      <c r="Q2" s="256">
        <v>46280</v>
      </c>
      <c r="R2" s="256">
        <v>46281</v>
      </c>
      <c r="S2" s="256">
        <v>46282</v>
      </c>
      <c r="T2" s="256">
        <v>46283</v>
      </c>
      <c r="U2" s="256">
        <v>46286</v>
      </c>
      <c r="V2" s="183"/>
      <c r="W2" s="184" t="s">
        <v>281</v>
      </c>
      <c r="X2" s="185" t="s">
        <v>280</v>
      </c>
    </row>
    <row r="3" spans="1:32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79" t="s">
        <v>237</v>
      </c>
      <c r="O3" s="179" t="s">
        <v>236</v>
      </c>
      <c r="P3" s="179" t="s">
        <v>322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80"/>
      <c r="W3" s="189"/>
      <c r="X3" s="180"/>
      <c r="AE3" s="133" t="s">
        <v>198</v>
      </c>
      <c r="AF3" s="133">
        <v>13780</v>
      </c>
    </row>
    <row r="4" spans="1:32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158">
        <v>-27681</v>
      </c>
      <c r="O4" s="158">
        <v>-22117</v>
      </c>
      <c r="P4" s="158">
        <v>-1063</v>
      </c>
      <c r="Q4" s="158">
        <v>9212</v>
      </c>
      <c r="R4" s="158">
        <v>-149</v>
      </c>
      <c r="S4" s="158">
        <v>-21850</v>
      </c>
      <c r="T4" s="158">
        <v>-420855</v>
      </c>
      <c r="U4" s="158">
        <v>34091</v>
      </c>
      <c r="V4" s="211"/>
      <c r="W4" s="171">
        <f t="shared" ref="W4:W30" si="0">SUM(H4:V4)</f>
        <v>-449412</v>
      </c>
      <c r="X4" s="149">
        <f t="shared" ref="X4:X30" si="1">IFERROR(W4/F4*100,0)/10000000</f>
        <v>-8.9882399999999993</v>
      </c>
      <c r="AE4" s="133" t="s">
        <v>170</v>
      </c>
      <c r="AF4" s="133">
        <v>2865</v>
      </c>
    </row>
    <row r="5" spans="1:32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47">
        <v>-11568</v>
      </c>
      <c r="O5" s="147">
        <v>80488</v>
      </c>
      <c r="P5" s="147">
        <v>-190900</v>
      </c>
      <c r="Q5" s="147">
        <v>182819</v>
      </c>
      <c r="R5" s="147">
        <v>81831</v>
      </c>
      <c r="S5" s="147">
        <v>-92500</v>
      </c>
      <c r="T5" s="147">
        <v>144762</v>
      </c>
      <c r="U5" s="147">
        <v>32233</v>
      </c>
      <c r="V5" s="174"/>
      <c r="W5" s="171">
        <f t="shared" si="0"/>
        <v>252779</v>
      </c>
      <c r="X5" s="149">
        <f t="shared" si="1"/>
        <v>0.84259666666666677</v>
      </c>
    </row>
    <row r="6" spans="1:32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47">
        <v>-18730</v>
      </c>
      <c r="O6" s="147">
        <v>0</v>
      </c>
      <c r="P6" s="147">
        <v>0</v>
      </c>
      <c r="Q6" s="147">
        <v>0</v>
      </c>
      <c r="R6" s="147">
        <v>0</v>
      </c>
      <c r="S6" s="147">
        <v>0</v>
      </c>
      <c r="T6" s="147">
        <v>0</v>
      </c>
      <c r="U6" s="147">
        <v>0</v>
      </c>
      <c r="V6" s="174"/>
      <c r="W6" s="171">
        <f t="shared" si="0"/>
        <v>-6830</v>
      </c>
      <c r="X6" s="149">
        <f t="shared" si="1"/>
        <v>-6.83E-2</v>
      </c>
    </row>
    <row r="7" spans="1:32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-63700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47">
        <v>6500</v>
      </c>
      <c r="O7" s="147">
        <v>28500</v>
      </c>
      <c r="P7" s="147">
        <v>447</v>
      </c>
      <c r="Q7" s="147">
        <v>29500</v>
      </c>
      <c r="R7" s="147">
        <v>23300</v>
      </c>
      <c r="S7" s="147">
        <v>-85900</v>
      </c>
      <c r="T7" s="147">
        <v>56700</v>
      </c>
      <c r="U7" s="147">
        <v>-13800</v>
      </c>
      <c r="V7" s="174"/>
      <c r="W7" s="171">
        <f t="shared" si="0"/>
        <v>62547</v>
      </c>
      <c r="X7" s="149">
        <f t="shared" si="1"/>
        <v>0.62546999999999997</v>
      </c>
    </row>
    <row r="8" spans="1:32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47">
        <v>-46828</v>
      </c>
      <c r="O8" s="147">
        <v>94220</v>
      </c>
      <c r="P8" s="147">
        <v>-131800</v>
      </c>
      <c r="Q8" s="147">
        <v>121400</v>
      </c>
      <c r="R8" s="147">
        <v>-30125</v>
      </c>
      <c r="S8" s="147">
        <v>-78630</v>
      </c>
      <c r="T8" s="147">
        <v>3450</v>
      </c>
      <c r="U8" s="147">
        <v>81400</v>
      </c>
      <c r="V8" s="174"/>
      <c r="W8" s="171">
        <f t="shared" si="0"/>
        <v>40454</v>
      </c>
      <c r="X8" s="149">
        <f t="shared" si="1"/>
        <v>0.13484666666666664</v>
      </c>
      <c r="Z8" s="5"/>
      <c r="AA8" s="134">
        <v>-3557</v>
      </c>
    </row>
    <row r="9" spans="1:32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47">
        <v>-34321</v>
      </c>
      <c r="O9" s="147">
        <v>4630</v>
      </c>
      <c r="P9" s="147">
        <v>17255</v>
      </c>
      <c r="Q9" s="147">
        <v>30940</v>
      </c>
      <c r="R9" s="147">
        <v>-63430</v>
      </c>
      <c r="S9" s="147">
        <v>-31200</v>
      </c>
      <c r="T9" s="147">
        <v>-20828</v>
      </c>
      <c r="U9" s="147">
        <v>32323</v>
      </c>
      <c r="V9" s="174"/>
      <c r="W9" s="171">
        <f t="shared" si="0"/>
        <v>30198</v>
      </c>
      <c r="X9" s="149">
        <f t="shared" si="1"/>
        <v>0.20132</v>
      </c>
      <c r="Z9" s="134">
        <v>106460</v>
      </c>
      <c r="AA9" s="134"/>
    </row>
    <row r="10" spans="1:32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47">
        <v>-1822</v>
      </c>
      <c r="O10" s="147">
        <v>2900</v>
      </c>
      <c r="P10" s="147">
        <v>8888</v>
      </c>
      <c r="Q10" s="147">
        <v>9100</v>
      </c>
      <c r="R10" s="147">
        <v>-31500</v>
      </c>
      <c r="S10" s="147">
        <v>-900</v>
      </c>
      <c r="T10" s="147">
        <v>-18262</v>
      </c>
      <c r="U10" s="147">
        <v>43007</v>
      </c>
      <c r="V10" s="174"/>
      <c r="W10" s="171">
        <f t="shared" si="0"/>
        <v>33182</v>
      </c>
      <c r="X10" s="149">
        <f t="shared" si="1"/>
        <v>0.55303333333333338</v>
      </c>
      <c r="Z10" s="134">
        <v>102901</v>
      </c>
      <c r="AA10" s="134">
        <f>(Z10+Z9)/10000000*13780</f>
        <v>288.499458</v>
      </c>
    </row>
    <row r="11" spans="1:32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47">
        <v>0</v>
      </c>
      <c r="O11" s="147">
        <v>-8276</v>
      </c>
      <c r="P11" s="147">
        <v>-182170</v>
      </c>
      <c r="Q11" s="147">
        <v>-335162</v>
      </c>
      <c r="R11" s="147">
        <v>0</v>
      </c>
      <c r="S11" s="147">
        <v>4326</v>
      </c>
      <c r="T11" s="147">
        <v>0</v>
      </c>
      <c r="U11" s="147">
        <v>40700</v>
      </c>
      <c r="V11" s="174"/>
      <c r="W11" s="171">
        <f t="shared" si="0"/>
        <v>-719222</v>
      </c>
      <c r="X11" s="149">
        <f t="shared" si="1"/>
        <v>-0.47948133333333331</v>
      </c>
      <c r="Z11" s="134"/>
      <c r="AA11" s="134"/>
    </row>
    <row r="12" spans="1:32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47">
        <v>0</v>
      </c>
      <c r="O12" s="147">
        <v>-400</v>
      </c>
      <c r="P12" s="147">
        <v>50</v>
      </c>
      <c r="Q12" s="147">
        <v>145167</v>
      </c>
      <c r="R12" s="147">
        <v>-100</v>
      </c>
      <c r="S12" s="147">
        <v>-35135</v>
      </c>
      <c r="T12" s="147">
        <v>0</v>
      </c>
      <c r="U12" s="147">
        <v>19322</v>
      </c>
      <c r="V12" s="174"/>
      <c r="W12" s="171">
        <f t="shared" si="0"/>
        <v>9393</v>
      </c>
      <c r="X12" s="149">
        <f t="shared" si="1"/>
        <v>1.5654999999999999E-2</v>
      </c>
      <c r="Z12" s="134"/>
      <c r="AA12" s="134"/>
    </row>
    <row r="13" spans="1:32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47">
        <v>-161</v>
      </c>
      <c r="O13" s="147">
        <v>190</v>
      </c>
      <c r="P13" s="147">
        <v>-2915</v>
      </c>
      <c r="Q13" s="147">
        <v>-2745</v>
      </c>
      <c r="R13" s="147">
        <v>2399</v>
      </c>
      <c r="S13" s="147">
        <v>0</v>
      </c>
      <c r="T13" s="147">
        <v>3861</v>
      </c>
      <c r="U13" s="147">
        <v>-1101</v>
      </c>
      <c r="V13" s="174"/>
      <c r="W13" s="171">
        <f t="shared" si="0"/>
        <v>-5037</v>
      </c>
      <c r="X13" s="149">
        <f t="shared" si="1"/>
        <v>-5.0369999999999998E-2</v>
      </c>
      <c r="Z13" s="134"/>
      <c r="AA13" s="134"/>
    </row>
    <row r="14" spans="1:32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47">
        <v>0</v>
      </c>
      <c r="O14" s="147">
        <v>9114</v>
      </c>
      <c r="P14" s="147">
        <v>0</v>
      </c>
      <c r="Q14" s="147">
        <v>-8766</v>
      </c>
      <c r="R14" s="147">
        <v>-10140</v>
      </c>
      <c r="S14" s="147">
        <v>-16054</v>
      </c>
      <c r="T14" s="147">
        <v>10240</v>
      </c>
      <c r="U14" s="147">
        <v>-6096</v>
      </c>
      <c r="V14" s="174"/>
      <c r="W14" s="171">
        <f t="shared" si="0"/>
        <v>-8148</v>
      </c>
      <c r="X14" s="149">
        <f t="shared" si="1"/>
        <v>-3.2592000000000003E-2</v>
      </c>
      <c r="Z14" s="134"/>
      <c r="AA14" s="134"/>
    </row>
    <row r="15" spans="1:32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47">
        <v>0</v>
      </c>
      <c r="O15" s="147">
        <v>8417</v>
      </c>
      <c r="P15" s="147">
        <v>0</v>
      </c>
      <c r="Q15" s="147">
        <v>-8566</v>
      </c>
      <c r="R15" s="147">
        <v>-6220</v>
      </c>
      <c r="S15" s="147">
        <v>-17616</v>
      </c>
      <c r="T15" s="147">
        <v>10247</v>
      </c>
      <c r="U15" s="147">
        <v>-3845</v>
      </c>
      <c r="V15" s="174"/>
      <c r="W15" s="171">
        <f t="shared" si="0"/>
        <v>-4234</v>
      </c>
      <c r="X15" s="149">
        <f t="shared" si="1"/>
        <v>-1.9245454545454545E-2</v>
      </c>
      <c r="Z15" s="134"/>
      <c r="AA15" s="193">
        <f>AA8-AA10</f>
        <v>-3845.4994580000002</v>
      </c>
      <c r="AD15" s="133">
        <v>116185</v>
      </c>
      <c r="AF15" s="133">
        <f>AD15+AA15</f>
        <v>112339.50054199999</v>
      </c>
    </row>
    <row r="16" spans="1:32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47">
        <v>-4941</v>
      </c>
      <c r="O16" s="147">
        <v>-4200</v>
      </c>
      <c r="P16" s="147">
        <v>7421</v>
      </c>
      <c r="Q16" s="147">
        <v>-27500</v>
      </c>
      <c r="R16" s="147">
        <v>5959</v>
      </c>
      <c r="S16" s="147">
        <v>7570</v>
      </c>
      <c r="T16" s="147">
        <v>21453</v>
      </c>
      <c r="U16" s="147">
        <v>250</v>
      </c>
      <c r="V16" s="174"/>
      <c r="W16" s="171">
        <f t="shared" si="0"/>
        <v>3365</v>
      </c>
      <c r="X16" s="149">
        <f t="shared" si="1"/>
        <v>3.3649999999999999E-2</v>
      </c>
    </row>
    <row r="17" spans="1:35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-32641</v>
      </c>
      <c r="O17" s="147">
        <v>0</v>
      </c>
      <c r="P17" s="147">
        <v>0</v>
      </c>
      <c r="Q17" s="147">
        <v>42220</v>
      </c>
      <c r="R17" s="147">
        <v>0</v>
      </c>
      <c r="S17" s="147">
        <v>-22321</v>
      </c>
      <c r="T17" s="147">
        <v>0</v>
      </c>
      <c r="U17" s="147">
        <v>0</v>
      </c>
      <c r="V17" s="174"/>
      <c r="W17" s="171">
        <f t="shared" si="0"/>
        <v>-12742</v>
      </c>
      <c r="X17" s="149">
        <f t="shared" si="1"/>
        <v>-5.0967999999999999E-2</v>
      </c>
      <c r="AF17" s="133">
        <v>4000000</v>
      </c>
      <c r="AG17" s="133">
        <f>AF17*7/100</f>
        <v>280000</v>
      </c>
      <c r="AI17" s="133">
        <f>15*12</f>
        <v>180</v>
      </c>
    </row>
    <row r="18" spans="1:35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47">
        <v>-48000</v>
      </c>
      <c r="O18" s="147">
        <v>0</v>
      </c>
      <c r="P18" s="147">
        <v>0</v>
      </c>
      <c r="Q18" s="147">
        <v>61600</v>
      </c>
      <c r="R18" s="147">
        <v>0</v>
      </c>
      <c r="S18" s="147">
        <v>-38652</v>
      </c>
      <c r="T18" s="147">
        <v>0</v>
      </c>
      <c r="U18" s="147">
        <v>0</v>
      </c>
      <c r="V18" s="174"/>
      <c r="W18" s="171">
        <f t="shared" si="0"/>
        <v>-25109</v>
      </c>
      <c r="X18" s="149">
        <f t="shared" si="1"/>
        <v>-6.2772499999999995E-2</v>
      </c>
      <c r="AG18" s="133">
        <f>AG17/12</f>
        <v>23333.333333333332</v>
      </c>
    </row>
    <row r="19" spans="1:35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47">
        <v>-62019</v>
      </c>
      <c r="O19" s="147">
        <v>13500</v>
      </c>
      <c r="P19" s="147">
        <v>-140844</v>
      </c>
      <c r="Q19" s="147">
        <v>13508</v>
      </c>
      <c r="R19" s="147">
        <v>-73400</v>
      </c>
      <c r="S19" s="147">
        <v>-81145</v>
      </c>
      <c r="T19" s="147">
        <v>42700</v>
      </c>
      <c r="U19" s="147">
        <v>-9354</v>
      </c>
      <c r="V19" s="174"/>
      <c r="W19" s="171">
        <f t="shared" si="0"/>
        <v>-248197</v>
      </c>
      <c r="X19" s="149">
        <f t="shared" si="1"/>
        <v>-1.6546466666666666</v>
      </c>
    </row>
    <row r="20" spans="1:35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47">
        <v>10000</v>
      </c>
      <c r="O20" s="147">
        <v>25655</v>
      </c>
      <c r="P20" s="147">
        <v>-28662</v>
      </c>
      <c r="Q20" s="147">
        <v>-29599</v>
      </c>
      <c r="R20" s="147">
        <v>-52025</v>
      </c>
      <c r="S20" s="147">
        <v>0</v>
      </c>
      <c r="T20" s="147">
        <v>0</v>
      </c>
      <c r="U20" s="147">
        <v>41261</v>
      </c>
      <c r="V20" s="174"/>
      <c r="W20" s="171">
        <f t="shared" si="0"/>
        <v>-33058</v>
      </c>
      <c r="X20" s="149">
        <f t="shared" si="1"/>
        <v>-0.3005272727272727</v>
      </c>
      <c r="AB20" s="133">
        <v>49000</v>
      </c>
    </row>
    <row r="21" spans="1:35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47">
        <v>0</v>
      </c>
      <c r="O21" s="147">
        <v>20992</v>
      </c>
      <c r="P21" s="147">
        <v>-23384</v>
      </c>
      <c r="Q21" s="147">
        <v>-23681</v>
      </c>
      <c r="R21" s="147">
        <v>580</v>
      </c>
      <c r="S21" s="147">
        <v>-13500</v>
      </c>
      <c r="T21" s="147">
        <v>7233</v>
      </c>
      <c r="U21" s="147">
        <v>18527</v>
      </c>
      <c r="V21" s="174"/>
      <c r="W21" s="171">
        <f t="shared" si="0"/>
        <v>-7243</v>
      </c>
      <c r="X21" s="149">
        <f t="shared" si="1"/>
        <v>-0.28971999999999998</v>
      </c>
      <c r="AB21" s="133">
        <v>30400</v>
      </c>
    </row>
    <row r="22" spans="1:3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-714</v>
      </c>
      <c r="U22" s="147">
        <v>-6082</v>
      </c>
      <c r="V22" s="174"/>
      <c r="W22" s="171">
        <f t="shared" si="0"/>
        <v>-5789</v>
      </c>
      <c r="X22" s="149">
        <f t="shared" si="1"/>
        <v>-2.8944999999999999E-2</v>
      </c>
      <c r="AB22" s="133">
        <v>2266</v>
      </c>
    </row>
    <row r="23" spans="1:35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>
        <v>0.25</v>
      </c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47">
        <v>0</v>
      </c>
      <c r="O23" s="147">
        <v>0</v>
      </c>
      <c r="P23" s="147">
        <v>0</v>
      </c>
      <c r="Q23" s="147">
        <v>0</v>
      </c>
      <c r="R23" s="147">
        <v>0</v>
      </c>
      <c r="S23" s="147">
        <v>0</v>
      </c>
      <c r="T23" s="147">
        <v>0</v>
      </c>
      <c r="U23" s="147">
        <v>144</v>
      </c>
      <c r="V23" s="174"/>
      <c r="W23" s="171">
        <f t="shared" si="0"/>
        <v>484</v>
      </c>
      <c r="X23" s="149">
        <f t="shared" si="1"/>
        <v>1.9359999999999999E-2</v>
      </c>
    </row>
    <row r="24" spans="1:35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47">
        <v>18235</v>
      </c>
      <c r="O24" s="147">
        <v>19473</v>
      </c>
      <c r="P24" s="147">
        <v>-41546</v>
      </c>
      <c r="Q24" s="147">
        <v>-5250</v>
      </c>
      <c r="R24" s="147">
        <v>-32214</v>
      </c>
      <c r="S24" s="147">
        <v>9741</v>
      </c>
      <c r="T24" s="147">
        <v>0</v>
      </c>
      <c r="U24" s="147">
        <v>13962</v>
      </c>
      <c r="V24" s="174"/>
      <c r="W24" s="171">
        <f t="shared" si="0"/>
        <v>12168</v>
      </c>
      <c r="X24" s="149">
        <f t="shared" si="1"/>
        <v>0.11061818181818181</v>
      </c>
    </row>
    <row r="25" spans="1:35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47">
        <v>-132811</v>
      </c>
      <c r="O25" s="147">
        <v>-26800</v>
      </c>
      <c r="P25" s="147">
        <v>-144000</v>
      </c>
      <c r="Q25" s="147">
        <v>-470000</v>
      </c>
      <c r="R25" s="147">
        <v>48600</v>
      </c>
      <c r="S25" s="147">
        <v>181200</v>
      </c>
      <c r="T25" s="147">
        <v>184377</v>
      </c>
      <c r="U25" s="147">
        <v>27500</v>
      </c>
      <c r="V25" s="174"/>
      <c r="W25" s="171">
        <f t="shared" si="0"/>
        <v>-1055446</v>
      </c>
      <c r="X25" s="149">
        <f t="shared" si="1"/>
        <v>-4.588895652173913</v>
      </c>
    </row>
    <row r="26" spans="1:35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47">
        <v>-4426</v>
      </c>
      <c r="O26" s="147">
        <v>2020</v>
      </c>
      <c r="P26" s="147">
        <v>1432</v>
      </c>
      <c r="Q26" s="147">
        <v>-1700</v>
      </c>
      <c r="R26" s="147">
        <v>1700</v>
      </c>
      <c r="S26" s="147">
        <v>1785</v>
      </c>
      <c r="T26" s="147">
        <v>-3200</v>
      </c>
      <c r="U26" s="147">
        <v>1623</v>
      </c>
      <c r="V26" s="174"/>
      <c r="W26" s="171">
        <f t="shared" si="0"/>
        <v>6002</v>
      </c>
      <c r="X26" s="149">
        <f t="shared" si="1"/>
        <v>0.30009999999999998</v>
      </c>
    </row>
    <row r="27" spans="1:35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47">
        <v>-95100</v>
      </c>
      <c r="O27" s="147">
        <v>0</v>
      </c>
      <c r="P27" s="147">
        <v>0</v>
      </c>
      <c r="Q27" s="147">
        <v>81666</v>
      </c>
      <c r="R27" s="147">
        <v>0</v>
      </c>
      <c r="S27" s="147">
        <v>-65000</v>
      </c>
      <c r="T27" s="147">
        <v>0</v>
      </c>
      <c r="U27" s="147">
        <v>0</v>
      </c>
      <c r="V27" s="174"/>
      <c r="W27" s="171">
        <f t="shared" si="0"/>
        <v>-30334</v>
      </c>
      <c r="X27" s="149">
        <f t="shared" si="1"/>
        <v>-6.0668E-2</v>
      </c>
    </row>
    <row r="28" spans="1:35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47">
        <v>-10651</v>
      </c>
      <c r="O28" s="147">
        <v>7930</v>
      </c>
      <c r="P28" s="147">
        <v>-431450</v>
      </c>
      <c r="Q28" s="147">
        <v>-290000</v>
      </c>
      <c r="R28" s="147">
        <v>-481200</v>
      </c>
      <c r="S28" s="147">
        <v>-443700</v>
      </c>
      <c r="T28" s="147">
        <v>0</v>
      </c>
      <c r="U28" s="147">
        <v>0</v>
      </c>
      <c r="V28" s="174"/>
      <c r="W28" s="171">
        <f t="shared" si="0"/>
        <v>-1675566</v>
      </c>
      <c r="X28" s="149">
        <f t="shared" si="1"/>
        <v>-1.6755660000000001</v>
      </c>
    </row>
    <row r="29" spans="1:35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47">
        <v>2100</v>
      </c>
      <c r="O29" s="147">
        <v>-92200</v>
      </c>
      <c r="P29" s="147">
        <v>0</v>
      </c>
      <c r="Q29" s="147">
        <v>-33106</v>
      </c>
      <c r="R29" s="147">
        <v>0</v>
      </c>
      <c r="S29" s="147">
        <v>-33000</v>
      </c>
      <c r="T29" s="147">
        <v>0</v>
      </c>
      <c r="U29" s="147">
        <v>0</v>
      </c>
      <c r="V29" s="174"/>
      <c r="W29" s="171">
        <f t="shared" si="0"/>
        <v>-374989</v>
      </c>
      <c r="X29" s="149">
        <f t="shared" si="1"/>
        <v>-0.74997800000000003</v>
      </c>
    </row>
    <row r="30" spans="1:35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47">
        <v>-138000</v>
      </c>
      <c r="O30" s="147">
        <v>102550</v>
      </c>
      <c r="P30" s="147">
        <v>37112</v>
      </c>
      <c r="Q30" s="147">
        <v>18328</v>
      </c>
      <c r="R30" s="147">
        <v>-100709</v>
      </c>
      <c r="S30" s="147">
        <v>-184894</v>
      </c>
      <c r="T30" s="147">
        <v>182425</v>
      </c>
      <c r="U30" s="147">
        <v>42524</v>
      </c>
      <c r="V30" s="174"/>
      <c r="W30" s="171">
        <f t="shared" si="0"/>
        <v>105189</v>
      </c>
      <c r="X30" s="149">
        <f t="shared" si="1"/>
        <v>0.21037800000000001</v>
      </c>
    </row>
    <row r="31" spans="1:35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47">
        <v>-46322</v>
      </c>
      <c r="O31" s="147">
        <v>-4565</v>
      </c>
      <c r="P31" s="147">
        <v>-21920</v>
      </c>
      <c r="Q31" s="147">
        <v>15560</v>
      </c>
      <c r="R31" s="147">
        <v>-55712</v>
      </c>
      <c r="S31" s="147">
        <v>-11425</v>
      </c>
      <c r="T31" s="147">
        <v>22325</v>
      </c>
      <c r="U31" s="147">
        <v>37021</v>
      </c>
      <c r="V31" s="174"/>
      <c r="W31" s="171">
        <f t="shared" ref="W31:W56" si="2">SUM(H31:V31)</f>
        <v>-138175</v>
      </c>
      <c r="X31" s="149">
        <f t="shared" ref="X31:X56" si="3">IFERROR(W31/F31*100,0)/10000000</f>
        <v>-2.7635000000000001</v>
      </c>
    </row>
    <row r="32" spans="1:35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47">
        <v>8433</v>
      </c>
      <c r="O32" s="147">
        <v>10192</v>
      </c>
      <c r="P32" s="147">
        <v>44092</v>
      </c>
      <c r="Q32" s="147">
        <v>44376</v>
      </c>
      <c r="R32" s="147">
        <v>-24900</v>
      </c>
      <c r="S32" s="147">
        <v>-6308</v>
      </c>
      <c r="T32" s="147">
        <v>14932</v>
      </c>
      <c r="U32" s="147">
        <v>-4676</v>
      </c>
      <c r="V32" s="174"/>
      <c r="W32" s="171">
        <f t="shared" si="2"/>
        <v>119237</v>
      </c>
      <c r="X32" s="149">
        <f t="shared" si="3"/>
        <v>2.980925</v>
      </c>
      <c r="AA32" s="134"/>
    </row>
    <row r="33" spans="1:27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74"/>
      <c r="W33" s="171">
        <f t="shared" si="2"/>
        <v>0</v>
      </c>
      <c r="X33" s="149">
        <f t="shared" si="3"/>
        <v>0</v>
      </c>
      <c r="Z33" s="5"/>
      <c r="AA33" s="134">
        <v>-5250</v>
      </c>
    </row>
    <row r="34" spans="1:27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47">
        <v>0</v>
      </c>
      <c r="O34" s="147">
        <v>0</v>
      </c>
      <c r="P34" s="147">
        <v>0</v>
      </c>
      <c r="Q34" s="147">
        <v>0</v>
      </c>
      <c r="R34" s="147">
        <v>0</v>
      </c>
      <c r="S34" s="147">
        <v>0</v>
      </c>
      <c r="T34" s="147">
        <v>0</v>
      </c>
      <c r="U34" s="147">
        <v>0</v>
      </c>
      <c r="V34" s="174"/>
      <c r="W34" s="171">
        <f t="shared" si="2"/>
        <v>0</v>
      </c>
      <c r="X34" s="149">
        <f t="shared" si="3"/>
        <v>0</v>
      </c>
      <c r="Z34" s="5"/>
      <c r="AA34" s="134"/>
    </row>
    <row r="35" spans="1:27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47">
        <v>-57818</v>
      </c>
      <c r="O35" s="147">
        <v>5239</v>
      </c>
      <c r="P35" s="147">
        <v>3072</v>
      </c>
      <c r="Q35" s="147">
        <v>9822</v>
      </c>
      <c r="R35" s="147">
        <v>-14983</v>
      </c>
      <c r="S35" s="147">
        <v>-31590</v>
      </c>
      <c r="T35" s="147">
        <v>6576</v>
      </c>
      <c r="U35" s="147">
        <v>-3230</v>
      </c>
      <c r="V35" s="174"/>
      <c r="W35" s="171">
        <f t="shared" si="2"/>
        <v>-159807</v>
      </c>
      <c r="X35" s="149">
        <f t="shared" si="3"/>
        <v>-0.39951750000000003</v>
      </c>
      <c r="Z35" s="134">
        <v>39183</v>
      </c>
      <c r="AA35" s="134">
        <f>(Z36+Z35)/10000000*13780</f>
        <v>181.88910999999999</v>
      </c>
    </row>
    <row r="36" spans="1:27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47">
        <v>-29330</v>
      </c>
      <c r="O36" s="147">
        <v>-5138</v>
      </c>
      <c r="P36" s="147">
        <v>-32612</v>
      </c>
      <c r="Q36" s="147">
        <v>-120800</v>
      </c>
      <c r="R36" s="147">
        <v>17600</v>
      </c>
      <c r="S36" s="147">
        <v>30200</v>
      </c>
      <c r="T36" s="147">
        <v>80456</v>
      </c>
      <c r="U36" s="147">
        <v>-1381</v>
      </c>
      <c r="V36" s="174"/>
      <c r="W36" s="171">
        <f t="shared" si="2"/>
        <v>-82004</v>
      </c>
      <c r="X36" s="149">
        <f t="shared" si="3"/>
        <v>-0.82003999999999999</v>
      </c>
      <c r="Z36" s="134">
        <v>92812</v>
      </c>
      <c r="AA36" s="134"/>
    </row>
    <row r="37" spans="1:27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47">
        <v>0</v>
      </c>
      <c r="R37" s="147">
        <v>0</v>
      </c>
      <c r="S37" s="147">
        <v>0</v>
      </c>
      <c r="T37" s="147">
        <v>0</v>
      </c>
      <c r="U37" s="147">
        <v>0</v>
      </c>
      <c r="V37" s="174"/>
      <c r="W37" s="171">
        <f t="shared" si="2"/>
        <v>0</v>
      </c>
      <c r="X37" s="149">
        <f t="shared" si="3"/>
        <v>0</v>
      </c>
      <c r="Z37" s="134"/>
      <c r="AA37" s="134">
        <f>+AA33-AA35</f>
        <v>-5431.8891100000001</v>
      </c>
    </row>
    <row r="38" spans="1:27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47">
        <v>-6200</v>
      </c>
      <c r="O38" s="147">
        <v>-9128</v>
      </c>
      <c r="P38" s="147">
        <v>3788</v>
      </c>
      <c r="Q38" s="147">
        <v>8133</v>
      </c>
      <c r="R38" s="147">
        <v>-5240</v>
      </c>
      <c r="S38" s="147">
        <v>52612</v>
      </c>
      <c r="T38" s="147">
        <v>-8156</v>
      </c>
      <c r="U38" s="147">
        <v>19040</v>
      </c>
      <c r="V38" s="174"/>
      <c r="W38" s="171">
        <f t="shared" si="2"/>
        <v>50301</v>
      </c>
      <c r="X38" s="149">
        <f t="shared" si="3"/>
        <v>1.0060199999999999</v>
      </c>
      <c r="Z38" s="134"/>
      <c r="AA38" s="134"/>
    </row>
    <row r="39" spans="1:27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47">
        <v>0</v>
      </c>
      <c r="R39" s="147">
        <v>0</v>
      </c>
      <c r="S39" s="147">
        <v>0</v>
      </c>
      <c r="T39" s="147">
        <v>0</v>
      </c>
      <c r="U39" s="147">
        <v>0</v>
      </c>
      <c r="V39" s="174"/>
      <c r="W39" s="171">
        <f t="shared" si="2"/>
        <v>0</v>
      </c>
      <c r="X39" s="149">
        <f t="shared" si="3"/>
        <v>0</v>
      </c>
      <c r="Z39" s="134"/>
      <c r="AA39" s="134"/>
    </row>
    <row r="40" spans="1:27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47">
        <v>31677</v>
      </c>
      <c r="O40" s="147">
        <v>0</v>
      </c>
      <c r="P40" s="147">
        <v>13700</v>
      </c>
      <c r="Q40" s="147">
        <v>58211</v>
      </c>
      <c r="R40" s="147">
        <v>-83825</v>
      </c>
      <c r="S40" s="147">
        <v>-44514</v>
      </c>
      <c r="T40" s="147">
        <v>79156</v>
      </c>
      <c r="U40" s="147">
        <v>34906</v>
      </c>
      <c r="V40" s="174"/>
      <c r="W40" s="171">
        <f t="shared" si="2"/>
        <v>41656</v>
      </c>
      <c r="X40" s="149">
        <f t="shared" si="3"/>
        <v>0.13885333333333336</v>
      </c>
      <c r="Z40" s="134"/>
      <c r="AA40" s="134"/>
    </row>
    <row r="41" spans="1:27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47">
        <v>-41487</v>
      </c>
      <c r="O41" s="147">
        <v>-20744</v>
      </c>
      <c r="P41" s="147">
        <v>25334</v>
      </c>
      <c r="Q41" s="147">
        <v>-21750</v>
      </c>
      <c r="R41" s="147">
        <v>0</v>
      </c>
      <c r="S41" s="147">
        <v>0</v>
      </c>
      <c r="T41" s="147">
        <v>0</v>
      </c>
      <c r="U41" s="147">
        <v>-5072</v>
      </c>
      <c r="V41" s="174"/>
      <c r="W41" s="171">
        <f t="shared" si="2"/>
        <v>-66601</v>
      </c>
      <c r="X41" s="149">
        <f t="shared" si="3"/>
        <v>-6.6600999999999999</v>
      </c>
      <c r="Z41" s="134"/>
    </row>
    <row r="42" spans="1:27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47">
        <v>-14900</v>
      </c>
      <c r="O42" s="147">
        <v>-1051</v>
      </c>
      <c r="P42" s="147">
        <v>8722</v>
      </c>
      <c r="Q42" s="147">
        <v>20519</v>
      </c>
      <c r="R42" s="147">
        <v>-15800</v>
      </c>
      <c r="S42" s="147">
        <v>-7355</v>
      </c>
      <c r="T42" s="147">
        <v>1034</v>
      </c>
      <c r="U42" s="147">
        <v>-14906</v>
      </c>
      <c r="V42" s="174"/>
      <c r="W42" s="171">
        <f t="shared" si="2"/>
        <v>-27605</v>
      </c>
      <c r="X42" s="149">
        <f t="shared" si="3"/>
        <v>-0.55210000000000004</v>
      </c>
    </row>
    <row r="43" spans="1:27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47">
        <v>-47330</v>
      </c>
      <c r="O43" s="147">
        <v>87600</v>
      </c>
      <c r="P43" s="147">
        <v>-165000</v>
      </c>
      <c r="Q43" s="147">
        <v>-316146</v>
      </c>
      <c r="R43" s="147">
        <v>-13600</v>
      </c>
      <c r="S43" s="147">
        <v>25400</v>
      </c>
      <c r="T43" s="147">
        <v>229212</v>
      </c>
      <c r="U43" s="147">
        <v>-12181</v>
      </c>
      <c r="V43" s="174"/>
      <c r="W43" s="171">
        <f t="shared" si="2"/>
        <v>-220922</v>
      </c>
      <c r="X43" s="149">
        <f t="shared" si="3"/>
        <v>-2.2092200000000002</v>
      </c>
    </row>
    <row r="44" spans="1:27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47">
        <v>-6453</v>
      </c>
      <c r="O44" s="147">
        <v>-500</v>
      </c>
      <c r="P44" s="147">
        <v>-1652</v>
      </c>
      <c r="Q44" s="147">
        <v>11400</v>
      </c>
      <c r="R44" s="147">
        <v>-4699</v>
      </c>
      <c r="S44" s="147">
        <v>534</v>
      </c>
      <c r="T44" s="147">
        <v>2268</v>
      </c>
      <c r="U44" s="147">
        <v>0</v>
      </c>
      <c r="V44" s="174"/>
      <c r="W44" s="171">
        <f t="shared" si="2"/>
        <v>10049</v>
      </c>
      <c r="X44" s="149">
        <f t="shared" si="3"/>
        <v>1.0048999999999999</v>
      </c>
    </row>
    <row r="45" spans="1:27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47">
        <v>0</v>
      </c>
      <c r="O45" s="147">
        <v>0</v>
      </c>
      <c r="P45" s="147">
        <v>0</v>
      </c>
      <c r="Q45" s="147">
        <v>0</v>
      </c>
      <c r="R45" s="147">
        <v>-29500</v>
      </c>
      <c r="S45" s="147">
        <v>-42504</v>
      </c>
      <c r="T45" s="147">
        <v>0</v>
      </c>
      <c r="U45" s="147">
        <v>0</v>
      </c>
      <c r="V45" s="174"/>
      <c r="W45" s="171">
        <f t="shared" si="2"/>
        <v>-228129</v>
      </c>
      <c r="X45" s="149">
        <f t="shared" si="3"/>
        <v>-0.57032249999999995</v>
      </c>
    </row>
    <row r="46" spans="1:27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47">
        <v>0</v>
      </c>
      <c r="O46" s="147">
        <v>-6600</v>
      </c>
      <c r="P46" s="147">
        <v>0</v>
      </c>
      <c r="Q46" s="147">
        <v>-3600</v>
      </c>
      <c r="R46" s="147">
        <v>0</v>
      </c>
      <c r="S46" s="147">
        <v>0</v>
      </c>
      <c r="T46" s="147">
        <v>0</v>
      </c>
      <c r="U46" s="147">
        <v>0</v>
      </c>
      <c r="V46" s="174"/>
      <c r="W46" s="171">
        <f t="shared" si="2"/>
        <v>-76805</v>
      </c>
      <c r="X46" s="149">
        <f t="shared" si="3"/>
        <v>-0.1920125</v>
      </c>
    </row>
    <row r="47" spans="1:27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47">
        <v>-183866</v>
      </c>
      <c r="O47" s="147">
        <v>22209</v>
      </c>
      <c r="P47" s="147">
        <v>388268</v>
      </c>
      <c r="Q47" s="147">
        <v>416846</v>
      </c>
      <c r="R47" s="147">
        <v>-296157</v>
      </c>
      <c r="S47" s="147">
        <v>-211473</v>
      </c>
      <c r="T47" s="147">
        <v>70842</v>
      </c>
      <c r="U47" s="147">
        <v>26462</v>
      </c>
      <c r="V47" s="174"/>
      <c r="W47" s="171">
        <f t="shared" si="2"/>
        <v>262022</v>
      </c>
      <c r="X47" s="149">
        <f t="shared" si="3"/>
        <v>0.87340666666666678</v>
      </c>
    </row>
    <row r="48" spans="1:27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51">
        <v>83800</v>
      </c>
      <c r="O48" s="151">
        <v>-910511</v>
      </c>
      <c r="P48" s="151">
        <v>458900</v>
      </c>
      <c r="Q48" s="151">
        <v>52400</v>
      </c>
      <c r="R48" s="151">
        <v>54600</v>
      </c>
      <c r="S48" s="151">
        <v>219000</v>
      </c>
      <c r="T48" s="151">
        <v>571611</v>
      </c>
      <c r="U48" s="151">
        <v>268100</v>
      </c>
      <c r="V48" s="174"/>
      <c r="W48" s="171">
        <f t="shared" si="2"/>
        <v>405375</v>
      </c>
      <c r="X48" s="149">
        <f t="shared" si="3"/>
        <v>0.40537499999999999</v>
      </c>
    </row>
    <row r="49" spans="1:28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51">
        <v>0</v>
      </c>
      <c r="O49" s="151">
        <v>0</v>
      </c>
      <c r="P49" s="151">
        <v>0</v>
      </c>
      <c r="Q49" s="151">
        <v>0</v>
      </c>
      <c r="R49" s="151">
        <v>0</v>
      </c>
      <c r="S49" s="151">
        <v>0</v>
      </c>
      <c r="T49" s="151">
        <v>0</v>
      </c>
      <c r="U49" s="151">
        <v>0</v>
      </c>
      <c r="V49" s="174"/>
      <c r="W49" s="171">
        <f t="shared" si="2"/>
        <v>0</v>
      </c>
      <c r="X49" s="149">
        <f t="shared" si="3"/>
        <v>0</v>
      </c>
    </row>
    <row r="50" spans="1:28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51">
        <v>5200</v>
      </c>
      <c r="O50" s="151">
        <v>14401</v>
      </c>
      <c r="P50" s="151">
        <v>-27401</v>
      </c>
      <c r="Q50" s="151">
        <v>19542</v>
      </c>
      <c r="R50" s="151">
        <v>-100</v>
      </c>
      <c r="S50" s="151">
        <v>4098</v>
      </c>
      <c r="T50" s="151">
        <v>0</v>
      </c>
      <c r="U50" s="151">
        <v>-6096</v>
      </c>
      <c r="V50" s="174"/>
      <c r="W50" s="171">
        <f t="shared" si="2"/>
        <v>28572</v>
      </c>
      <c r="X50" s="149">
        <f t="shared" si="3"/>
        <v>0.57143999999999995</v>
      </c>
    </row>
    <row r="51" spans="1:28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51">
        <v>-7308</v>
      </c>
      <c r="O51" s="151">
        <v>153270</v>
      </c>
      <c r="P51" s="151">
        <v>0</v>
      </c>
      <c r="Q51" s="151">
        <v>-652202</v>
      </c>
      <c r="R51" s="151">
        <v>-500</v>
      </c>
      <c r="S51" s="151">
        <v>36340</v>
      </c>
      <c r="T51" s="151">
        <v>0</v>
      </c>
      <c r="U51" s="151">
        <v>0</v>
      </c>
      <c r="V51" s="174"/>
      <c r="W51" s="171">
        <f t="shared" si="2"/>
        <v>-581873</v>
      </c>
      <c r="X51" s="149">
        <f t="shared" si="3"/>
        <v>-0.89518923076923085</v>
      </c>
    </row>
    <row r="52" spans="1:28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51">
        <v>0</v>
      </c>
      <c r="O52" s="151">
        <v>0</v>
      </c>
      <c r="P52" s="151">
        <v>0</v>
      </c>
      <c r="Q52" s="151">
        <v>0</v>
      </c>
      <c r="R52" s="151">
        <v>0</v>
      </c>
      <c r="S52" s="151">
        <v>0</v>
      </c>
      <c r="T52" s="151">
        <v>0</v>
      </c>
      <c r="U52" s="151">
        <v>0</v>
      </c>
      <c r="V52" s="174"/>
      <c r="W52" s="171">
        <f t="shared" si="2"/>
        <v>-158276</v>
      </c>
      <c r="X52" s="149">
        <f t="shared" si="3"/>
        <v>-1.266208</v>
      </c>
    </row>
    <row r="53" spans="1:28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51">
        <v>0</v>
      </c>
      <c r="O53" s="151">
        <v>-41730</v>
      </c>
      <c r="P53" s="151">
        <v>0</v>
      </c>
      <c r="Q53" s="151">
        <v>4264</v>
      </c>
      <c r="R53" s="151">
        <v>0</v>
      </c>
      <c r="S53" s="151">
        <v>-42834</v>
      </c>
      <c r="T53" s="151">
        <v>0</v>
      </c>
      <c r="U53" s="151">
        <v>0</v>
      </c>
      <c r="V53" s="174"/>
      <c r="W53" s="171">
        <f t="shared" si="2"/>
        <v>-217350</v>
      </c>
      <c r="X53" s="149">
        <f t="shared" si="3"/>
        <v>-0.72450000000000003</v>
      </c>
    </row>
    <row r="54" spans="1:28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51">
        <v>0</v>
      </c>
      <c r="O54" s="151">
        <v>0</v>
      </c>
      <c r="P54" s="151">
        <v>0</v>
      </c>
      <c r="Q54" s="151">
        <v>0</v>
      </c>
      <c r="R54" s="151">
        <v>0</v>
      </c>
      <c r="S54" s="151">
        <v>0</v>
      </c>
      <c r="T54" s="151">
        <v>0</v>
      </c>
      <c r="U54" s="151">
        <v>0</v>
      </c>
      <c r="V54" s="174"/>
      <c r="W54" s="171">
        <f t="shared" si="2"/>
        <v>11400</v>
      </c>
      <c r="X54" s="149">
        <f t="shared" si="3"/>
        <v>7.5999999999999998E-2</v>
      </c>
    </row>
    <row r="55" spans="1:28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51">
        <v>-7772</v>
      </c>
      <c r="O55" s="151">
        <v>-89336</v>
      </c>
      <c r="P55" s="151">
        <v>9600</v>
      </c>
      <c r="Q55" s="151">
        <v>18190</v>
      </c>
      <c r="R55" s="151">
        <v>-13500</v>
      </c>
      <c r="S55" s="151">
        <v>14150</v>
      </c>
      <c r="T55" s="151">
        <v>51605</v>
      </c>
      <c r="U55" s="151">
        <v>-5500</v>
      </c>
      <c r="V55" s="174"/>
      <c r="W55" s="171">
        <f t="shared" si="2"/>
        <v>68883</v>
      </c>
      <c r="X55" s="149">
        <f t="shared" si="3"/>
        <v>0.137766</v>
      </c>
    </row>
    <row r="56" spans="1:28" ht="15.75" thickBot="1" x14ac:dyDescent="0.3">
      <c r="A56" s="24"/>
      <c r="B56" s="25"/>
      <c r="C56" s="26"/>
      <c r="D56" s="24"/>
      <c r="E56" s="24"/>
      <c r="F56" s="115"/>
      <c r="G56" s="16"/>
      <c r="H56" s="254">
        <f t="shared" ref="H56:U56" si="4">SUM(H4:H55)</f>
        <v>-2124400</v>
      </c>
      <c r="I56" s="254">
        <f t="shared" si="4"/>
        <v>-531590</v>
      </c>
      <c r="J56" s="254">
        <f t="shared" si="4"/>
        <v>141562</v>
      </c>
      <c r="K56" s="254">
        <f t="shared" si="4"/>
        <v>-88507</v>
      </c>
      <c r="L56" s="254">
        <f t="shared" si="4"/>
        <v>206563</v>
      </c>
      <c r="M56" s="254">
        <f t="shared" si="4"/>
        <v>507837</v>
      </c>
      <c r="N56" s="254">
        <f t="shared" si="4"/>
        <v>-952541</v>
      </c>
      <c r="O56" s="254">
        <f t="shared" si="4"/>
        <v>-529806</v>
      </c>
      <c r="P56" s="254">
        <f t="shared" si="4"/>
        <v>-539238</v>
      </c>
      <c r="Q56" s="254">
        <f t="shared" si="4"/>
        <v>-925850</v>
      </c>
      <c r="R56" s="254">
        <f t="shared" si="4"/>
        <v>-1203159</v>
      </c>
      <c r="S56" s="254">
        <f t="shared" si="4"/>
        <v>-1073044</v>
      </c>
      <c r="T56" s="254">
        <f t="shared" si="4"/>
        <v>1325450</v>
      </c>
      <c r="U56" s="254">
        <f t="shared" si="4"/>
        <v>721076</v>
      </c>
      <c r="V56" s="254">
        <f>SUM(V4:V55)</f>
        <v>0</v>
      </c>
      <c r="W56" s="254">
        <f t="shared" si="2"/>
        <v>-5065647</v>
      </c>
      <c r="X56" s="255">
        <f t="shared" si="3"/>
        <v>0</v>
      </c>
    </row>
    <row r="57" spans="1:28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0"/>
      <c r="W57" s="250"/>
      <c r="X57" s="252"/>
    </row>
    <row r="58" spans="1:28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162">
        <v>19032</v>
      </c>
      <c r="O58" s="162">
        <v>53520</v>
      </c>
      <c r="P58" s="162">
        <v>-49300</v>
      </c>
      <c r="Q58" s="162">
        <v>-431925</v>
      </c>
      <c r="R58" s="162">
        <v>0</v>
      </c>
      <c r="S58" s="162">
        <v>-101150</v>
      </c>
      <c r="T58" s="162">
        <v>110</v>
      </c>
      <c r="U58" s="162">
        <v>-4072</v>
      </c>
      <c r="V58" s="246"/>
      <c r="W58" s="247">
        <f>SUM(H58:V58)</f>
        <v>-820665</v>
      </c>
      <c r="X58" s="248">
        <f>IFERROR(W58/F58*100,0)/10000000</f>
        <v>-2.7355499999999999</v>
      </c>
      <c r="AA58" s="134"/>
    </row>
    <row r="59" spans="1:28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62">
        <v>0</v>
      </c>
      <c r="O59" s="162">
        <v>0</v>
      </c>
      <c r="P59" s="162">
        <v>-500</v>
      </c>
      <c r="Q59" s="162">
        <v>-47350</v>
      </c>
      <c r="R59" s="162">
        <v>0</v>
      </c>
      <c r="S59" s="162">
        <v>0</v>
      </c>
      <c r="T59" s="162">
        <v>0</v>
      </c>
      <c r="U59" s="162">
        <v>0</v>
      </c>
      <c r="V59" s="174"/>
      <c r="W59" s="171">
        <f>SUM(H59:V59)</f>
        <v>87266</v>
      </c>
      <c r="X59" s="149">
        <f>IFERROR(W59/F59*100,0)/10000000</f>
        <v>0</v>
      </c>
      <c r="Z59" s="134"/>
    </row>
    <row r="60" spans="1:28" ht="15.75" thickBot="1" x14ac:dyDescent="0.3">
      <c r="A60" s="200"/>
      <c r="B60" s="16"/>
      <c r="C60" s="16"/>
      <c r="D60" s="16"/>
      <c r="E60" s="16"/>
      <c r="F60" s="74"/>
      <c r="G60" s="17"/>
      <c r="H60" s="170">
        <f t="shared" ref="H60:U60" si="5">SUM(H58:H59)</f>
        <v>-616080</v>
      </c>
      <c r="I60" s="170">
        <f t="shared" si="5"/>
        <v>0</v>
      </c>
      <c r="J60" s="170">
        <f t="shared" si="5"/>
        <v>-17480</v>
      </c>
      <c r="K60" s="170">
        <f t="shared" si="5"/>
        <v>0</v>
      </c>
      <c r="L60" s="170">
        <f t="shared" si="5"/>
        <v>6596</v>
      </c>
      <c r="M60" s="170">
        <f t="shared" si="5"/>
        <v>455200</v>
      </c>
      <c r="N60" s="170">
        <f t="shared" si="5"/>
        <v>19032</v>
      </c>
      <c r="O60" s="170">
        <f t="shared" si="5"/>
        <v>53520</v>
      </c>
      <c r="P60" s="170">
        <f t="shared" si="5"/>
        <v>-49800</v>
      </c>
      <c r="Q60" s="170">
        <f t="shared" si="5"/>
        <v>-479275</v>
      </c>
      <c r="R60" s="170">
        <f t="shared" si="5"/>
        <v>0</v>
      </c>
      <c r="S60" s="170">
        <f t="shared" si="5"/>
        <v>-101150</v>
      </c>
      <c r="T60" s="170">
        <f t="shared" si="5"/>
        <v>110</v>
      </c>
      <c r="U60" s="170">
        <f t="shared" si="5"/>
        <v>-4072</v>
      </c>
      <c r="V60" s="170">
        <f>SUM(V58:V59)</f>
        <v>0</v>
      </c>
      <c r="W60" s="254">
        <f>SUM(H60:V60)</f>
        <v>-733399</v>
      </c>
      <c r="X60" s="19"/>
      <c r="Z60" s="5"/>
      <c r="AA60" s="134"/>
      <c r="AB60" s="237"/>
    </row>
    <row r="61" spans="1:28" x14ac:dyDescent="0.25">
      <c r="Z61" s="134"/>
      <c r="AA61" s="134"/>
      <c r="AB61" s="237"/>
    </row>
    <row r="62" spans="1:28" x14ac:dyDescent="0.25">
      <c r="Z62" s="134"/>
      <c r="AA62" s="134"/>
      <c r="AB62" s="237"/>
    </row>
    <row r="63" spans="1:28" x14ac:dyDescent="0.25">
      <c r="Z63" s="134"/>
      <c r="AA63" s="134"/>
      <c r="AB63" s="237"/>
    </row>
    <row r="64" spans="1:28" x14ac:dyDescent="0.25">
      <c r="Z64" s="134"/>
      <c r="AA64" s="134"/>
      <c r="AB64" s="237"/>
    </row>
    <row r="65" spans="26:28" x14ac:dyDescent="0.25">
      <c r="Z65" s="134"/>
      <c r="AA65" s="237"/>
      <c r="AB65" s="237"/>
    </row>
    <row r="66" spans="26:28" x14ac:dyDescent="0.25">
      <c r="Z66" s="237"/>
      <c r="AA66" s="237"/>
      <c r="AB66" s="237"/>
    </row>
  </sheetData>
  <conditionalFormatting sqref="G2 A3:G3 X56:X57 W55:X55 X60 W43:X43 W5:X10 W24:X25 H2:X3 A58:X59 A37:W37 X11:X21 W11:W22 W45:X53 W27:W36 X27:X35 A4:V36 W38:W41 A38:V39 G40:V40 A41:V56 A60:V60">
    <cfRule type="expression" dxfId="447" priority="21">
      <formula>MOD(ROW(),2)=0</formula>
    </cfRule>
  </conditionalFormatting>
  <conditionalFormatting sqref="X36">
    <cfRule type="expression" dxfId="446" priority="20">
      <formula>MOD(ROW(),2)=0</formula>
    </cfRule>
  </conditionalFormatting>
  <conditionalFormatting sqref="X39:X40">
    <cfRule type="expression" dxfId="445" priority="19">
      <formula>MOD(ROW(),2)=0</formula>
    </cfRule>
  </conditionalFormatting>
  <conditionalFormatting sqref="W4:X4">
    <cfRule type="expression" dxfId="444" priority="18">
      <formula>MOD(ROW(),2)=0</formula>
    </cfRule>
  </conditionalFormatting>
  <conditionalFormatting sqref="X38">
    <cfRule type="expression" dxfId="443" priority="17">
      <formula>MOD(ROW(),2)=0</formula>
    </cfRule>
  </conditionalFormatting>
  <conditionalFormatting sqref="X22">
    <cfRule type="expression" dxfId="442" priority="14">
      <formula>MOD(ROW(),2)=0</formula>
    </cfRule>
  </conditionalFormatting>
  <conditionalFormatting sqref="W56">
    <cfRule type="expression" dxfId="441" priority="13">
      <formula>MOD(ROW(),2)=0</formula>
    </cfRule>
  </conditionalFormatting>
  <conditionalFormatting sqref="X41">
    <cfRule type="expression" dxfId="440" priority="12">
      <formula>MOD(ROW(),2)=0</formula>
    </cfRule>
  </conditionalFormatting>
  <conditionalFormatting sqref="W26:X26">
    <cfRule type="expression" dxfId="439" priority="11">
      <formula>MOD(ROW(),2)=0</formula>
    </cfRule>
  </conditionalFormatting>
  <conditionalFormatting sqref="W54:X54">
    <cfRule type="expression" dxfId="438" priority="10">
      <formula>MOD(ROW(),2)=0</formula>
    </cfRule>
  </conditionalFormatting>
  <conditionalFormatting sqref="W44:X44">
    <cfRule type="expression" dxfId="437" priority="9">
      <formula>MOD(ROW(),2)=0</formula>
    </cfRule>
  </conditionalFormatting>
  <conditionalFormatting sqref="W60">
    <cfRule type="expression" dxfId="436" priority="8">
      <formula>MOD(ROW(),2)=0</formula>
    </cfRule>
  </conditionalFormatting>
  <conditionalFormatting sqref="W42:X42">
    <cfRule type="expression" dxfId="435" priority="6">
      <formula>MOD(ROW(),2)=0</formula>
    </cfRule>
  </conditionalFormatting>
  <conditionalFormatting sqref="W23">
    <cfRule type="expression" dxfId="434" priority="5">
      <formula>MOD(ROW(),2)=0</formula>
    </cfRule>
  </conditionalFormatting>
  <conditionalFormatting sqref="X23">
    <cfRule type="expression" dxfId="433" priority="4">
      <formula>MOD(ROW(),2)=0</formula>
    </cfRule>
  </conditionalFormatting>
  <conditionalFormatting sqref="X37">
    <cfRule type="expression" dxfId="432" priority="2">
      <formula>MOD(ROW(),2)=0</formula>
    </cfRule>
  </conditionalFormatting>
  <conditionalFormatting sqref="A40:F40">
    <cfRule type="expression" dxfId="431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0" priority="22">
      <formula>MOD(ROW(),2)=0</formula>
    </cfRule>
  </conditionalFormatting>
  <conditionalFormatting sqref="AD43">
    <cfRule type="expression" dxfId="429" priority="21">
      <formula>MOD(ROW(),2)=0</formula>
    </cfRule>
  </conditionalFormatting>
  <conditionalFormatting sqref="AD46">
    <cfRule type="expression" dxfId="428" priority="20">
      <formula>MOD(ROW(),2)=0</formula>
    </cfRule>
  </conditionalFormatting>
  <conditionalFormatting sqref="AC4:AD4">
    <cfRule type="expression" dxfId="427" priority="19">
      <formula>MOD(ROW(),2)=0</formula>
    </cfRule>
  </conditionalFormatting>
  <conditionalFormatting sqref="AD45">
    <cfRule type="expression" dxfId="426" priority="18">
      <formula>MOD(ROW(),2)=0</formula>
    </cfRule>
  </conditionalFormatting>
  <conditionalFormatting sqref="AD20">
    <cfRule type="expression" dxfId="425" priority="17">
      <formula>MOD(ROW(),2)=0</formula>
    </cfRule>
  </conditionalFormatting>
  <conditionalFormatting sqref="AD54">
    <cfRule type="expression" dxfId="424" priority="16">
      <formula>MOD(ROW(),2)=0</formula>
    </cfRule>
  </conditionalFormatting>
  <conditionalFormatting sqref="AD24">
    <cfRule type="expression" dxfId="423" priority="15">
      <formula>MOD(ROW(),2)=0</formula>
    </cfRule>
  </conditionalFormatting>
  <conditionalFormatting sqref="AC68">
    <cfRule type="expression" dxfId="422" priority="14">
      <formula>MOD(ROW(),2)=0</formula>
    </cfRule>
  </conditionalFormatting>
  <conditionalFormatting sqref="AD49">
    <cfRule type="expression" dxfId="421" priority="13">
      <formula>MOD(ROW(),2)=0</formula>
    </cfRule>
  </conditionalFormatting>
  <conditionalFormatting sqref="AC28:AD28">
    <cfRule type="expression" dxfId="420" priority="12">
      <formula>MOD(ROW(),2)=0</formula>
    </cfRule>
  </conditionalFormatting>
  <conditionalFormatting sqref="AC65:AD65">
    <cfRule type="expression" dxfId="419" priority="11">
      <formula>MOD(ROW(),2)=0</formula>
    </cfRule>
  </conditionalFormatting>
  <conditionalFormatting sqref="AC53:AD53">
    <cfRule type="expression" dxfId="418" priority="10">
      <formula>MOD(ROW(),2)=0</formula>
    </cfRule>
  </conditionalFormatting>
  <conditionalFormatting sqref="AC73">
    <cfRule type="expression" dxfId="417" priority="9">
      <formula>MOD(ROW(),2)=0</formula>
    </cfRule>
  </conditionalFormatting>
  <conditionalFormatting sqref="H68:AB68">
    <cfRule type="expression" dxfId="416" priority="8">
      <formula>MOD(ROW(),2)=0</formula>
    </cfRule>
  </conditionalFormatting>
  <conditionalFormatting sqref="AC51:AD51">
    <cfRule type="expression" dxfId="415" priority="7">
      <formula>MOD(ROW(),2)=0</formula>
    </cfRule>
  </conditionalFormatting>
  <conditionalFormatting sqref="AC25">
    <cfRule type="expression" dxfId="414" priority="6">
      <formula>MOD(ROW(),2)=0</formula>
    </cfRule>
  </conditionalFormatting>
  <conditionalFormatting sqref="AD25">
    <cfRule type="expression" dxfId="413" priority="5">
      <formula>MOD(ROW(),2)=0</formula>
    </cfRule>
  </conditionalFormatting>
  <conditionalFormatting sqref="T44:AC44">
    <cfRule type="expression" dxfId="412" priority="4">
      <formula>MOD(ROW(),2)=0</formula>
    </cfRule>
  </conditionalFormatting>
  <conditionalFormatting sqref="AD44">
    <cfRule type="expression" dxfId="411" priority="3">
      <formula>MOD(ROW(),2)=0</formula>
    </cfRule>
  </conditionalFormatting>
  <conditionalFormatting sqref="A23:A25">
    <cfRule type="expression" dxfId="410" priority="2">
      <formula>MOD(ROW(),2)=0</formula>
    </cfRule>
  </conditionalFormatting>
  <conditionalFormatting sqref="A51">
    <cfRule type="expression" dxfId="409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8" priority="20">
      <formula>MOD(ROW(),2)=0</formula>
    </cfRule>
  </conditionalFormatting>
  <conditionalFormatting sqref="AF40">
    <cfRule type="expression" dxfId="407" priority="19">
      <formula>MOD(ROW(),2)=0</formula>
    </cfRule>
  </conditionalFormatting>
  <conditionalFormatting sqref="AF42">
    <cfRule type="expression" dxfId="406" priority="18">
      <formula>MOD(ROW(),2)=0</formula>
    </cfRule>
  </conditionalFormatting>
  <conditionalFormatting sqref="AE4:AF4">
    <cfRule type="expression" dxfId="405" priority="16">
      <formula>MOD(ROW(),2)=0</formula>
    </cfRule>
  </conditionalFormatting>
  <conditionalFormatting sqref="AF41">
    <cfRule type="expression" dxfId="404" priority="14">
      <formula>MOD(ROW(),2)=0</formula>
    </cfRule>
  </conditionalFormatting>
  <conditionalFormatting sqref="AF18">
    <cfRule type="expression" dxfId="403" priority="13">
      <formula>MOD(ROW(),2)=0</formula>
    </cfRule>
  </conditionalFormatting>
  <conditionalFormatting sqref="AF49">
    <cfRule type="expression" dxfId="402" priority="12">
      <formula>MOD(ROW(),2)=0</formula>
    </cfRule>
  </conditionalFormatting>
  <conditionalFormatting sqref="AF22">
    <cfRule type="expression" dxfId="401" priority="11">
      <formula>MOD(ROW(),2)=0</formula>
    </cfRule>
  </conditionalFormatting>
  <conditionalFormatting sqref="AE62">
    <cfRule type="expression" dxfId="400" priority="10">
      <formula>MOD(ROW(),2)=0</formula>
    </cfRule>
  </conditionalFormatting>
  <conditionalFormatting sqref="AF45">
    <cfRule type="expression" dxfId="399" priority="9">
      <formula>MOD(ROW(),2)=0</formula>
    </cfRule>
  </conditionalFormatting>
  <conditionalFormatting sqref="AE25:AF25">
    <cfRule type="expression" dxfId="398" priority="6">
      <formula>MOD(ROW(),2)=0</formula>
    </cfRule>
  </conditionalFormatting>
  <conditionalFormatting sqref="AE59:AF59">
    <cfRule type="expression" dxfId="397" priority="5">
      <formula>MOD(ROW(),2)=0</formula>
    </cfRule>
  </conditionalFormatting>
  <conditionalFormatting sqref="AE48:AF48">
    <cfRule type="expression" dxfId="396" priority="4">
      <formula>MOD(ROW(),2)=0</formula>
    </cfRule>
  </conditionalFormatting>
  <conditionalFormatting sqref="AE67">
    <cfRule type="expression" dxfId="395" priority="3">
      <formula>MOD(ROW(),2)=0</formula>
    </cfRule>
  </conditionalFormatting>
  <conditionalFormatting sqref="B21">
    <cfRule type="expression" dxfId="394" priority="2">
      <formula>MOD(ROW(),2)=0</formula>
    </cfRule>
  </conditionalFormatting>
  <conditionalFormatting sqref="A21:A22">
    <cfRule type="expression" dxfId="393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28" sqref="M28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IFERROR(VLOOKUP($A$3:$A$126,'SEP-2026'!$A$4:$ADY$124,MATCH('FY-(26-27)Q2'!$K$2:$L$2,'SEP-2026'!$A$2:$DZ$2,0),0),0)</f>
        <v>-449412</v>
      </c>
      <c r="L4" s="155">
        <f>IFERROR(VLOOKUP($A$3:$A$126,'SEP-2026'!$A$4:$ADY$124,MATCH('FY-(26-27)Q2'!$K$2:$L$2,'SEP-2026'!$A$2:$DZ$2,0),0),0)</f>
        <v>-8.9882399999999993</v>
      </c>
      <c r="M4" s="71">
        <f t="shared" ref="M4:N62" si="0">G4+I4+K4</f>
        <v>-476456</v>
      </c>
      <c r="N4" s="166">
        <f t="shared" si="0"/>
        <v>-9.5291199999999989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IFERROR(VLOOKUP($A$3:$A$126,'SEP-2026'!$A$4:$ADY$124,MATCH('FY-(26-27)Q2'!$K$2:$L$2,'SEP-2026'!$A$2:$DZ$2,0),0),0)</f>
        <v>252779</v>
      </c>
      <c r="L5" s="155">
        <f>IFERROR(VLOOKUP($A$3:$A$126,'SEP-2026'!$A$4:$ADY$124,MATCH('FY-(26-27)Q2'!$K$2:$L$2,'SEP-2026'!$A$2:$DZ$2,0),0),0)</f>
        <v>0.84259666666666677</v>
      </c>
      <c r="M5" s="71">
        <f t="shared" si="0"/>
        <v>1808</v>
      </c>
      <c r="N5" s="166">
        <f t="shared" si="0"/>
        <v>6.0266666666667357E-3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IFERROR(VLOOKUP($A$3:$A$126,'SEP-2026'!$A$4:$ADY$124,MATCH('FY-(26-27)Q2'!$K$2:$L$2,'SEP-2026'!$A$2:$DZ$2,0),0),0)</f>
        <v>-6830</v>
      </c>
      <c r="L6" s="155">
        <f>IFERROR(VLOOKUP($A$3:$A$126,'SEP-2026'!$A$4:$ADY$124,MATCH('FY-(26-27)Q2'!$K$2:$L$2,'SEP-2026'!$A$2:$DZ$2,0),0),0)</f>
        <v>-6.83E-2</v>
      </c>
      <c r="M6" s="71">
        <f t="shared" ref="M6:M7" si="1">G6+I6+K6</f>
        <v>109355</v>
      </c>
      <c r="N6" s="166">
        <f t="shared" ref="N6:N7" si="2">H6+J6+L6</f>
        <v>1.09355</v>
      </c>
    </row>
    <row r="7" spans="1:14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-28990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IFERROR(VLOOKUP($A$3:$A$126,'SEP-2026'!$A$4:$ADY$124,MATCH('FY-(26-27)Q2'!$K$2:$L$2,'SEP-2026'!$A$2:$DZ$2,0),0),0)</f>
        <v>62547</v>
      </c>
      <c r="L7" s="155">
        <f>IFERROR(VLOOKUP($A$3:$A$126,'SEP-2026'!$A$4:$ADY$124,MATCH('FY-(26-27)Q2'!$K$2:$L$2,'SEP-2026'!$A$2:$DZ$2,0),0),0)</f>
        <v>0.62546999999999997</v>
      </c>
      <c r="M7" s="71">
        <f t="shared" si="1"/>
        <v>33557</v>
      </c>
      <c r="N7" s="166">
        <f t="shared" si="2"/>
        <v>0.62546999999999997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IFERROR(VLOOKUP($A$3:$A$126,'SEP-2026'!$A$4:$ADY$124,MATCH('FY-(26-27)Q2'!$K$2:$L$2,'SEP-2026'!$A$2:$DZ$2,0),0),0)</f>
        <v>40454</v>
      </c>
      <c r="L8" s="155">
        <f>IFERROR(VLOOKUP($A$3:$A$126,'SEP-2026'!$A$4:$ADY$124,MATCH('FY-(26-27)Q2'!$K$2:$L$2,'SEP-2026'!$A$2:$DZ$2,0),0),0)</f>
        <v>0.13484666666666664</v>
      </c>
      <c r="M8" s="71">
        <f t="shared" si="0"/>
        <v>-414643</v>
      </c>
      <c r="N8" s="166">
        <f t="shared" si="0"/>
        <v>-1.3821433333333335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IFERROR(VLOOKUP($A$3:$A$126,'SEP-2026'!$A$4:$ADY$124,MATCH('FY-(26-27)Q2'!$K$2:$L$2,'SEP-2026'!$A$2:$DZ$2,0),0),0)</f>
        <v>30198</v>
      </c>
      <c r="L9" s="155">
        <f>IFERROR(VLOOKUP($A$3:$A$126,'SEP-2026'!$A$4:$ADY$124,MATCH('FY-(26-27)Q2'!$K$2:$L$2,'SEP-2026'!$A$2:$DZ$2,0),0),0)</f>
        <v>0.20132</v>
      </c>
      <c r="M9" s="71">
        <f t="shared" si="0"/>
        <v>-263938</v>
      </c>
      <c r="N9" s="166">
        <f t="shared" si="0"/>
        <v>-1.7595866666666671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IFERROR(VLOOKUP($A$3:$A$126,'SEP-2026'!$A$4:$ADY$124,MATCH('FY-(26-27)Q2'!$K$2:$L$2,'SEP-2026'!$A$2:$DZ$2,0),0),0)</f>
        <v>33182</v>
      </c>
      <c r="L10" s="155">
        <f>IFERROR(VLOOKUP($A$3:$A$126,'SEP-2026'!$A$4:$ADY$124,MATCH('FY-(26-27)Q2'!$K$2:$L$2,'SEP-2026'!$A$2:$DZ$2,0),0),0)</f>
        <v>0.55303333333333338</v>
      </c>
      <c r="M10" s="71">
        <f t="shared" ref="M10" si="3">G10+I10+K10</f>
        <v>-159067</v>
      </c>
      <c r="N10" s="166">
        <f t="shared" ref="N10" si="4">H10+J10+L10</f>
        <v>-2.6511166666666668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IFERROR(VLOOKUP($A$3:$A$126,'SEP-2026'!$A$4:$ADY$124,MATCH('FY-(26-27)Q2'!$K$2:$L$2,'SEP-2026'!$A$2:$DZ$2,0),0),0)</f>
        <v>-719222</v>
      </c>
      <c r="L11" s="155">
        <f>IFERROR(VLOOKUP($A$3:$A$126,'SEP-2026'!$A$4:$ADY$124,MATCH('FY-(26-27)Q2'!$K$2:$L$2,'SEP-2026'!$A$2:$DZ$2,0),0),0)</f>
        <v>-0.47948133333333331</v>
      </c>
      <c r="M11" s="71">
        <f t="shared" si="0"/>
        <v>248043</v>
      </c>
      <c r="N11" s="166">
        <f t="shared" si="0"/>
        <v>0.16536200000000012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IFERROR(VLOOKUP($A$3:$A$126,'SEP-2026'!$A$4:$ADY$124,MATCH('FY-(26-27)Q2'!$K$2:$L$2,'SEP-2026'!$A$2:$DZ$2,0),0),0)</f>
        <v>9393</v>
      </c>
      <c r="L12" s="155">
        <f>IFERROR(VLOOKUP($A$3:$A$126,'SEP-2026'!$A$4:$ADY$124,MATCH('FY-(26-27)Q2'!$K$2:$L$2,'SEP-2026'!$A$2:$DZ$2,0),0),0)</f>
        <v>1.5654999999999999E-2</v>
      </c>
      <c r="M12" s="71">
        <f t="shared" si="0"/>
        <v>417173</v>
      </c>
      <c r="N12" s="166">
        <f t="shared" si="0"/>
        <v>0.6952883333333334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IFERROR(VLOOKUP($A$3:$A$126,'SEP-2026'!$A$4:$ADY$124,MATCH('FY-(26-27)Q2'!$K$2:$L$2,'SEP-2026'!$A$2:$DZ$2,0),0),0)</f>
        <v>-5037</v>
      </c>
      <c r="L13" s="155">
        <f>IFERROR(VLOOKUP($A$3:$A$126,'SEP-2026'!$A$4:$ADY$124,MATCH('FY-(26-27)Q2'!$K$2:$L$2,'SEP-2026'!$A$2:$DZ$2,0),0),0)</f>
        <v>-5.0369999999999998E-2</v>
      </c>
      <c r="M13" s="71">
        <f t="shared" si="0"/>
        <v>8379</v>
      </c>
      <c r="N13" s="166">
        <f t="shared" si="0"/>
        <v>8.3790000000000003E-2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IFERROR(VLOOKUP($A$3:$A$126,'SEP-2026'!$A$4:$ADY$124,MATCH('FY-(26-27)Q2'!$K$2:$L$2,'SEP-2026'!$A$2:$DZ$2,0),0),0)</f>
        <v>-8148</v>
      </c>
      <c r="L14" s="155">
        <f>IFERROR(VLOOKUP($A$3:$A$126,'SEP-2026'!$A$4:$ADY$124,MATCH('FY-(26-27)Q2'!$K$2:$L$2,'SEP-2026'!$A$2:$DZ$2,0),0),0)</f>
        <v>-3.2592000000000003E-2</v>
      </c>
      <c r="M14" s="71">
        <f t="shared" si="0"/>
        <v>36772</v>
      </c>
      <c r="N14" s="166">
        <f t="shared" si="0"/>
        <v>0.14708799999999994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IFERROR(VLOOKUP($A$3:$A$126,'SEP-2026'!$A$4:$ADY$124,MATCH('FY-(26-27)Q2'!$K$2:$L$2,'SEP-2026'!$A$2:$DZ$2,0),0),0)</f>
        <v>0</v>
      </c>
      <c r="L15" s="155">
        <f>IFERROR(VLOOKUP($A$3:$A$126,'SEP-2026'!$A$4:$ADY$124,MATCH('FY-(26-27)Q2'!$K$2:$L$2,'SEP-2026'!$A$2:$DZ$2,0),0),0)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IFERROR(VLOOKUP($A$3:$A$126,'SEP-2026'!$A$4:$ADY$124,MATCH('FY-(26-27)Q2'!$K$2:$L$2,'SEP-2026'!$A$2:$DZ$2,0),0),0)</f>
        <v>3365</v>
      </c>
      <c r="L16" s="155">
        <f>IFERROR(VLOOKUP($A$3:$A$126,'SEP-2026'!$A$4:$ADY$124,MATCH('FY-(26-27)Q2'!$K$2:$L$2,'SEP-2026'!$A$2:$DZ$2,0),0),0)</f>
        <v>3.3649999999999999E-2</v>
      </c>
      <c r="M16" s="71">
        <f t="shared" si="0"/>
        <v>76772</v>
      </c>
      <c r="N16" s="166">
        <f t="shared" si="0"/>
        <v>0.76771999999999996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IFERROR(VLOOKUP($A$3:$A$126,'SEP-2026'!$A$4:$ADY$124,MATCH('FY-(26-27)Q2'!$K$2:$L$2,'SEP-2026'!$A$2:$DZ$2,0),0),0)</f>
        <v>-4234</v>
      </c>
      <c r="L17" s="155">
        <f>IFERROR(VLOOKUP($A$3:$A$126,'SEP-2026'!$A$4:$ADY$124,MATCH('FY-(26-27)Q2'!$K$2:$L$2,'SEP-2026'!$A$2:$DZ$2,0),0),0)</f>
        <v>-1.9245454545454545E-2</v>
      </c>
      <c r="M17" s="71">
        <f t="shared" ref="M17" si="5">G17+I17+K17</f>
        <v>-92142</v>
      </c>
      <c r="N17" s="166">
        <f t="shared" ref="N17" si="6">H17+J17+L17</f>
        <v>-0.41882727272727271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IFERROR(VLOOKUP($A$3:$A$126,'SEP-2026'!$A$4:$ADY$124,MATCH('FY-(26-27)Q2'!$K$2:$L$2,'SEP-2026'!$A$2:$DZ$2,0),0),0)</f>
        <v>-12742</v>
      </c>
      <c r="L18" s="155">
        <f>IFERROR(VLOOKUP($A$3:$A$126,'SEP-2026'!$A$4:$ADY$124,MATCH('FY-(26-27)Q2'!$K$2:$L$2,'SEP-2026'!$A$2:$DZ$2,0),0),0)</f>
        <v>-5.0967999999999999E-2</v>
      </c>
      <c r="M18" s="71">
        <f t="shared" si="0"/>
        <v>-76659</v>
      </c>
      <c r="N18" s="166">
        <f t="shared" si="0"/>
        <v>-0.30663600000000002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IFERROR(VLOOKUP($A$3:$A$126,'SEP-2026'!$A$4:$ADY$124,MATCH('FY-(26-27)Q2'!$K$2:$L$2,'SEP-2026'!$A$2:$DZ$2,0),0),0)</f>
        <v>-25109</v>
      </c>
      <c r="L19" s="155">
        <f>IFERROR(VLOOKUP($A$3:$A$126,'SEP-2026'!$A$4:$ADY$124,MATCH('FY-(26-27)Q2'!$K$2:$L$2,'SEP-2026'!$A$2:$DZ$2,0),0),0)</f>
        <v>-6.2772499999999995E-2</v>
      </c>
      <c r="M19" s="71">
        <f t="shared" si="0"/>
        <v>242206</v>
      </c>
      <c r="N19" s="166">
        <f t="shared" si="0"/>
        <v>0.60551499999999991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IFERROR(VLOOKUP($A$3:$A$126,'SEP-2026'!$A$4:$ADY$124,MATCH('FY-(26-27)Q2'!$K$2:$L$2,'SEP-2026'!$A$2:$DZ$2,0),0),0)</f>
        <v>-33058</v>
      </c>
      <c r="L20" s="155">
        <f>IFERROR(VLOOKUP($A$3:$A$126,'SEP-2026'!$A$4:$ADY$124,MATCH('FY-(26-27)Q2'!$K$2:$L$2,'SEP-2026'!$A$2:$DZ$2,0),0),0)</f>
        <v>-0.3005272727272727</v>
      </c>
      <c r="M20" s="71">
        <f t="shared" si="0"/>
        <v>54624</v>
      </c>
      <c r="N20" s="166">
        <f t="shared" si="0"/>
        <v>0.49658181818181807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IFERROR(VLOOKUP($A$3:$A$126,'SEP-2026'!$A$4:$ADY$124,MATCH('FY-(26-27)Q2'!$K$2:$L$2,'SEP-2026'!$A$2:$DZ$2,0),0),0)</f>
        <v>-7243</v>
      </c>
      <c r="L21" s="155">
        <f>IFERROR(VLOOKUP($A$3:$A$126,'SEP-2026'!$A$4:$ADY$124,MATCH('FY-(26-27)Q2'!$K$2:$L$2,'SEP-2026'!$A$2:$DZ$2,0),0),0)</f>
        <v>-0.28971999999999998</v>
      </c>
      <c r="M21" s="71">
        <f t="shared" ref="M21:M22" si="7">G21+I21+K21</f>
        <v>-50789</v>
      </c>
      <c r="N21" s="166">
        <f t="shared" ref="N21:N22" si="8">H21+J21+L21</f>
        <v>-2.0315599999999998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IFERROR(VLOOKUP($A$3:$A$126,'SEP-2026'!$A$4:$ADY$124,MATCH('FY-(26-27)Q2'!$K$2:$L$2,'SEP-2026'!$A$2:$DZ$2,0),0),0)</f>
        <v>-5789</v>
      </c>
      <c r="L22" s="155">
        <f>IFERROR(VLOOKUP($A$3:$A$126,'SEP-2026'!$A$4:$ADY$124,MATCH('FY-(26-27)Q2'!$K$2:$L$2,'SEP-2026'!$A$2:$DZ$2,0),0),0)</f>
        <v>-2.8944999999999999E-2</v>
      </c>
      <c r="M22" s="71">
        <f t="shared" si="7"/>
        <v>10343</v>
      </c>
      <c r="N22" s="166">
        <f t="shared" si="8"/>
        <v>5.1714999999999997E-2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IFERROR(VLOOKUP($A$3:$A$126,'SEP-2026'!$A$4:$ADY$124,MATCH('FY-(26-27)Q2'!$K$2:$L$2,'SEP-2026'!$A$2:$DZ$2,0),0),0)</f>
        <v>-248197</v>
      </c>
      <c r="L23" s="155">
        <f>IFERROR(VLOOKUP($A$3:$A$126,'SEP-2026'!$A$4:$ADY$124,MATCH('FY-(26-27)Q2'!$K$2:$L$2,'SEP-2026'!$A$2:$DZ$2,0),0),0)</f>
        <v>-1.6546466666666666</v>
      </c>
      <c r="M23" s="71">
        <f t="shared" si="0"/>
        <v>-133184</v>
      </c>
      <c r="N23" s="166">
        <f t="shared" si="0"/>
        <v>-0.8878933333333332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IFERROR(VLOOKUP($A$3:$A$126,'SEP-2026'!$A$4:$ADY$124,MATCH('FY-(26-27)Q2'!$K$2:$L$2,'SEP-2026'!$A$2:$DZ$2,0),0),0)</f>
        <v>0</v>
      </c>
      <c r="L24" s="155">
        <f>IFERROR(VLOOKUP($A$3:$A$126,'SEP-2026'!$A$4:$ADY$124,MATCH('FY-(26-27)Q2'!$K$2:$L$2,'SEP-2026'!$A$2:$DZ$2,0),0),0)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IFERROR(VLOOKUP($A$3:$A$126,'SEP-2026'!$A$4:$ADY$124,MATCH('FY-(26-27)Q2'!$K$2:$L$2,'SEP-2026'!$A$2:$DZ$2,0),0),0)</f>
        <v>12168</v>
      </c>
      <c r="L25" s="155">
        <f>IFERROR(VLOOKUP($A$3:$A$126,'SEP-2026'!$A$4:$ADY$124,MATCH('FY-(26-27)Q2'!$K$2:$L$2,'SEP-2026'!$A$2:$DZ$2,0),0),0)</f>
        <v>0.11061818181818181</v>
      </c>
      <c r="M25" s="71">
        <f t="shared" si="0"/>
        <v>216872</v>
      </c>
      <c r="N25" s="166">
        <f t="shared" si="0"/>
        <v>1.9715636363636357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IFERROR(VLOOKUP($A$3:$A$126,'SEP-2026'!$A$4:$ADY$124,MATCH('FY-(26-27)Q2'!$K$2:$L$2,'SEP-2026'!$A$2:$DZ$2,0),0),0)</f>
        <v>-1055446</v>
      </c>
      <c r="L26" s="155">
        <f>IFERROR(VLOOKUP($A$3:$A$126,'SEP-2026'!$A$4:$ADY$124,MATCH('FY-(26-27)Q2'!$K$2:$L$2,'SEP-2026'!$A$2:$DZ$2,0),0),0)</f>
        <v>-4.588895652173913</v>
      </c>
      <c r="M26" s="71">
        <f t="shared" si="0"/>
        <v>-701385</v>
      </c>
      <c r="N26" s="166">
        <f t="shared" si="0"/>
        <v>-3.0495000000000005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IFERROR(VLOOKUP($A$3:$A$126,'SEP-2026'!$A$4:$ADY$124,MATCH('FY-(26-27)Q2'!$K$2:$L$2,'SEP-2026'!$A$2:$DZ$2,0),0),0)</f>
        <v>6002</v>
      </c>
      <c r="L27" s="155">
        <f>IFERROR(VLOOKUP($A$3:$A$126,'SEP-2026'!$A$4:$ADY$124,MATCH('FY-(26-27)Q2'!$K$2:$L$2,'SEP-2026'!$A$2:$DZ$2,0),0),0)</f>
        <v>0.30009999999999998</v>
      </c>
      <c r="M27" s="71">
        <f t="shared" ref="M27" si="9">G27+I27+K27</f>
        <v>-14294</v>
      </c>
      <c r="N27" s="166">
        <f t="shared" ref="N27" si="10">H27+J27+L27</f>
        <v>-0.71469999999999989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IFERROR(VLOOKUP($A$3:$A$126,'SEP-2026'!$A$4:$ADY$124,MATCH('FY-(26-27)Q2'!$K$2:$L$2,'SEP-2026'!$A$2:$DZ$2,0),0),0)</f>
        <v>-30334</v>
      </c>
      <c r="L28" s="155">
        <f>IFERROR(VLOOKUP($A$3:$A$126,'SEP-2026'!$A$4:$ADY$124,MATCH('FY-(26-27)Q2'!$K$2:$L$2,'SEP-2026'!$A$2:$DZ$2,0),0),0)</f>
        <v>-6.0668E-2</v>
      </c>
      <c r="M28" s="71">
        <f t="shared" si="0"/>
        <v>-295252</v>
      </c>
      <c r="N28" s="166">
        <f t="shared" si="0"/>
        <v>-0.59050399999999992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IFERROR(VLOOKUP($A$3:$A$126,'SEP-2026'!$A$4:$ADY$124,MATCH('FY-(26-27)Q2'!$K$2:$L$2,'SEP-2026'!$A$2:$DZ$2,0),0),0)</f>
        <v>-1675566</v>
      </c>
      <c r="L29" s="155">
        <f>IFERROR(VLOOKUP($A$3:$A$126,'SEP-2026'!$A$4:$ADY$124,MATCH('FY-(26-27)Q2'!$K$2:$L$2,'SEP-2026'!$A$2:$DZ$2,0),0),0)</f>
        <v>-1.6755660000000001</v>
      </c>
      <c r="M29" s="71">
        <f t="shared" si="0"/>
        <v>1791846</v>
      </c>
      <c r="N29" s="166">
        <f t="shared" si="0"/>
        <v>1.7918459999999998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IFERROR(VLOOKUP($A$3:$A$126,'SEP-2026'!$A$4:$ADY$124,MATCH('FY-(26-27)Q2'!$K$2:$L$2,'SEP-2026'!$A$2:$DZ$2,0),0),0)</f>
        <v>0</v>
      </c>
      <c r="L30" s="155">
        <f>IFERROR(VLOOKUP($A$3:$A$126,'SEP-2026'!$A$4:$ADY$124,MATCH('FY-(26-27)Q2'!$K$2:$L$2,'SEP-2026'!$A$2:$DZ$2,0),0),0)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IFERROR(VLOOKUP($A$3:$A$126,'SEP-2026'!$A$4:$ADY$124,MATCH('FY-(26-27)Q2'!$K$2:$L$2,'SEP-2026'!$A$2:$DZ$2,0),0),0)</f>
        <v>0</v>
      </c>
      <c r="L31" s="155">
        <f>IFERROR(VLOOKUP($A$3:$A$126,'SEP-2026'!$A$4:$ADY$124,MATCH('FY-(26-27)Q2'!$K$2:$L$2,'SEP-2026'!$A$2:$DZ$2,0),0),0)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IFERROR(VLOOKUP($A$3:$A$126,'SEP-2026'!$A$4:$ADY$124,MATCH('FY-(26-27)Q2'!$K$2:$L$2,'SEP-2026'!$A$2:$DZ$2,0),0),0)</f>
        <v>0</v>
      </c>
      <c r="L32" s="155">
        <f>IFERROR(VLOOKUP($A$3:$A$126,'SEP-2026'!$A$4:$ADY$124,MATCH('FY-(26-27)Q2'!$K$2:$L$2,'SEP-2026'!$A$2:$DZ$2,0),0),0)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IFERROR(VLOOKUP($A$3:$A$126,'SEP-2026'!$A$4:$ADY$124,MATCH('FY-(26-27)Q2'!$K$2:$L$2,'SEP-2026'!$A$2:$DZ$2,0),0),0)</f>
        <v>0</v>
      </c>
      <c r="L33" s="155">
        <f>IFERROR(VLOOKUP($A$3:$A$126,'SEP-2026'!$A$4:$ADY$124,MATCH('FY-(26-27)Q2'!$K$2:$L$2,'SEP-2026'!$A$2:$DZ$2,0),0),0)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IFERROR(VLOOKUP($A$3:$A$126,'SEP-2026'!$A$4:$ADY$124,MATCH('FY-(26-27)Q2'!$K$2:$L$2,'SEP-2026'!$A$2:$DZ$2,0),0),0)</f>
        <v>0</v>
      </c>
      <c r="L34" s="155">
        <f>IFERROR(VLOOKUP($A$3:$A$126,'SEP-2026'!$A$4:$ADY$124,MATCH('FY-(26-27)Q2'!$K$2:$L$2,'SEP-2026'!$A$2:$DZ$2,0),0),0)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IFERROR(VLOOKUP($A$3:$A$126,'SEP-2026'!$A$4:$ADY$124,MATCH('FY-(26-27)Q2'!$K$2:$L$2,'SEP-2026'!$A$2:$DZ$2,0),0),0)</f>
        <v>-374989</v>
      </c>
      <c r="L35" s="155">
        <f>IFERROR(VLOOKUP($A$3:$A$126,'SEP-2026'!$A$4:$ADY$124,MATCH('FY-(26-27)Q2'!$K$2:$L$2,'SEP-2026'!$A$2:$DZ$2,0),0),0)</f>
        <v>-0.74997800000000003</v>
      </c>
      <c r="M35" s="71">
        <f t="shared" si="0"/>
        <v>324863</v>
      </c>
      <c r="N35" s="166">
        <f t="shared" si="0"/>
        <v>0.6497259999999998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IFERROR(VLOOKUP($A$3:$A$126,'SEP-2026'!$A$4:$ADY$124,MATCH('FY-(26-27)Q2'!$K$2:$L$2,'SEP-2026'!$A$2:$DZ$2,0),0),0)</f>
        <v>105189</v>
      </c>
      <c r="L36" s="155">
        <f>IFERROR(VLOOKUP($A$3:$A$126,'SEP-2026'!$A$4:$ADY$124,MATCH('FY-(26-27)Q2'!$K$2:$L$2,'SEP-2026'!$A$2:$DZ$2,0),0),0)</f>
        <v>0.21037800000000001</v>
      </c>
      <c r="M36" s="71">
        <f t="shared" si="0"/>
        <v>1132596</v>
      </c>
      <c r="N36" s="166">
        <f t="shared" si="0"/>
        <v>2.2651919999999999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IFERROR(VLOOKUP($A$3:$A$126,'SEP-2026'!$A$4:$ADY$124,MATCH('FY-(26-27)Q2'!$K$2:$L$2,'SEP-2026'!$A$2:$DZ$2,0),0),0)</f>
        <v>-138175</v>
      </c>
      <c r="L37" s="155">
        <f>IFERROR(VLOOKUP($A$3:$A$126,'SEP-2026'!$A$4:$ADY$124,MATCH('FY-(26-27)Q2'!$K$2:$L$2,'SEP-2026'!$A$2:$DZ$2,0),0),0)</f>
        <v>-2.7635000000000001</v>
      </c>
      <c r="M37" s="71">
        <f t="shared" si="0"/>
        <v>-217539</v>
      </c>
      <c r="N37" s="166">
        <f t="shared" si="0"/>
        <v>-4.3507800000000003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IFERROR(VLOOKUP($A$3:$A$126,'SEP-2026'!$A$4:$ADY$124,MATCH('FY-(26-27)Q2'!$K$2:$L$2,'SEP-2026'!$A$2:$DZ$2,0),0),0)</f>
        <v>119237</v>
      </c>
      <c r="L38" s="155">
        <f>IFERROR(VLOOKUP($A$3:$A$126,'SEP-2026'!$A$4:$ADY$124,MATCH('FY-(26-27)Q2'!$K$2:$L$2,'SEP-2026'!$A$2:$DZ$2,0),0),0)</f>
        <v>2.980925</v>
      </c>
      <c r="M38" s="71">
        <f t="shared" si="0"/>
        <v>53712</v>
      </c>
      <c r="N38" s="166">
        <f t="shared" si="0"/>
        <v>1.3428000000000002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IFERROR(VLOOKUP($A$3:$A$126,'SEP-2026'!$A$4:$ADY$124,MATCH('FY-(26-27)Q2'!$K$2:$L$2,'SEP-2026'!$A$2:$DZ$2,0),0),0)</f>
        <v>0</v>
      </c>
      <c r="L39" s="155">
        <f>IFERROR(VLOOKUP($A$3:$A$126,'SEP-2026'!$A$4:$ADY$124,MATCH('FY-(26-27)Q2'!$K$2:$L$2,'SEP-2026'!$A$2:$DZ$2,0),0),0)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IFERROR(VLOOKUP($A$3:$A$126,'SEP-2026'!$A$4:$ADY$124,MATCH('FY-(26-27)Q2'!$K$2:$L$2,'SEP-2026'!$A$2:$DZ$2,0),0),0)</f>
        <v>0</v>
      </c>
      <c r="L40" s="155">
        <f>IFERROR(VLOOKUP($A$3:$A$126,'SEP-2026'!$A$4:$ADY$124,MATCH('FY-(26-27)Q2'!$K$2:$L$2,'SEP-2026'!$A$2:$DZ$2,0),0),0)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IFERROR(VLOOKUP($A$3:$A$126,'SEP-2026'!$A$4:$ADY$124,MATCH('FY-(26-27)Q2'!$K$2:$L$2,'SEP-2026'!$A$2:$DZ$2,0),0),0)</f>
        <v>-159807</v>
      </c>
      <c r="L41" s="155">
        <f>IFERROR(VLOOKUP($A$3:$A$126,'SEP-2026'!$A$4:$ADY$124,MATCH('FY-(26-27)Q2'!$K$2:$L$2,'SEP-2026'!$A$2:$DZ$2,0),0),0)</f>
        <v>-0.39951750000000003</v>
      </c>
      <c r="M41" s="71">
        <f t="shared" si="0"/>
        <v>551129</v>
      </c>
      <c r="N41" s="166">
        <f t="shared" si="0"/>
        <v>1.3778225000000002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IFERROR(VLOOKUP($A$3:$A$126,'SEP-2026'!$A$4:$ADY$124,MATCH('FY-(26-27)Q2'!$K$2:$L$2,'SEP-2026'!$A$2:$DZ$2,0),0),0)</f>
        <v>-82004</v>
      </c>
      <c r="L42" s="155">
        <f>IFERROR(VLOOKUP($A$3:$A$126,'SEP-2026'!$A$4:$ADY$124,MATCH('FY-(26-27)Q2'!$K$2:$L$2,'SEP-2026'!$A$2:$DZ$2,0),0),0)</f>
        <v>-0.82003999999999999</v>
      </c>
      <c r="M42" s="71">
        <f t="shared" si="0"/>
        <v>121628</v>
      </c>
      <c r="N42" s="166">
        <f t="shared" si="0"/>
        <v>1.2162799999999998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IFERROR(VLOOKUP($A$3:$A$126,'SEP-2026'!$A$4:$ADY$124,MATCH('FY-(26-27)Q2'!$K$2:$L$2,'SEP-2026'!$A$2:$DZ$2,0),0),0)</f>
        <v>0</v>
      </c>
      <c r="L43" s="155">
        <f>IFERROR(VLOOKUP($A$3:$A$126,'SEP-2026'!$A$4:$ADY$124,MATCH('FY-(26-27)Q2'!$K$2:$L$2,'SEP-2026'!$A$2:$DZ$2,0),0),0)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IFERROR(VLOOKUP($A$3:$A$126,'SEP-2026'!$A$4:$ADY$124,MATCH('FY-(26-27)Q2'!$K$2:$L$2,'SEP-2026'!$A$2:$DZ$2,0),0),0)</f>
        <v>50301</v>
      </c>
      <c r="L44" s="155">
        <f>IFERROR(VLOOKUP($A$3:$A$126,'SEP-2026'!$A$4:$ADY$124,MATCH('FY-(26-27)Q2'!$K$2:$L$2,'SEP-2026'!$A$2:$DZ$2,0),0),0)</f>
        <v>1.0060199999999999</v>
      </c>
      <c r="M44" s="71">
        <f t="shared" si="0"/>
        <v>-16082</v>
      </c>
      <c r="N44" s="166">
        <f t="shared" si="0"/>
        <v>-0.32163999999999993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IFERROR(VLOOKUP($A$3:$A$126,'SEP-2026'!$A$4:$ADY$124,MATCH('FY-(26-27)Q2'!$K$2:$L$2,'SEP-2026'!$A$2:$DZ$2,0),0),0)</f>
        <v>41656</v>
      </c>
      <c r="L45" s="155">
        <f>IFERROR(VLOOKUP($A$3:$A$126,'SEP-2026'!$A$4:$ADY$124,MATCH('FY-(26-27)Q2'!$K$2:$L$2,'SEP-2026'!$A$2:$DZ$2,0),0),0)</f>
        <v>0.13885333333333336</v>
      </c>
      <c r="M45" s="71">
        <f t="shared" si="0"/>
        <v>-69136</v>
      </c>
      <c r="N45" s="166">
        <f t="shared" si="0"/>
        <v>-0.23045333333333332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IFERROR(VLOOKUP($A$3:$A$126,'SEP-2026'!$A$4:$ADY$124,MATCH('FY-(26-27)Q2'!$K$2:$L$2,'SEP-2026'!$A$2:$DZ$2,0),0),0)</f>
        <v>0</v>
      </c>
      <c r="L46" s="155">
        <f>IFERROR(VLOOKUP($A$3:$A$126,'SEP-2026'!$A$4:$ADY$124,MATCH('FY-(26-27)Q2'!$K$2:$L$2,'SEP-2026'!$A$2:$DZ$2,0),0),0)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IFERROR(VLOOKUP($A$3:$A$126,'SEP-2026'!$A$4:$ADY$124,MATCH('FY-(26-27)Q2'!$K$2:$L$2,'SEP-2026'!$A$2:$DZ$2,0),0),0)</f>
        <v>0</v>
      </c>
      <c r="L47" s="155">
        <f>IFERROR(VLOOKUP($A$3:$A$126,'SEP-2026'!$A$4:$ADY$124,MATCH('FY-(26-27)Q2'!$K$2:$L$2,'SEP-2026'!$A$2:$DZ$2,0),0),0)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IFERROR(VLOOKUP($A$3:$A$126,'SEP-2026'!$A$4:$ADY$124,MATCH('FY-(26-27)Q2'!$K$2:$L$2,'SEP-2026'!$A$2:$DZ$2,0),0),0)</f>
        <v>-66601</v>
      </c>
      <c r="L48" s="155">
        <f>IFERROR(VLOOKUP($A$3:$A$126,'SEP-2026'!$A$4:$ADY$124,MATCH('FY-(26-27)Q2'!$K$2:$L$2,'SEP-2026'!$A$2:$DZ$2,0),0),0)</f>
        <v>-6.6600999999999999</v>
      </c>
      <c r="M48" s="71">
        <f t="shared" ref="M48" si="15">G48+I48+K48</f>
        <v>-83533</v>
      </c>
      <c r="N48" s="166">
        <f t="shared" ref="N48" si="16">H48+J48+L48</f>
        <v>-8.3533000000000008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IFERROR(VLOOKUP($A$3:$A$126,'SEP-2026'!$A$4:$ADY$124,MATCH('FY-(26-27)Q2'!$K$2:$L$2,'SEP-2026'!$A$2:$DZ$2,0),0),0)</f>
        <v>-27605</v>
      </c>
      <c r="L49" s="155">
        <f>IFERROR(VLOOKUP($A$3:$A$126,'SEP-2026'!$A$4:$ADY$124,MATCH('FY-(26-27)Q2'!$K$2:$L$2,'SEP-2026'!$A$2:$DZ$2,0),0),0)</f>
        <v>-0.55210000000000004</v>
      </c>
      <c r="M49" s="71">
        <f t="shared" si="0"/>
        <v>6723</v>
      </c>
      <c r="N49" s="166">
        <f t="shared" si="0"/>
        <v>-0.18614000000000003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IFERROR(VLOOKUP($A$3:$A$126,'SEP-2026'!$A$4:$ADY$124,MATCH('FY-(26-27)Q2'!$K$2:$L$2,'SEP-2026'!$A$2:$DZ$2,0),0),0)</f>
        <v>-220922</v>
      </c>
      <c r="L50" s="155">
        <f>IFERROR(VLOOKUP($A$3:$A$126,'SEP-2026'!$A$4:$ADY$124,MATCH('FY-(26-27)Q2'!$K$2:$L$2,'SEP-2026'!$A$2:$DZ$2,0),0),0)</f>
        <v>-2.2092200000000002</v>
      </c>
      <c r="M50" s="71">
        <f t="shared" si="0"/>
        <v>666452</v>
      </c>
      <c r="N50" s="166">
        <f t="shared" si="0"/>
        <v>6.6645199999999996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IFERROR(VLOOKUP($A$3:$A$126,'SEP-2026'!$A$4:$ADY$124,MATCH('FY-(26-27)Q2'!$K$2:$L$2,'SEP-2026'!$A$2:$DZ$2,0),0),0)</f>
        <v>10049</v>
      </c>
      <c r="L51" s="155">
        <f>IFERROR(VLOOKUP($A$3:$A$126,'SEP-2026'!$A$4:$ADY$124,MATCH('FY-(26-27)Q2'!$K$2:$L$2,'SEP-2026'!$A$2:$DZ$2,0),0),0)</f>
        <v>1.0048999999999999</v>
      </c>
      <c r="M51" s="71">
        <f t="shared" ref="M51" si="17">G51+I51+K51</f>
        <v>6503</v>
      </c>
      <c r="N51" s="166">
        <f t="shared" ref="N51" si="18">H51+J51+L51</f>
        <v>0.65029999999999988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IFERROR(VLOOKUP($A$3:$A$126,'SEP-2026'!$A$4:$ADY$124,MATCH('FY-(26-27)Q2'!$K$2:$L$2,'SEP-2026'!$A$2:$DZ$2,0),0),0)</f>
        <v>262022</v>
      </c>
      <c r="L52" s="155">
        <f>IFERROR(VLOOKUP($A$3:$A$126,'SEP-2026'!$A$4:$ADY$124,MATCH('FY-(26-27)Q2'!$K$2:$L$2,'SEP-2026'!$A$2:$DZ$2,0),0),0)</f>
        <v>0.87340666666666678</v>
      </c>
      <c r="M52" s="71">
        <f t="shared" si="0"/>
        <v>253289</v>
      </c>
      <c r="N52" s="166">
        <f t="shared" si="0"/>
        <v>0.84429666666666681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IFERROR(VLOOKUP($A$3:$A$126,'SEP-2026'!$A$4:$ADY$124,MATCH('FY-(26-27)Q2'!$K$2:$L$2,'SEP-2026'!$A$2:$DZ$2,0),0),0)</f>
        <v>0</v>
      </c>
      <c r="L53" s="155">
        <f>IFERROR(VLOOKUP($A$3:$A$126,'SEP-2026'!$A$4:$ADY$124,MATCH('FY-(26-27)Q2'!$K$2:$L$2,'SEP-2026'!$A$2:$DZ$2,0),0),0)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IFERROR(VLOOKUP($A$3:$A$126,'SEP-2026'!$A$4:$ADY$124,MATCH('FY-(26-27)Q2'!$K$2:$L$2,'SEP-2026'!$A$2:$DZ$2,0),0),0)</f>
        <v>-228129</v>
      </c>
      <c r="L54" s="155">
        <f>IFERROR(VLOOKUP($A$3:$A$126,'SEP-2026'!$A$4:$ADY$124,MATCH('FY-(26-27)Q2'!$K$2:$L$2,'SEP-2026'!$A$2:$DZ$2,0),0),0)</f>
        <v>-0.57032249999999995</v>
      </c>
      <c r="M54" s="71">
        <f t="shared" si="0"/>
        <v>247073</v>
      </c>
      <c r="N54" s="166">
        <f t="shared" si="0"/>
        <v>0.61768250000000002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IFERROR(VLOOKUP($A$3:$A$126,'SEP-2026'!$A$4:$ADY$124,MATCH('FY-(26-27)Q2'!$K$2:$L$2,'SEP-2026'!$A$2:$DZ$2,0),0),0)</f>
        <v>-76805</v>
      </c>
      <c r="L55" s="155">
        <f>IFERROR(VLOOKUP($A$3:$A$126,'SEP-2026'!$A$4:$ADY$124,MATCH('FY-(26-27)Q2'!$K$2:$L$2,'SEP-2026'!$A$2:$DZ$2,0),0),0)</f>
        <v>-0.1920125</v>
      </c>
      <c r="M55" s="71">
        <f t="shared" si="0"/>
        <v>265469</v>
      </c>
      <c r="N55" s="166">
        <f t="shared" si="0"/>
        <v>0.66367249999999989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IFERROR(VLOOKUP($A$3:$A$126,'SEP-2026'!$A$4:$ADY$124,MATCH('FY-(26-27)Q2'!$K$2:$L$2,'SEP-2026'!$A$2:$DZ$2,0),0),0)</f>
        <v>405375</v>
      </c>
      <c r="L56" s="155">
        <f>IFERROR(VLOOKUP($A$3:$A$126,'SEP-2026'!$A$4:$ADY$124,MATCH('FY-(26-27)Q2'!$K$2:$L$2,'SEP-2026'!$A$2:$DZ$2,0),0),0)</f>
        <v>0.40537499999999999</v>
      </c>
      <c r="M56" s="71">
        <f t="shared" ref="M56" si="21">G56+I56+K56</f>
        <v>-629705</v>
      </c>
      <c r="N56" s="166">
        <f t="shared" ref="N56" si="22">H56+J56+L56</f>
        <v>-0.62980499999999995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IFERROR(VLOOKUP($A$3:$A$126,'SEP-2026'!$A$4:$ADY$124,MATCH('FY-(26-27)Q2'!$K$2:$L$2,'SEP-2026'!$A$2:$DZ$2,0),0),0)</f>
        <v>0</v>
      </c>
      <c r="L57" s="155">
        <f>IFERROR(VLOOKUP($A$3:$A$126,'SEP-2026'!$A$4:$ADY$124,MATCH('FY-(26-27)Q2'!$K$2:$L$2,'SEP-2026'!$A$2:$DZ$2,0),0),0)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IFERROR(VLOOKUP($A$3:$A$126,'SEP-2026'!$A$4:$ADY$124,MATCH('FY-(26-27)Q2'!$K$2:$L$2,'SEP-2026'!$A$2:$DZ$2,0),0),0)</f>
        <v>28572</v>
      </c>
      <c r="L58" s="155">
        <f>IFERROR(VLOOKUP($A$3:$A$126,'SEP-2026'!$A$4:$ADY$124,MATCH('FY-(26-27)Q2'!$K$2:$L$2,'SEP-2026'!$A$2:$DZ$2,0),0),0)</f>
        <v>0.57143999999999995</v>
      </c>
      <c r="M58" s="71">
        <f t="shared" si="0"/>
        <v>-5723</v>
      </c>
      <c r="N58" s="166">
        <f t="shared" si="0"/>
        <v>-0.11446000000000001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IFERROR(VLOOKUP($A$3:$A$126,'SEP-2026'!$A$4:$ADY$124,MATCH('FY-(26-27)Q2'!$K$2:$L$2,'SEP-2026'!$A$2:$DZ$2,0),0),0)</f>
        <v>-581873</v>
      </c>
      <c r="L59" s="155">
        <f>IFERROR(VLOOKUP($A$3:$A$126,'SEP-2026'!$A$4:$ADY$124,MATCH('FY-(26-27)Q2'!$K$2:$L$2,'SEP-2026'!$A$2:$DZ$2,0),0),0)</f>
        <v>-0.89518923076923085</v>
      </c>
      <c r="M59" s="71">
        <f t="shared" si="0"/>
        <v>362071</v>
      </c>
      <c r="N59" s="166">
        <f t="shared" si="0"/>
        <v>1.4004217307692308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IFERROR(VLOOKUP($A$3:$A$126,'SEP-2026'!$A$4:$ADY$124,MATCH('FY-(26-27)Q2'!$K$2:$L$2,'SEP-2026'!$A$2:$DZ$2,0),0),0)</f>
        <v>-158276</v>
      </c>
      <c r="L60" s="155">
        <f>IFERROR(VLOOKUP($A$3:$A$126,'SEP-2026'!$A$4:$ADY$124,MATCH('FY-(26-27)Q2'!$K$2:$L$2,'SEP-2026'!$A$2:$DZ$2,0),0),0)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IFERROR(VLOOKUP($A$3:$A$126,'SEP-2026'!$A$4:$ADY$124,MATCH('FY-(26-27)Q2'!$K$2:$L$2,'SEP-2026'!$A$2:$DZ$2,0),0),0)</f>
        <v>-217350</v>
      </c>
      <c r="L61" s="155">
        <f>IFERROR(VLOOKUP($A$3:$A$126,'SEP-2026'!$A$4:$ADY$124,MATCH('FY-(26-27)Q2'!$K$2:$L$2,'SEP-2026'!$A$2:$DZ$2,0),0),0)</f>
        <v>-0.72450000000000003</v>
      </c>
      <c r="M61" s="71">
        <f t="shared" si="0"/>
        <v>486723</v>
      </c>
      <c r="N61" s="166">
        <f t="shared" si="0"/>
        <v>1.6224100000000004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IFERROR(VLOOKUP($A$3:$A$126,'SEP-2026'!$A$4:$ADY$124,MATCH('FY-(26-27)Q2'!$K$2:$L$2,'SEP-2026'!$A$2:$DZ$2,0),0),0)</f>
        <v>0</v>
      </c>
      <c r="L62" s="155">
        <f>IFERROR(VLOOKUP($A$3:$A$126,'SEP-2026'!$A$4:$ADY$124,MATCH('FY-(26-27)Q2'!$K$2:$L$2,'SEP-2026'!$A$2:$DZ$2,0),0),0)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IFERROR(VLOOKUP($A$3:$A$126,'SEP-2026'!$A$4:$ADY$124,MATCH('FY-(26-27)Q2'!$K$2:$L$2,'SEP-2026'!$A$2:$DZ$2,0),0),0)</f>
        <v>11400</v>
      </c>
      <c r="L63" s="155">
        <f>IFERROR(VLOOKUP($A$3:$A$126,'SEP-2026'!$A$4:$ADY$124,MATCH('FY-(26-27)Q2'!$K$2:$L$2,'SEP-2026'!$A$2:$DZ$2,0),0),0)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IFERROR(VLOOKUP($A$3:$A$126,'SEP-2026'!$A$4:$ADY$124,MATCH('FY-(26-27)Q2'!$K$2:$L$2,'SEP-2026'!$A$2:$DZ$2,0),0),0)</f>
        <v>68883</v>
      </c>
      <c r="L64" s="155">
        <f>IFERROR(VLOOKUP($A$3:$A$126,'SEP-2026'!$A$4:$ADY$124,MATCH('FY-(26-27)Q2'!$K$2:$L$2,'SEP-2026'!$A$2:$DZ$2,0),0),0)</f>
        <v>0.137766</v>
      </c>
      <c r="M64" s="71">
        <f t="shared" ref="M64" si="27">G64+I64+K64</f>
        <v>558288</v>
      </c>
      <c r="N64" s="166">
        <f t="shared" ref="N64" si="28">H64+J64+L64</f>
        <v>1.116576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-5673893</v>
      </c>
      <c r="J65" s="100"/>
      <c r="K65" s="109">
        <f>SUM(K4:K62)</f>
        <v>-5146414</v>
      </c>
      <c r="L65" s="109"/>
      <c r="M65" s="154">
        <f>SUM(M4:M62)</f>
        <v>6604633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IFERROR(VLOOKUP($A$3:$A$126,'SEP-2026'!$A$4:$ADY$124,MATCH('FY-(26-27)Q2'!$K$2:$L$2,'SEP-2026'!$A$2:$DZ$2,0),0),0)</f>
        <v>-820665</v>
      </c>
      <c r="L69" s="155">
        <f>IFERROR(VLOOKUP($A$3:$A$126,'SEP-2026'!$A$4:$ADY$124,MATCH('FY-(26-27)Q2'!$K$2:$L$2,'SEP-2026'!$A$2:$DZ$2,0),0),0)</f>
        <v>-2.7355499999999999</v>
      </c>
      <c r="M69" s="153">
        <f t="shared" ref="M69:N69" si="29">G69+I69+K69</f>
        <v>-134155</v>
      </c>
      <c r="N69" s="167">
        <f t="shared" si="29"/>
        <v>-0.44718333333333282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IFERROR(VLOOKUP($A$3:$A$126,'SEP-2026'!$A$4:$ADY$124,MATCH('FY-(26-27)Q2'!$K$2:$L$2,'SEP-2026'!$A$2:$DZ$2,0),0),0)</f>
        <v>87266</v>
      </c>
      <c r="L70" s="155">
        <f>IFERROR(VLOOKUP($A$3:$A$126,'SEP-2026'!$A$4:$ADY$124,MATCH('FY-(26-27)Q2'!$K$2:$L$2,'SEP-2026'!$A$2:$DZ$2,0),0),0)</f>
        <v>0</v>
      </c>
      <c r="M70" s="153">
        <f t="shared" ref="M70" si="30">G70+I70+K70</f>
        <v>1256151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-733399</v>
      </c>
      <c r="L71" s="113"/>
      <c r="M71" s="93">
        <f>SUM(M69:M70)</f>
        <v>1121996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2" priority="229">
      <formula>MOD(ROW(),2)=0</formula>
    </cfRule>
  </conditionalFormatting>
  <conditionalFormatting sqref="G2:I3">
    <cfRule type="expression" dxfId="391" priority="228">
      <formula>MOD(ROW(),2)=0</formula>
    </cfRule>
  </conditionalFormatting>
  <conditionalFormatting sqref="J2:J3">
    <cfRule type="expression" dxfId="390" priority="227">
      <formula>MOD(ROW(),2)=0</formula>
    </cfRule>
  </conditionalFormatting>
  <conditionalFormatting sqref="K2:K3">
    <cfRule type="expression" dxfId="389" priority="226">
      <formula>MOD(ROW(),2)=0</formula>
    </cfRule>
  </conditionalFormatting>
  <conditionalFormatting sqref="A42:C42 E42 A43">
    <cfRule type="expression" dxfId="388" priority="222">
      <formula>MOD(ROW(),2)=0</formula>
    </cfRule>
  </conditionalFormatting>
  <conditionalFormatting sqref="E45">
    <cfRule type="expression" dxfId="387" priority="220">
      <formula>MOD(ROW(),2)=0</formula>
    </cfRule>
  </conditionalFormatting>
  <conditionalFormatting sqref="A20:F20">
    <cfRule type="expression" dxfId="386" priority="218">
      <formula>MOD(ROW(),2)=0</formula>
    </cfRule>
  </conditionalFormatting>
  <conditionalFormatting sqref="A47:C47 E47:F47">
    <cfRule type="expression" dxfId="385" priority="212">
      <formula>MOD(ROW(),2)=0</formula>
    </cfRule>
  </conditionalFormatting>
  <conditionalFormatting sqref="M25:N25">
    <cfRule type="expression" dxfId="384" priority="202">
      <formula>MOD(ROW(),2)=0</formula>
    </cfRule>
  </conditionalFormatting>
  <conditionalFormatting sqref="A12:C12 E12:F12">
    <cfRule type="expression" dxfId="383" priority="207">
      <formula>MOD(ROW(),2)=0</formula>
    </cfRule>
  </conditionalFormatting>
  <conditionalFormatting sqref="N25">
    <cfRule type="expression" dxfId="382" priority="203">
      <formula>MOD(ROW(),2)=0</formula>
    </cfRule>
  </conditionalFormatting>
  <conditionalFormatting sqref="M12:N12">
    <cfRule type="expression" dxfId="381" priority="188">
      <formula>MOD(ROW(),2)=0</formula>
    </cfRule>
  </conditionalFormatting>
  <conditionalFormatting sqref="B23:C23 E23:F23">
    <cfRule type="expression" dxfId="380" priority="183">
      <formula>MOD(ROW(),2)=0</formula>
    </cfRule>
  </conditionalFormatting>
  <conditionalFormatting sqref="N12">
    <cfRule type="expression" dxfId="379" priority="189">
      <formula>MOD(ROW(),2)=0</formula>
    </cfRule>
  </conditionalFormatting>
  <conditionalFormatting sqref="A8:C8 E8:F8 A9:F9 A10:B10 D10:F10">
    <cfRule type="expression" dxfId="378" priority="174">
      <formula>MOD(ROW(),2)=0</formula>
    </cfRule>
  </conditionalFormatting>
  <conditionalFormatting sqref="N8:N9">
    <cfRule type="expression" dxfId="377" priority="172">
      <formula>MOD(ROW(),2)=0</formula>
    </cfRule>
  </conditionalFormatting>
  <conditionalFormatting sqref="M8:N9">
    <cfRule type="expression" dxfId="376" priority="171">
      <formula>MOD(ROW(),2)=0</formula>
    </cfRule>
  </conditionalFormatting>
  <conditionalFormatting sqref="A37:C37 E37:F37">
    <cfRule type="expression" dxfId="375" priority="166">
      <formula>MOD(ROW(),2)=0</formula>
    </cfRule>
  </conditionalFormatting>
  <conditionalFormatting sqref="M37:N37">
    <cfRule type="expression" dxfId="374" priority="162">
      <formula>MOD(ROW(),2)=0</formula>
    </cfRule>
  </conditionalFormatting>
  <conditionalFormatting sqref="N37">
    <cfRule type="expression" dxfId="373" priority="163">
      <formula>MOD(ROW(),2)=0</formula>
    </cfRule>
  </conditionalFormatting>
  <conditionalFormatting sqref="A49:C49 E49:F49">
    <cfRule type="expression" dxfId="372" priority="157">
      <formula>MOD(ROW(),2)=0</formula>
    </cfRule>
  </conditionalFormatting>
  <conditionalFormatting sqref="N23">
    <cfRule type="expression" dxfId="371" priority="143">
      <formula>MOD(ROW(),2)=0</formula>
    </cfRule>
  </conditionalFormatting>
  <conditionalFormatting sqref="M23:N23">
    <cfRule type="expression" dxfId="370" priority="142">
      <formula>MOD(ROW(),2)=0</formula>
    </cfRule>
  </conditionalFormatting>
  <conditionalFormatting sqref="A58:C58 E58:F58">
    <cfRule type="expression" dxfId="369" priority="132">
      <formula>MOD(ROW(),2)=0</formula>
    </cfRule>
  </conditionalFormatting>
  <conditionalFormatting sqref="L67:L68">
    <cfRule type="expression" dxfId="368" priority="126">
      <formula>MOD(ROW(),2)=0</formula>
    </cfRule>
  </conditionalFormatting>
  <conditionalFormatting sqref="G67:I68">
    <cfRule type="expression" dxfId="367" priority="125">
      <formula>MOD(ROW(),2)=0</formula>
    </cfRule>
  </conditionalFormatting>
  <conditionalFormatting sqref="J67:J68">
    <cfRule type="expression" dxfId="366" priority="124">
      <formula>MOD(ROW(),2)=0</formula>
    </cfRule>
  </conditionalFormatting>
  <conditionalFormatting sqref="K67:K68">
    <cfRule type="expression" dxfId="365" priority="123">
      <formula>MOD(ROW(),2)=0</formula>
    </cfRule>
  </conditionalFormatting>
  <conditionalFormatting sqref="A30:F30">
    <cfRule type="expression" dxfId="364" priority="122">
      <formula>MOD(ROW(),2)=0</formula>
    </cfRule>
  </conditionalFormatting>
  <conditionalFormatting sqref="A31:F31">
    <cfRule type="expression" dxfId="363" priority="121">
      <formula>MOD(ROW(),2)=0</formula>
    </cfRule>
  </conditionalFormatting>
  <conditionalFormatting sqref="A33:F33">
    <cfRule type="expression" dxfId="362" priority="120">
      <formula>MOD(ROW(),2)=0</formula>
    </cfRule>
  </conditionalFormatting>
  <conditionalFormatting sqref="D11:E11">
    <cfRule type="expression" dxfId="361" priority="109">
      <formula>MOD(ROW(),2)=0</formula>
    </cfRule>
  </conditionalFormatting>
  <conditionalFormatting sqref="A59:C60 E59:E60">
    <cfRule type="expression" dxfId="360" priority="105">
      <formula>MOD(ROW(),2)=0</formula>
    </cfRule>
  </conditionalFormatting>
  <conditionalFormatting sqref="M59:N60">
    <cfRule type="expression" dxfId="359" priority="104">
      <formula>MOD(ROW(),2)=0</formula>
    </cfRule>
  </conditionalFormatting>
  <conditionalFormatting sqref="A46:C46 E46:F46">
    <cfRule type="expression" dxfId="358" priority="101">
      <formula>MOD(ROW(),2)=0</formula>
    </cfRule>
  </conditionalFormatting>
  <conditionalFormatting sqref="A54:B54">
    <cfRule type="expression" dxfId="357" priority="97">
      <formula>MOD(ROW(),2)=0</formula>
    </cfRule>
  </conditionalFormatting>
  <conditionalFormatting sqref="A4:C4 E4:F4">
    <cfRule type="expression" dxfId="356" priority="92">
      <formula>MOD(ROW(),2)=0</formula>
    </cfRule>
  </conditionalFormatting>
  <conditionalFormatting sqref="M4:N4">
    <cfRule type="expression" dxfId="355" priority="91">
      <formula>MOD(ROW(),2)=0</formula>
    </cfRule>
  </conditionalFormatting>
  <conditionalFormatting sqref="M4:N4">
    <cfRule type="expression" dxfId="354" priority="88">
      <formula>MOD(ROW(),2)=0</formula>
    </cfRule>
  </conditionalFormatting>
  <conditionalFormatting sqref="N4">
    <cfRule type="expression" dxfId="353" priority="89">
      <formula>MOD(ROW(),2)=0</formula>
    </cfRule>
  </conditionalFormatting>
  <conditionalFormatting sqref="A44:C44 E44:F44">
    <cfRule type="expression" dxfId="352" priority="83">
      <formula>MOD(ROW(),2)=0</formula>
    </cfRule>
  </conditionalFormatting>
  <conditionalFormatting sqref="A69:F69 F70">
    <cfRule type="expression" dxfId="351" priority="82">
      <formula>MOD(ROW(),2)=0</formula>
    </cfRule>
  </conditionalFormatting>
  <conditionalFormatting sqref="A13:F13">
    <cfRule type="expression" dxfId="350" priority="74">
      <formula>MOD(ROW(),2)=0</formula>
    </cfRule>
  </conditionalFormatting>
  <conditionalFormatting sqref="M13:N13">
    <cfRule type="expression" dxfId="349" priority="73">
      <formula>MOD(ROW(),2)=0</formula>
    </cfRule>
  </conditionalFormatting>
  <conditionalFormatting sqref="M13:N13">
    <cfRule type="expression" dxfId="348" priority="70">
      <formula>MOD(ROW(),2)=0</formula>
    </cfRule>
  </conditionalFormatting>
  <conditionalFormatting sqref="N13">
    <cfRule type="expression" dxfId="347" priority="71">
      <formula>MOD(ROW(),2)=0</formula>
    </cfRule>
  </conditionalFormatting>
  <conditionalFormatting sqref="F54">
    <cfRule type="expression" dxfId="346" priority="63">
      <formula>MOD(ROW(),2)=0</formula>
    </cfRule>
  </conditionalFormatting>
  <conditionalFormatting sqref="D54:E54">
    <cfRule type="expression" dxfId="345" priority="62">
      <formula>MOD(ROW(),2)=0</formula>
    </cfRule>
  </conditionalFormatting>
  <conditionalFormatting sqref="D8">
    <cfRule type="expression" dxfId="344" priority="61">
      <formula>MOD(ROW(),2)=0</formula>
    </cfRule>
  </conditionalFormatting>
  <conditionalFormatting sqref="D4">
    <cfRule type="expression" dxfId="343" priority="60">
      <formula>MOD(ROW(),2)=0</formula>
    </cfRule>
  </conditionalFormatting>
  <conditionalFormatting sqref="D12">
    <cfRule type="expression" dxfId="342" priority="59">
      <formula>MOD(ROW(),2)=0</formula>
    </cfRule>
  </conditionalFormatting>
  <conditionalFormatting sqref="D23">
    <cfRule type="expression" dxfId="341" priority="58">
      <formula>MOD(ROW(),2)=0</formula>
    </cfRule>
  </conditionalFormatting>
  <conditionalFormatting sqref="D59:D60">
    <cfRule type="expression" dxfId="340" priority="47">
      <formula>MOD(ROW(),2)=0</formula>
    </cfRule>
  </conditionalFormatting>
  <conditionalFormatting sqref="D37">
    <cfRule type="expression" dxfId="339" priority="57">
      <formula>MOD(ROW(),2)=0</formula>
    </cfRule>
  </conditionalFormatting>
  <conditionalFormatting sqref="D42 D44">
    <cfRule type="expression" dxfId="338" priority="56">
      <formula>MOD(ROW(),2)=0</formula>
    </cfRule>
  </conditionalFormatting>
  <conditionalFormatting sqref="D41">
    <cfRule type="expression" dxfId="337" priority="55">
      <formula>MOD(ROW(),2)=0</formula>
    </cfRule>
  </conditionalFormatting>
  <conditionalFormatting sqref="D45">
    <cfRule type="expression" dxfId="336" priority="54">
      <formula>MOD(ROW(),2)=0</formula>
    </cfRule>
  </conditionalFormatting>
  <conditionalFormatting sqref="D46">
    <cfRule type="expression" dxfId="335" priority="53">
      <formula>MOD(ROW(),2)=0</formula>
    </cfRule>
  </conditionalFormatting>
  <conditionalFormatting sqref="D47">
    <cfRule type="expression" dxfId="334" priority="52">
      <formula>MOD(ROW(),2)=0</formula>
    </cfRule>
  </conditionalFormatting>
  <conditionalFormatting sqref="D49">
    <cfRule type="expression" dxfId="333" priority="51">
      <formula>MOD(ROW(),2)=0</formula>
    </cfRule>
  </conditionalFormatting>
  <conditionalFormatting sqref="D61">
    <cfRule type="expression" dxfId="332" priority="50">
      <formula>MOD(ROW(),2)=0</formula>
    </cfRule>
  </conditionalFormatting>
  <conditionalFormatting sqref="D58">
    <cfRule type="expression" dxfId="331" priority="48">
      <formula>MOD(ROW(),2)=0</formula>
    </cfRule>
  </conditionalFormatting>
  <conditionalFormatting sqref="A24:F24">
    <cfRule type="expression" dxfId="330" priority="46">
      <formula>MOD(ROW(),2)=0</formula>
    </cfRule>
  </conditionalFormatting>
  <conditionalFormatting sqref="M24:N24">
    <cfRule type="expression" dxfId="329" priority="45">
      <formula>MOD(ROW(),2)=0</formula>
    </cfRule>
  </conditionalFormatting>
  <conditionalFormatting sqref="N24">
    <cfRule type="expression" dxfId="328" priority="42">
      <formula>MOD(ROW(),2)=0</formula>
    </cfRule>
  </conditionalFormatting>
  <conditionalFormatting sqref="M24:N24">
    <cfRule type="expression" dxfId="327" priority="41">
      <formula>MOD(ROW(),2)=0</formula>
    </cfRule>
  </conditionalFormatting>
  <conditionalFormatting sqref="A64:F64">
    <cfRule type="expression" dxfId="326" priority="34">
      <formula>MOD(ROW(),2)=0</formula>
    </cfRule>
  </conditionalFormatting>
  <conditionalFormatting sqref="G64:H64 M64:N64">
    <cfRule type="expression" dxfId="325" priority="33">
      <formula>MOD(ROW(),2)=0</formula>
    </cfRule>
  </conditionalFormatting>
  <conditionalFormatting sqref="A53:B53">
    <cfRule type="expression" dxfId="324" priority="32">
      <formula>MOD(ROW(),2)=0</formula>
    </cfRule>
  </conditionalFormatting>
  <conditionalFormatting sqref="G53:H53 M53:N53">
    <cfRule type="expression" dxfId="323" priority="31">
      <formula>MOD(ROW(),2)=0</formula>
    </cfRule>
  </conditionalFormatting>
  <conditionalFormatting sqref="A40:F40">
    <cfRule type="expression" dxfId="322" priority="30">
      <formula>MOD(ROW(),2)=0</formula>
    </cfRule>
  </conditionalFormatting>
  <conditionalFormatting sqref="G40:H40 M40:N40">
    <cfRule type="expression" dxfId="321" priority="29">
      <formula>MOD(ROW(),2)=0</formula>
    </cfRule>
  </conditionalFormatting>
  <conditionalFormatting sqref="A48:F48">
    <cfRule type="expression" dxfId="320" priority="28">
      <formula>MOD(ROW(),2)=0</formula>
    </cfRule>
  </conditionalFormatting>
  <conditionalFormatting sqref="A17:F17">
    <cfRule type="expression" dxfId="319" priority="27">
      <formula>MOD(ROW(),2)=0</formula>
    </cfRule>
  </conditionalFormatting>
  <conditionalFormatting sqref="G17:H17 M17:N17">
    <cfRule type="expression" dxfId="318" priority="26">
      <formula>MOD(ROW(),2)=0</formula>
    </cfRule>
  </conditionalFormatting>
  <conditionalFormatting sqref="B22:F22 C21:F21">
    <cfRule type="expression" dxfId="317" priority="25">
      <formula>MOD(ROW(),2)=0</formula>
    </cfRule>
  </conditionalFormatting>
  <conditionalFormatting sqref="G21:H22 M21:N22">
    <cfRule type="expression" dxfId="316" priority="24">
      <formula>MOD(ROW(),2)=0</formula>
    </cfRule>
  </conditionalFormatting>
  <conditionalFormatting sqref="G27:H27 M27:N27">
    <cfRule type="expression" dxfId="315" priority="20">
      <formula>MOD(ROW(),2)=0</formula>
    </cfRule>
  </conditionalFormatting>
  <conditionalFormatting sqref="A27:F27">
    <cfRule type="expression" dxfId="314" priority="23">
      <formula>MOD(ROW(),2)=0</formula>
    </cfRule>
  </conditionalFormatting>
  <conditionalFormatting sqref="A51:F51">
    <cfRule type="expression" dxfId="313" priority="22">
      <formula>MOD(ROW(),2)=0</formula>
    </cfRule>
  </conditionalFormatting>
  <conditionalFormatting sqref="A63:F63">
    <cfRule type="expression" dxfId="312" priority="21">
      <formula>MOD(ROW(),2)=0</formula>
    </cfRule>
  </conditionalFormatting>
  <conditionalFormatting sqref="A70:E70">
    <cfRule type="expression" dxfId="311" priority="19">
      <formula>MOD(ROW(),2)=0</formula>
    </cfRule>
  </conditionalFormatting>
  <conditionalFormatting sqref="A56:E56 A57">
    <cfRule type="expression" dxfId="310" priority="17">
      <formula>MOD(ROW(),2)=0</formula>
    </cfRule>
  </conditionalFormatting>
  <conditionalFormatting sqref="A6:F7">
    <cfRule type="expression" dxfId="309" priority="16">
      <formula>MOD(ROW(),2)=0</formula>
    </cfRule>
  </conditionalFormatting>
  <conditionalFormatting sqref="G6:J7">
    <cfRule type="expression" dxfId="308" priority="15">
      <formula>MOD(ROW(),2)=0</formula>
    </cfRule>
  </conditionalFormatting>
  <conditionalFormatting sqref="B57:E57">
    <cfRule type="expression" dxfId="307" priority="14">
      <formula>MOD(ROW(),2)=0</formula>
    </cfRule>
  </conditionalFormatting>
  <conditionalFormatting sqref="B5">
    <cfRule type="expression" dxfId="306" priority="13">
      <formula>MOD(ROW(),2)=0</formula>
    </cfRule>
  </conditionalFormatting>
  <conditionalFormatting sqref="C10">
    <cfRule type="expression" dxfId="305" priority="12">
      <formula>MOD(ROW(),2)=0</formula>
    </cfRule>
  </conditionalFormatting>
  <conditionalFormatting sqref="G10:J10 M10:N10">
    <cfRule type="expression" dxfId="304" priority="11">
      <formula>MOD(ROW(),2)=0</formula>
    </cfRule>
  </conditionalFormatting>
  <conditionalFormatting sqref="N10">
    <cfRule type="expression" dxfId="303" priority="10">
      <formula>MOD(ROW(),2)=0</formula>
    </cfRule>
  </conditionalFormatting>
  <conditionalFormatting sqref="M10:N10">
    <cfRule type="expression" dxfId="302" priority="9">
      <formula>MOD(ROW(),2)=0</formula>
    </cfRule>
  </conditionalFormatting>
  <conditionalFormatting sqref="B43">
    <cfRule type="expression" dxfId="301" priority="8">
      <formula>MOD(ROW(),2)=0</formula>
    </cfRule>
  </conditionalFormatting>
  <conditionalFormatting sqref="C43">
    <cfRule type="expression" dxfId="300" priority="7">
      <formula>MOD(ROW(),2)=0</formula>
    </cfRule>
  </conditionalFormatting>
  <conditionalFormatting sqref="D43:E43">
    <cfRule type="expression" dxfId="299" priority="6">
      <formula>MOD(ROW(),2)=0</formula>
    </cfRule>
  </conditionalFormatting>
  <conditionalFormatting sqref="G43:J43 M43:N43">
    <cfRule type="expression" dxfId="298" priority="5">
      <formula>MOD(ROW(),2)=0</formula>
    </cfRule>
  </conditionalFormatting>
  <conditionalFormatting sqref="B21">
    <cfRule type="expression" dxfId="297" priority="4">
      <formula>MOD(ROW(),2)=0</formula>
    </cfRule>
  </conditionalFormatting>
  <conditionalFormatting sqref="A21:A22">
    <cfRule type="expression" dxfId="296" priority="3">
      <formula>MOD(ROW(),2)=0</formula>
    </cfRule>
  </conditionalFormatting>
  <conditionalFormatting sqref="G57:J57 M57:N57">
    <cfRule type="expression" dxfId="295" priority="2">
      <formula>MOD(ROW(),2)=0</formula>
    </cfRule>
  </conditionalFormatting>
  <conditionalFormatting sqref="I69:L70">
    <cfRule type="expression" dxfId="294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3" priority="13">
      <formula>MOD(ROW(),2)=0</formula>
    </cfRule>
  </conditionalFormatting>
  <conditionalFormatting sqref="AE40">
    <cfRule type="expression" dxfId="292" priority="12">
      <formula>MOD(ROW(),2)=0</formula>
    </cfRule>
  </conditionalFormatting>
  <conditionalFormatting sqref="AE42">
    <cfRule type="expression" dxfId="291" priority="11">
      <formula>MOD(ROW(),2)=0</formula>
    </cfRule>
  </conditionalFormatting>
  <conditionalFormatting sqref="B48:B49">
    <cfRule type="expression" dxfId="290" priority="5">
      <formula>MOD(ROW(),2)=0</formula>
    </cfRule>
  </conditionalFormatting>
  <conditionalFormatting sqref="AD5:AE5">
    <cfRule type="expression" dxfId="289" priority="4">
      <formula>MOD(ROW(),2)=0</formula>
    </cfRule>
  </conditionalFormatting>
  <conditionalFormatting sqref="AD41">
    <cfRule type="expression" dxfId="288" priority="3">
      <formula>MOD(ROW(),2)=0</formula>
    </cfRule>
  </conditionalFormatting>
  <conditionalFormatting sqref="AE41">
    <cfRule type="expression" dxfId="287" priority="2">
      <formula>MOD(ROW(),2)=0</formula>
    </cfRule>
  </conditionalFormatting>
  <conditionalFormatting sqref="AD20:AE20">
    <cfRule type="expression" dxfId="286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5" priority="28">
      <formula>MOD(ROW(),2)=0</formula>
    </cfRule>
  </conditionalFormatting>
  <conditionalFormatting sqref="AC47">
    <cfRule type="expression" dxfId="284" priority="27">
      <formula>MOD(ROW(),2)=0</formula>
    </cfRule>
  </conditionalFormatting>
  <conditionalFormatting sqref="AC49">
    <cfRule type="expression" dxfId="283" priority="26">
      <formula>MOD(ROW(),2)=0</formula>
    </cfRule>
  </conditionalFormatting>
  <conditionalFormatting sqref="A30:C30 F30">
    <cfRule type="expression" dxfId="282" priority="25">
      <formula>MOD(ROW(),2)=0</formula>
    </cfRule>
  </conditionalFormatting>
  <conditionalFormatting sqref="A14:F14 A15:C15 E15:F15">
    <cfRule type="expression" dxfId="281" priority="23">
      <formula>MOD(ROW(),2)=0</formula>
    </cfRule>
  </conditionalFormatting>
  <conditionalFormatting sqref="D30:E30">
    <cfRule type="expression" dxfId="280" priority="22">
      <formula>MOD(ROW(),2)=0</formula>
    </cfRule>
  </conditionalFormatting>
  <conditionalFormatting sqref="A58:F58">
    <cfRule type="expression" dxfId="279" priority="20">
      <formula>MOD(ROW(),2)=0</formula>
    </cfRule>
  </conditionalFormatting>
  <conditionalFormatting sqref="B55:B56">
    <cfRule type="expression" dxfId="278" priority="19">
      <formula>MOD(ROW(),2)=0</formula>
    </cfRule>
  </conditionalFormatting>
  <conditionalFormatting sqref="AB6:AC6">
    <cfRule type="expression" dxfId="277" priority="15">
      <formula>MOD(ROW(),2)=0</formula>
    </cfRule>
  </conditionalFormatting>
  <conditionalFormatting sqref="AB48">
    <cfRule type="expression" dxfId="276" priority="14">
      <formula>MOD(ROW(),2)=0</formula>
    </cfRule>
  </conditionalFormatting>
  <conditionalFormatting sqref="AC48">
    <cfRule type="expression" dxfId="275" priority="13">
      <formula>MOD(ROW(),2)=0</formula>
    </cfRule>
  </conditionalFormatting>
  <conditionalFormatting sqref="D6">
    <cfRule type="expression" dxfId="274" priority="12">
      <formula>MOD(ROW(),2)=0</formula>
    </cfRule>
  </conditionalFormatting>
  <conditionalFormatting sqref="D9">
    <cfRule type="expression" dxfId="273" priority="11">
      <formula>MOD(ROW(),2)=0</formula>
    </cfRule>
  </conditionalFormatting>
  <conditionalFormatting sqref="D15">
    <cfRule type="expression" dxfId="272" priority="10">
      <formula>MOD(ROW(),2)=0</formula>
    </cfRule>
  </conditionalFormatting>
  <conditionalFormatting sqref="D28">
    <cfRule type="expression" dxfId="271" priority="9">
      <formula>MOD(ROW(),2)=0</formula>
    </cfRule>
  </conditionalFormatting>
  <conditionalFormatting sqref="D41">
    <cfRule type="expression" dxfId="270" priority="8">
      <formula>MOD(ROW(),2)=0</formula>
    </cfRule>
  </conditionalFormatting>
  <conditionalFormatting sqref="D46">
    <cfRule type="expression" dxfId="269" priority="7">
      <formula>MOD(ROW(),2)=0</formula>
    </cfRule>
  </conditionalFormatting>
  <conditionalFormatting sqref="D49">
    <cfRule type="expression" dxfId="268" priority="6">
      <formula>MOD(ROW(),2)=0</formula>
    </cfRule>
  </conditionalFormatting>
  <conditionalFormatting sqref="D60:D63">
    <cfRule type="expression" dxfId="267" priority="1">
      <formula>MOD(ROW(),2)=0</formula>
    </cfRule>
  </conditionalFormatting>
  <conditionalFormatting sqref="D50:D51">
    <cfRule type="expression" dxfId="266" priority="5">
      <formula>MOD(ROW(),2)=0</formula>
    </cfRule>
  </conditionalFormatting>
  <conditionalFormatting sqref="D52">
    <cfRule type="expression" dxfId="265" priority="4">
      <formula>MOD(ROW(),2)=0</formula>
    </cfRule>
  </conditionalFormatting>
  <conditionalFormatting sqref="D59">
    <cfRule type="expression" dxfId="264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3" priority="24">
      <formula>MOD(ROW(),2)=0</formula>
    </cfRule>
  </conditionalFormatting>
  <conditionalFormatting sqref="AC47">
    <cfRule type="expression" dxfId="262" priority="23">
      <formula>MOD(ROW(),2)=0</formula>
    </cfRule>
  </conditionalFormatting>
  <conditionalFormatting sqref="AC48">
    <cfRule type="expression" dxfId="261" priority="22">
      <formula>MOD(ROW(),2)=0</formula>
    </cfRule>
  </conditionalFormatting>
  <conditionalFormatting sqref="A29:C29 F29">
    <cfRule type="expression" dxfId="260" priority="21">
      <formula>MOD(ROW(),2)=0</formula>
    </cfRule>
  </conditionalFormatting>
  <conditionalFormatting sqref="AC59">
    <cfRule type="expression" dxfId="259" priority="20">
      <formula>MOD(ROW(),2)=0</formula>
    </cfRule>
  </conditionalFormatting>
  <conditionalFormatting sqref="A13:F13 A14:C14 E14:F14">
    <cfRule type="expression" dxfId="258" priority="19">
      <formula>MOD(ROW(),2)=0</formula>
    </cfRule>
  </conditionalFormatting>
  <conditionalFormatting sqref="D29:E29">
    <cfRule type="expression" dxfId="257" priority="18">
      <formula>MOD(ROW(),2)=0</formula>
    </cfRule>
  </conditionalFormatting>
  <conditionalFormatting sqref="A53:B53 F53">
    <cfRule type="expression" dxfId="256" priority="15">
      <formula>MOD(ROW(),2)=0</formula>
    </cfRule>
  </conditionalFormatting>
  <conditionalFormatting sqref="A57:F57">
    <cfRule type="expression" dxfId="255" priority="14">
      <formula>MOD(ROW(),2)=0</formula>
    </cfRule>
  </conditionalFormatting>
  <conditionalFormatting sqref="B54:B55">
    <cfRule type="expression" dxfId="254" priority="13">
      <formula>MOD(ROW(),2)=0</formula>
    </cfRule>
  </conditionalFormatting>
  <conditionalFormatting sqref="D53:E53 C54:E55">
    <cfRule type="expression" dxfId="253" priority="12">
      <formula>MOD(ROW(),2)=0</formula>
    </cfRule>
  </conditionalFormatting>
  <conditionalFormatting sqref="D58:D61">
    <cfRule type="expression" dxfId="252" priority="1">
      <formula>MOD(ROW(),2)=0</formula>
    </cfRule>
  </conditionalFormatting>
  <conditionalFormatting sqref="D8">
    <cfRule type="expression" dxfId="251" priority="10">
      <formula>MOD(ROW(),2)=0</formula>
    </cfRule>
  </conditionalFormatting>
  <conditionalFormatting sqref="D14">
    <cfRule type="expression" dxfId="250" priority="9">
      <formula>MOD(ROW(),2)=0</formula>
    </cfRule>
  </conditionalFormatting>
  <conditionalFormatting sqref="D27">
    <cfRule type="expression" dxfId="249" priority="8">
      <formula>MOD(ROW(),2)=0</formula>
    </cfRule>
  </conditionalFormatting>
  <conditionalFormatting sqref="D41">
    <cfRule type="expression" dxfId="248" priority="7">
      <formula>MOD(ROW(),2)=0</formula>
    </cfRule>
  </conditionalFormatting>
  <conditionalFormatting sqref="D47:D48">
    <cfRule type="expression" dxfId="247" priority="6">
      <formula>MOD(ROW(),2)=0</formula>
    </cfRule>
  </conditionalFormatting>
  <conditionalFormatting sqref="D46">
    <cfRule type="expression" dxfId="246" priority="5">
      <formula>MOD(ROW(),2)=0</formula>
    </cfRule>
  </conditionalFormatting>
  <conditionalFormatting sqref="D49">
    <cfRule type="expression" dxfId="245" priority="4">
      <formula>MOD(ROW(),2)=0</formula>
    </cfRule>
  </conditionalFormatting>
  <conditionalFormatting sqref="D50">
    <cfRule type="expression" dxfId="244" priority="3">
      <formula>MOD(ROW(),2)=0</formula>
    </cfRule>
  </conditionalFormatting>
  <conditionalFormatting sqref="D51">
    <cfRule type="expression" dxfId="243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-476456</v>
      </c>
      <c r="Q6" s="155">
        <f>IFERROR(VLOOKUP($A$3:$A$139,'FY-(26-27)Q2'!$A$4:$ABW$124,MATCH('FY-(26-27)Q1'!$P$2:$Q$2,'FY-(26-27)Q2'!$A$2:$BX$2,0),0),0)</f>
        <v>-9.5291199999999989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-524792</v>
      </c>
      <c r="Z6" s="168">
        <f t="shared" si="1"/>
        <v>-10.495839999999999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1808</v>
      </c>
      <c r="Q7" s="155">
        <f>IFERROR(VLOOKUP($A$3:$A$139,'FY-(26-27)Q2'!$A$4:$ABW$124,MATCH('FY-(26-27)Q1'!$P$2:$Q$2,'FY-(26-27)Q2'!$A$2:$BX$2,0),0),0)</f>
        <v>6.0266666666667357E-3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1336082</v>
      </c>
      <c r="Z7" s="168">
        <f t="shared" si="1"/>
        <v>4.4536066666666674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109355</v>
      </c>
      <c r="Q8" s="155">
        <f>IFERROR(VLOOKUP($A$3:$A$139,'FY-(26-27)Q2'!$A$4:$ABW$124,MATCH('FY-(26-27)Q1'!$P$2:$Q$2,'FY-(26-27)Q2'!$A$2:$BX$2,0),0),0)</f>
        <v>1.09355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-276072</v>
      </c>
      <c r="Z8" s="168">
        <f t="shared" si="1"/>
        <v>-2.7607200000000001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-414643</v>
      </c>
      <c r="Q10" s="155">
        <f>IFERROR(VLOOKUP($A$3:$A$139,'FY-(26-27)Q2'!$A$4:$ABW$124,MATCH('FY-(26-27)Q1'!$P$2:$Q$2,'FY-(26-27)Q2'!$A$2:$BX$2,0),0),0)</f>
        <v>-1.3821433333333335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-773552</v>
      </c>
      <c r="Z10" s="168">
        <f t="shared" si="1"/>
        <v>-4.0228233333333332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-263938</v>
      </c>
      <c r="Q11" s="155">
        <f>IFERROR(VLOOKUP($A$3:$A$139,'FY-(26-27)Q2'!$A$4:$ABW$124,MATCH('FY-(26-27)Q1'!$P$2:$Q$2,'FY-(26-27)Q2'!$A$2:$BX$2,0),0),0)</f>
        <v>-1.7595866666666671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-438900</v>
      </c>
      <c r="Z11" s="168">
        <f t="shared" si="1"/>
        <v>-2.9260000000000002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-159067</v>
      </c>
      <c r="Q12" s="155">
        <f>IFERROR(VLOOKUP($A$3:$A$139,'FY-(26-27)Q2'!$A$4:$ABW$124,MATCH('FY-(26-27)Q1'!$P$2:$Q$2,'FY-(26-27)Q2'!$A$2:$BX$2,0),0),0)</f>
        <v>-2.6511166666666668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-159067</v>
      </c>
      <c r="Z12" s="168">
        <f t="shared" ref="Z12" si="11">(N12+Q12+T12+W12)</f>
        <v>-2.6511166666666668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248043</v>
      </c>
      <c r="Q13" s="155">
        <f>IFERROR(VLOOKUP($A$3:$A$139,'FY-(26-27)Q2'!$A$4:$ABW$124,MATCH('FY-(26-27)Q1'!$P$2:$Q$2,'FY-(26-27)Q2'!$A$2:$BX$2,0),0),0)</f>
        <v>0.16536200000000012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-1120156</v>
      </c>
      <c r="Z13" s="168">
        <f t="shared" si="1"/>
        <v>-0.74677066666666658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417173</v>
      </c>
      <c r="Q18" s="155">
        <f>IFERROR(VLOOKUP($A$3:$A$139,'FY-(26-27)Q2'!$A$4:$ABW$124,MATCH('FY-(26-27)Q1'!$P$2:$Q$2,'FY-(26-27)Q2'!$A$2:$BX$2,0),0),0)</f>
        <v>0.6952883333333334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221839</v>
      </c>
      <c r="Z18" s="168">
        <f t="shared" si="1"/>
        <v>-2.7223316666666664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8379</v>
      </c>
      <c r="Q19" s="155">
        <f>IFERROR(VLOOKUP($A$3:$A$139,'FY-(26-27)Q2'!$A$4:$ABW$124,MATCH('FY-(26-27)Q1'!$P$2:$Q$2,'FY-(26-27)Q2'!$A$2:$BX$2,0),0),0)</f>
        <v>8.3790000000000003E-2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12058</v>
      </c>
      <c r="Z19" s="168">
        <f t="shared" si="1"/>
        <v>0.12058000000000001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36772</v>
      </c>
      <c r="Q21" s="155">
        <f>IFERROR(VLOOKUP($A$3:$A$139,'FY-(26-27)Q2'!$A$4:$ABW$124,MATCH('FY-(26-27)Q1'!$P$2:$Q$2,'FY-(26-27)Q2'!$A$2:$BX$2,0),0),0)</f>
        <v>0.14708799999999994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-230644</v>
      </c>
      <c r="Z21" s="168">
        <f t="shared" si="1"/>
        <v>-2.527072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-92142</v>
      </c>
      <c r="Q22" s="155">
        <f>IFERROR(VLOOKUP($A$3:$A$139,'FY-(26-27)Q2'!$A$4:$ABW$124,MATCH('FY-(26-27)Q1'!$P$2:$Q$2,'FY-(26-27)Q2'!$A$2:$BX$2,0),0),0)</f>
        <v>-0.41882727272727271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-181042</v>
      </c>
      <c r="Z22" s="168">
        <f t="shared" si="1"/>
        <v>-1.3078272727272728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76772</v>
      </c>
      <c r="Q24" s="155">
        <f>IFERROR(VLOOKUP($A$3:$A$139,'FY-(26-27)Q2'!$A$4:$ABW$124,MATCH('FY-(26-27)Q1'!$P$2:$Q$2,'FY-(26-27)Q2'!$A$2:$BX$2,0),0),0)</f>
        <v>0.76771999999999996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1792117</v>
      </c>
      <c r="Z24" s="168">
        <f t="shared" si="1"/>
        <v>17.92117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-76659</v>
      </c>
      <c r="Q28" s="155">
        <f>IFERROR(VLOOKUP($A$3:$A$139,'FY-(26-27)Q2'!$A$4:$ABW$124,MATCH('FY-(26-27)Q1'!$P$2:$Q$2,'FY-(26-27)Q2'!$A$2:$BX$2,0),0),0)</f>
        <v>-0.30663600000000002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281554</v>
      </c>
      <c r="Z28" s="168">
        <f t="shared" si="1"/>
        <v>1.1262159999999999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242206</v>
      </c>
      <c r="Q29" s="155">
        <f>IFERROR(VLOOKUP($A$3:$A$139,'FY-(26-27)Q2'!$A$4:$ABW$124,MATCH('FY-(26-27)Q1'!$P$2:$Q$2,'FY-(26-27)Q2'!$A$2:$BX$2,0),0),0)</f>
        <v>0.60551499999999991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912669</v>
      </c>
      <c r="Z29" s="168">
        <f t="shared" si="1"/>
        <v>2.2816725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54624</v>
      </c>
      <c r="Q30" s="155">
        <f>IFERROR(VLOOKUP($A$3:$A$139,'FY-(26-27)Q2'!$A$4:$ABW$124,MATCH('FY-(26-27)Q1'!$P$2:$Q$2,'FY-(26-27)Q2'!$A$2:$BX$2,0),0),0)</f>
        <v>0.49658181818181807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54342</v>
      </c>
      <c r="Z30" s="168">
        <f t="shared" si="1"/>
        <v>0.49401818181818175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-133184</v>
      </c>
      <c r="Q32" s="155">
        <f>IFERROR(VLOOKUP($A$3:$A$139,'FY-(26-27)Q2'!$A$4:$ABW$124,MATCH('FY-(26-27)Q1'!$P$2:$Q$2,'FY-(26-27)Q2'!$A$2:$BX$2,0),0),0)</f>
        <v>-0.8878933333333332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-638253</v>
      </c>
      <c r="Z32" s="168">
        <f t="shared" si="1"/>
        <v>-4.2550200000000009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216872</v>
      </c>
      <c r="Q34" s="155">
        <f>IFERROR(VLOOKUP($A$3:$A$139,'FY-(26-27)Q2'!$A$4:$ABW$124,MATCH('FY-(26-27)Q1'!$P$2:$Q$2,'FY-(26-27)Q2'!$A$2:$BX$2,0),0),0)</f>
        <v>1.9715636363636357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-102068</v>
      </c>
      <c r="Z34" s="168">
        <f t="shared" si="1"/>
        <v>-0.92789090909090932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-701385</v>
      </c>
      <c r="Q36" s="155">
        <f>IFERROR(VLOOKUP($A$3:$A$139,'FY-(26-27)Q2'!$A$4:$ABW$124,MATCH('FY-(26-27)Q1'!$P$2:$Q$2,'FY-(26-27)Q2'!$A$2:$BX$2,0),0),0)</f>
        <v>-3.0495000000000005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3459718</v>
      </c>
      <c r="Z36" s="168">
        <f t="shared" si="1"/>
        <v>15.042252173913043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-14294</v>
      </c>
      <c r="Q37" s="155">
        <f>IFERROR(VLOOKUP($A$3:$A$139,'FY-(26-27)Q2'!$A$4:$ABW$124,MATCH('FY-(26-27)Q1'!$P$2:$Q$2,'FY-(26-27)Q2'!$A$2:$BX$2,0),0),0)</f>
        <v>-0.71469999999999989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-14294</v>
      </c>
      <c r="Z37" s="168">
        <f t="shared" ref="Z37" si="21">(N37+Q37+T37+W37)</f>
        <v>-0.71469999999999989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-295252</v>
      </c>
      <c r="Q38" s="155">
        <f>IFERROR(VLOOKUP($A$3:$A$139,'FY-(26-27)Q2'!$A$4:$ABW$124,MATCH('FY-(26-27)Q1'!$P$2:$Q$2,'FY-(26-27)Q2'!$A$2:$BX$2,0),0),0)</f>
        <v>-0.59050399999999992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2771154</v>
      </c>
      <c r="Z38" s="168">
        <f t="shared" si="1"/>
        <v>5.5423079999999993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1791846</v>
      </c>
      <c r="Q39" s="155">
        <f>IFERROR(VLOOKUP($A$3:$A$139,'FY-(26-27)Q2'!$A$4:$ABW$124,MATCH('FY-(26-27)Q1'!$P$2:$Q$2,'FY-(26-27)Q2'!$A$2:$BX$2,0),0),0)</f>
        <v>1.7918459999999998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5385252</v>
      </c>
      <c r="Z39" s="168">
        <f t="shared" ref="Z39:Z74" si="23">(N39+Q39+T39+W39)</f>
        <v>5.3852520000000004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324863</v>
      </c>
      <c r="Q45" s="155">
        <f>IFERROR(VLOOKUP($A$3:$A$139,'FY-(26-27)Q2'!$A$4:$ABW$124,MATCH('FY-(26-27)Q1'!$P$2:$Q$2,'FY-(26-27)Q2'!$A$2:$BX$2,0),0),0)</f>
        <v>0.6497259999999998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1542181</v>
      </c>
      <c r="Z45" s="168">
        <f t="shared" si="23"/>
        <v>3.0843619999999996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1132596</v>
      </c>
      <c r="Q46" s="155">
        <f>IFERROR(VLOOKUP($A$3:$A$139,'FY-(26-27)Q2'!$A$4:$ABW$124,MATCH('FY-(26-27)Q1'!$P$2:$Q$2,'FY-(26-27)Q2'!$A$2:$BX$2,0),0),0)</f>
        <v>2.2651919999999999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1084858</v>
      </c>
      <c r="Z46" s="168">
        <f t="shared" si="23"/>
        <v>2.1697159999999998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-217539</v>
      </c>
      <c r="Q47" s="155">
        <f>IFERROR(VLOOKUP($A$3:$A$139,'FY-(26-27)Q2'!$A$4:$ABW$124,MATCH('FY-(26-27)Q1'!$P$2:$Q$2,'FY-(26-27)Q2'!$A$2:$BX$2,0),0),0)</f>
        <v>-4.3507800000000003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-100644</v>
      </c>
      <c r="Z47" s="168">
        <f t="shared" si="23"/>
        <v>-2.0128800000000004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53712</v>
      </c>
      <c r="Q49" s="155">
        <f>IFERROR(VLOOKUP($A$3:$A$139,'FY-(26-27)Q2'!$A$4:$ABW$124,MATCH('FY-(26-27)Q1'!$P$2:$Q$2,'FY-(26-27)Q2'!$A$2:$BX$2,0),0),0)</f>
        <v>1.3428000000000002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41884</v>
      </c>
      <c r="Z49" s="168">
        <f t="shared" si="23"/>
        <v>1.0471000000000001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551129</v>
      </c>
      <c r="Q52" s="155">
        <f>IFERROR(VLOOKUP($A$3:$A$139,'FY-(26-27)Q2'!$A$4:$ABW$124,MATCH('FY-(26-27)Q1'!$P$2:$Q$2,'FY-(26-27)Q2'!$A$2:$BX$2,0),0),0)</f>
        <v>1.3778225000000002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150830</v>
      </c>
      <c r="Z52" s="168">
        <f t="shared" si="23"/>
        <v>0.37707500000000005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121628</v>
      </c>
      <c r="Q53" s="155">
        <f>IFERROR(VLOOKUP($A$3:$A$139,'FY-(26-27)Q2'!$A$4:$ABW$124,MATCH('FY-(26-27)Q1'!$P$2:$Q$2,'FY-(26-27)Q2'!$A$2:$BX$2,0),0),0)</f>
        <v>1.2162799999999998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867421</v>
      </c>
      <c r="Z53" s="168">
        <f t="shared" si="23"/>
        <v>8.6742100000000004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-16082</v>
      </c>
      <c r="Q55" s="155">
        <f>IFERROR(VLOOKUP($A$3:$A$139,'FY-(26-27)Q2'!$A$4:$ABW$124,MATCH('FY-(26-27)Q1'!$P$2:$Q$2,'FY-(26-27)Q2'!$A$2:$BX$2,0),0),0)</f>
        <v>-0.32163999999999993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-261860</v>
      </c>
      <c r="Z55" s="168">
        <f t="shared" si="23"/>
        <v>-5.2371999999999996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-69136</v>
      </c>
      <c r="Q56" s="155">
        <f>IFERROR(VLOOKUP($A$3:$A$139,'FY-(26-27)Q2'!$A$4:$ABW$124,MATCH('FY-(26-27)Q1'!$P$2:$Q$2,'FY-(26-27)Q2'!$A$2:$BX$2,0),0),0)</f>
        <v>-0.23045333333333332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-4768111</v>
      </c>
      <c r="Z56" s="168">
        <f t="shared" si="23"/>
        <v>-15.893703333333336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6723</v>
      </c>
      <c r="Q59" s="155">
        <f>IFERROR(VLOOKUP($A$3:$A$139,'FY-(26-27)Q2'!$A$4:$ABW$124,MATCH('FY-(26-27)Q1'!$P$2:$Q$2,'FY-(26-27)Q2'!$A$2:$BX$2,0),0),0)</f>
        <v>-0.18614000000000003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43446</v>
      </c>
      <c r="Z59" s="168">
        <f t="shared" si="23"/>
        <v>0.14269333333333328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666452</v>
      </c>
      <c r="Q60" s="155">
        <f>IFERROR(VLOOKUP($A$3:$A$139,'FY-(26-27)Q2'!$A$4:$ABW$124,MATCH('FY-(26-27)Q1'!$P$2:$Q$2,'FY-(26-27)Q2'!$A$2:$BX$2,0),0),0)</f>
        <v>6.6645199999999996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4216521</v>
      </c>
      <c r="Z60" s="168">
        <f t="shared" si="23"/>
        <v>42.165210000000002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6503</v>
      </c>
      <c r="Q61" s="155">
        <f>IFERROR(VLOOKUP($A$3:$A$139,'FY-(26-27)Q2'!$A$4:$ABW$124,MATCH('FY-(26-27)Q1'!$P$2:$Q$2,'FY-(26-27)Q2'!$A$2:$BX$2,0),0),0)</f>
        <v>0.65029999999999988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6503</v>
      </c>
      <c r="Z61" s="168">
        <f t="shared" ref="Z61" si="38">(N61+Q61+T61+W61)</f>
        <v>0.65029999999999988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253289</v>
      </c>
      <c r="Q62" s="155">
        <f>IFERROR(VLOOKUP($A$3:$A$139,'FY-(26-27)Q2'!$A$4:$ABW$124,MATCH('FY-(26-27)Q1'!$P$2:$Q$2,'FY-(26-27)Q2'!$A$2:$BX$2,0),0),0)</f>
        <v>0.84429666666666681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926138</v>
      </c>
      <c r="Z62" s="168">
        <f t="shared" si="23"/>
        <v>3.0871266666666664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247073</v>
      </c>
      <c r="Q63" s="155">
        <f>IFERROR(VLOOKUP($A$3:$A$139,'FY-(26-27)Q2'!$A$4:$ABW$124,MATCH('FY-(26-27)Q1'!$P$2:$Q$2,'FY-(26-27)Q2'!$A$2:$BX$2,0),0),0)</f>
        <v>0.61768250000000002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922073</v>
      </c>
      <c r="Z63" s="168">
        <f t="shared" si="23"/>
        <v>2.3051824999999999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265469</v>
      </c>
      <c r="Q65" s="155">
        <f>IFERROR(VLOOKUP($A$3:$A$139,'FY-(26-27)Q2'!$A$4:$ABW$124,MATCH('FY-(26-27)Q1'!$P$2:$Q$2,'FY-(26-27)Q2'!$A$2:$BX$2,0),0),0)</f>
        <v>0.66367249999999989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789881</v>
      </c>
      <c r="Z65" s="168">
        <f t="shared" si="23"/>
        <v>1.9747025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-629705</v>
      </c>
      <c r="Q67" s="155">
        <f>IFERROR(VLOOKUP($A$3:$A$139,'FY-(26-27)Q2'!$A$4:$ABW$124,MATCH('FY-(26-27)Q1'!$P$2:$Q$2,'FY-(26-27)Q2'!$A$2:$BX$2,0),0),0)</f>
        <v>-0.62980499999999995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-629705</v>
      </c>
      <c r="Z67" s="168">
        <f t="shared" ref="Z67" si="44">(N67+Q67+T67+W67)</f>
        <v>-0.62980499999999995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-5723</v>
      </c>
      <c r="Q69" s="155">
        <f>IFERROR(VLOOKUP($A$3:$A$139,'FY-(26-27)Q2'!$A$4:$ABW$124,MATCH('FY-(26-27)Q1'!$P$2:$Q$2,'FY-(26-27)Q2'!$A$2:$BX$2,0),0),0)</f>
        <v>-0.11446000000000001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-52377</v>
      </c>
      <c r="Z69" s="168">
        <f t="shared" si="23"/>
        <v>-1.0475400000000001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362071</v>
      </c>
      <c r="Q70" s="155">
        <f>IFERROR(VLOOKUP($A$3:$A$139,'FY-(26-27)Q2'!$A$4:$ABW$124,MATCH('FY-(26-27)Q1'!$P$2:$Q$2,'FY-(26-27)Q2'!$A$2:$BX$2,0),0),0)</f>
        <v>1.4004217307692308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-45881</v>
      </c>
      <c r="Z70" s="168">
        <f t="shared" si="23"/>
        <v>0.3805417307692307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486723</v>
      </c>
      <c r="Q73" s="155">
        <f>IFERROR(VLOOKUP($A$3:$A$139,'FY-(26-27)Q2'!$A$4:$ABW$124,MATCH('FY-(26-27)Q1'!$P$2:$Q$2,'FY-(26-27)Q2'!$A$2:$BX$2,0),0),0)</f>
        <v>1.6224100000000004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319341</v>
      </c>
      <c r="Z73" s="168">
        <f t="shared" si="23"/>
        <v>1.0644700000000005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558288</v>
      </c>
      <c r="Q76" s="155">
        <f>IFERROR(VLOOKUP($A$3:$A$139,'FY-(26-27)Q2'!$A$4:$ABW$124,MATCH('FY-(26-27)Q1'!$P$2:$Q$2,'FY-(26-27)Q2'!$A$2:$BX$2,0),0),0)</f>
        <v>1.116576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558288</v>
      </c>
      <c r="Z76" s="168">
        <f t="shared" si="54"/>
        <v>1.116576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6695055</v>
      </c>
      <c r="Q77" s="122"/>
      <c r="R77" s="122"/>
      <c r="S77" s="122"/>
      <c r="T77" s="122"/>
      <c r="U77" s="122"/>
      <c r="V77" s="56"/>
      <c r="W77" s="50"/>
      <c r="Y77" s="154">
        <f>SUM(Y4:Y76)</f>
        <v>26702443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-134155</v>
      </c>
      <c r="Q82" s="155">
        <f>IFERROR(VLOOKUP($A$3:$A$139,'FY-(26-27)Q2'!$A$4:$ABW$124,MATCH('FY-(26-27)Q1'!$P$2:$Q$2,'FY-(26-27)Q2'!$A$2:$BX$2,0),0),0)</f>
        <v>-0.44718333333333282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77345</v>
      </c>
      <c r="Z82" s="53">
        <f t="shared" si="56"/>
        <v>-0.44718333333333282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1256151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846151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1121996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2" priority="448">
      <formula>MOD(ROW(),2)=0</formula>
    </cfRule>
  </conditionalFormatting>
  <conditionalFormatting sqref="V38:V39 V23:V24 V59 V48:V49 V56 V45:V46 V27:V29 G2:I3 V52 G4:H4">
    <cfRule type="expression" dxfId="241" priority="447">
      <formula>MOD(ROW(),2)=0</formula>
    </cfRule>
  </conditionalFormatting>
  <conditionalFormatting sqref="J2:J3">
    <cfRule type="expression" dxfId="240" priority="444">
      <formula>MOD(ROW(),2)=0</formula>
    </cfRule>
  </conditionalFormatting>
  <conditionalFormatting sqref="V80:W81">
    <cfRule type="expression" dxfId="239" priority="441">
      <formula>MOD(ROW(),2)=0</formula>
    </cfRule>
  </conditionalFormatting>
  <conditionalFormatting sqref="K2:K3">
    <cfRule type="expression" dxfId="238" priority="442">
      <formula>MOD(ROW(),2)=0</formula>
    </cfRule>
  </conditionalFormatting>
  <conditionalFormatting sqref="V60">
    <cfRule type="expression" dxfId="237" priority="432">
      <formula>MOD(ROW(),2)=0</formula>
    </cfRule>
  </conditionalFormatting>
  <conditionalFormatting sqref="V22">
    <cfRule type="expression" dxfId="236" priority="433">
      <formula>MOD(ROW(),2)=0</formula>
    </cfRule>
  </conditionalFormatting>
  <conditionalFormatting sqref="A53:C53 E53">
    <cfRule type="expression" dxfId="235" priority="422">
      <formula>MOD(ROW(),2)=0</formula>
    </cfRule>
  </conditionalFormatting>
  <conditionalFormatting sqref="V53 V55">
    <cfRule type="expression" dxfId="234" priority="420">
      <formula>MOD(ROW(),2)=0</formula>
    </cfRule>
  </conditionalFormatting>
  <conditionalFormatting sqref="E56">
    <cfRule type="expression" dxfId="233" priority="418">
      <formula>MOD(ROW(),2)=0</formula>
    </cfRule>
  </conditionalFormatting>
  <conditionalFormatting sqref="V42">
    <cfRule type="expression" dxfId="232" priority="409">
      <formula>MOD(ROW(),2)=0</formula>
    </cfRule>
  </conditionalFormatting>
  <conditionalFormatting sqref="A30:F30">
    <cfRule type="expression" dxfId="231" priority="408">
      <formula>MOD(ROW(),2)=0</formula>
    </cfRule>
  </conditionalFormatting>
  <conditionalFormatting sqref="B72:C72">
    <cfRule type="expression" dxfId="230" priority="380">
      <formula>MOD(ROW(),2)=0</formula>
    </cfRule>
  </conditionalFormatting>
  <conditionalFormatting sqref="V30">
    <cfRule type="expression" dxfId="229" priority="406">
      <formula>MOD(ROW(),2)=0</formula>
    </cfRule>
  </conditionalFormatting>
  <conditionalFormatting sqref="A26:E26">
    <cfRule type="expression" dxfId="228" priority="405">
      <formula>MOD(ROW(),2)=0</formula>
    </cfRule>
  </conditionalFormatting>
  <conditionalFormatting sqref="V26">
    <cfRule type="expression" dxfId="227" priority="403">
      <formula>MOD(ROW(),2)=0</formula>
    </cfRule>
  </conditionalFormatting>
  <conditionalFormatting sqref="A25:E25">
    <cfRule type="expression" dxfId="226" priority="402">
      <formula>MOD(ROW(),2)=0</formula>
    </cfRule>
  </conditionalFormatting>
  <conditionalFormatting sqref="V25">
    <cfRule type="expression" dxfId="225" priority="400">
      <formula>MOD(ROW(),2)=0</formula>
    </cfRule>
  </conditionalFormatting>
  <conditionalFormatting sqref="A58:C58 E58:F58">
    <cfRule type="expression" dxfId="224" priority="387">
      <formula>MOD(ROW(),2)=0</formula>
    </cfRule>
  </conditionalFormatting>
  <conditionalFormatting sqref="T4:U4 T20:U21">
    <cfRule type="expression" dxfId="223" priority="331">
      <formula>MOD(ROW(),2)=0</formula>
    </cfRule>
  </conditionalFormatting>
  <conditionalFormatting sqref="A72">
    <cfRule type="expression" dxfId="222" priority="378">
      <formula>MOD(ROW(),2)=0</formula>
    </cfRule>
  </conditionalFormatting>
  <conditionalFormatting sqref="S4:U4 S20:U21">
    <cfRule type="expression" dxfId="221" priority="330">
      <formula>MOD(ROW(),2)=0</formula>
    </cfRule>
  </conditionalFormatting>
  <conditionalFormatting sqref="V58">
    <cfRule type="expression" dxfId="220" priority="383">
      <formula>MOD(ROW(),2)=0</formula>
    </cfRule>
  </conditionalFormatting>
  <conditionalFormatting sqref="F25">
    <cfRule type="expression" dxfId="219" priority="349">
      <formula>MOD(ROW(),2)=0</formula>
    </cfRule>
  </conditionalFormatting>
  <conditionalFormatting sqref="M20:O21 M34:O34">
    <cfRule type="expression" dxfId="218" priority="347">
      <formula>MOD(ROW(),2)=0</formula>
    </cfRule>
  </conditionalFormatting>
  <conditionalFormatting sqref="A17:F17 A18:C18 E18:F18">
    <cfRule type="expression" dxfId="217" priority="355">
      <formula>MOD(ROW(),2)=0</formula>
    </cfRule>
  </conditionalFormatting>
  <conditionalFormatting sqref="V17:W17">
    <cfRule type="expression" dxfId="216" priority="354">
      <formula>MOD(ROW(),2)=0</formula>
    </cfRule>
  </conditionalFormatting>
  <conditionalFormatting sqref="R4 R20:R21">
    <cfRule type="expression" dxfId="215" priority="339">
      <formula>MOD(ROW(),2)=0</formula>
    </cfRule>
  </conditionalFormatting>
  <conditionalFormatting sqref="R4 R20:R21">
    <cfRule type="expression" dxfId="214" priority="338">
      <formula>MOD(ROW(),2)=0</formula>
    </cfRule>
  </conditionalFormatting>
  <conditionalFormatting sqref="V66:V68">
    <cfRule type="expression" dxfId="213" priority="369">
      <formula>MOD(ROW(),2)=0</formula>
    </cfRule>
  </conditionalFormatting>
  <conditionalFormatting sqref="W62">
    <cfRule type="expression" dxfId="212" priority="329">
      <formula>MOD(ROW(),2)=0</formula>
    </cfRule>
  </conditionalFormatting>
  <conditionalFormatting sqref="M35:O35">
    <cfRule type="expression" dxfId="211" priority="340">
      <formula>MOD(ROW(),2)=0</formula>
    </cfRule>
  </conditionalFormatting>
  <conditionalFormatting sqref="F26">
    <cfRule type="expression" dxfId="210" priority="350">
      <formula>MOD(ROW(),2)=0</formula>
    </cfRule>
  </conditionalFormatting>
  <conditionalFormatting sqref="N20:O21 N34:O34">
    <cfRule type="expression" dxfId="209" priority="348">
      <formula>MOD(ROW(),2)=0</formula>
    </cfRule>
  </conditionalFormatting>
  <conditionalFormatting sqref="N35:O35">
    <cfRule type="expression" dxfId="208" priority="341">
      <formula>MOD(ROW(),2)=0</formula>
    </cfRule>
  </conditionalFormatting>
  <conditionalFormatting sqref="V62">
    <cfRule type="expression" dxfId="207" priority="328">
      <formula>MOD(ROW(),2)=0</formula>
    </cfRule>
  </conditionalFormatting>
  <conditionalFormatting sqref="M18:O18">
    <cfRule type="expression" dxfId="206" priority="286">
      <formula>MOD(ROW(),2)=0</formula>
    </cfRule>
  </conditionalFormatting>
  <conditionalFormatting sqref="R18">
    <cfRule type="expression" dxfId="205" priority="285">
      <formula>MOD(ROW(),2)=0</formula>
    </cfRule>
  </conditionalFormatting>
  <conditionalFormatting sqref="T18:U18">
    <cfRule type="expression" dxfId="204" priority="283">
      <formula>MOD(ROW(),2)=0</formula>
    </cfRule>
  </conditionalFormatting>
  <conditionalFormatting sqref="B31:F31 B32:C32 E32:F32">
    <cfRule type="expression" dxfId="203" priority="275">
      <formula>MOD(ROW(),2)=0</formula>
    </cfRule>
  </conditionalFormatting>
  <conditionalFormatting sqref="W31">
    <cfRule type="expression" dxfId="202" priority="274">
      <formula>MOD(ROW(),2)=0</formula>
    </cfRule>
  </conditionalFormatting>
  <conditionalFormatting sqref="V18:W18">
    <cfRule type="expression" dxfId="201" priority="288">
      <formula>MOD(ROW(),2)=0</formula>
    </cfRule>
  </conditionalFormatting>
  <conditionalFormatting sqref="N18:O18">
    <cfRule type="expression" dxfId="200" priority="287">
      <formula>MOD(ROW(),2)=0</formula>
    </cfRule>
  </conditionalFormatting>
  <conditionalFormatting sqref="R18">
    <cfRule type="expression" dxfId="199" priority="284">
      <formula>MOD(ROW(),2)=0</formula>
    </cfRule>
  </conditionalFormatting>
  <conditionalFormatting sqref="S18:U18">
    <cfRule type="expression" dxfId="198" priority="282">
      <formula>MOD(ROW(),2)=0</formula>
    </cfRule>
  </conditionalFormatting>
  <conditionalFormatting sqref="V31">
    <cfRule type="expression" dxfId="197" priority="273">
      <formula>MOD(ROW(),2)=0</formula>
    </cfRule>
  </conditionalFormatting>
  <conditionalFormatting sqref="S31:U31">
    <cfRule type="expression" dxfId="196" priority="267">
      <formula>MOD(ROW(),2)=0</formula>
    </cfRule>
  </conditionalFormatting>
  <conditionalFormatting sqref="N31:O31">
    <cfRule type="expression" dxfId="195" priority="272">
      <formula>MOD(ROW(),2)=0</formula>
    </cfRule>
  </conditionalFormatting>
  <conditionalFormatting sqref="M31:O31">
    <cfRule type="expression" dxfId="194" priority="271">
      <formula>MOD(ROW(),2)=0</formula>
    </cfRule>
  </conditionalFormatting>
  <conditionalFormatting sqref="T31:U31">
    <cfRule type="expression" dxfId="193" priority="268">
      <formula>MOD(ROW(),2)=0</formula>
    </cfRule>
  </conditionalFormatting>
  <conditionalFormatting sqref="R31">
    <cfRule type="expression" dxfId="192" priority="270">
      <formula>MOD(ROW(),2)=0</formula>
    </cfRule>
  </conditionalFormatting>
  <conditionalFormatting sqref="R31">
    <cfRule type="expression" dxfId="191" priority="269">
      <formula>MOD(ROW(),2)=0</formula>
    </cfRule>
  </conditionalFormatting>
  <conditionalFormatting sqref="A11:F11 A10:C10 E10:F10 F12">
    <cfRule type="expression" dxfId="190" priority="260">
      <formula>MOD(ROW(),2)=0</formula>
    </cfRule>
  </conditionalFormatting>
  <conditionalFormatting sqref="V10:W11">
    <cfRule type="expression" dxfId="189" priority="259">
      <formula>MOD(ROW(),2)=0</formula>
    </cfRule>
  </conditionalFormatting>
  <conditionalFormatting sqref="R10:R11">
    <cfRule type="expression" dxfId="188" priority="256">
      <formula>MOD(ROW(),2)=0</formula>
    </cfRule>
  </conditionalFormatting>
  <conditionalFormatting sqref="R10:R11">
    <cfRule type="expression" dxfId="187" priority="255">
      <formula>MOD(ROW(),2)=0</formula>
    </cfRule>
  </conditionalFormatting>
  <conditionalFormatting sqref="S10:U11">
    <cfRule type="expression" dxfId="186" priority="253">
      <formula>MOD(ROW(),2)=0</formula>
    </cfRule>
  </conditionalFormatting>
  <conditionalFormatting sqref="N10:O11">
    <cfRule type="expression" dxfId="185" priority="258">
      <formula>MOD(ROW(),2)=0</formula>
    </cfRule>
  </conditionalFormatting>
  <conditionalFormatting sqref="M10:O11">
    <cfRule type="expression" dxfId="184" priority="257">
      <formula>MOD(ROW(),2)=0</formula>
    </cfRule>
  </conditionalFormatting>
  <conditionalFormatting sqref="T10:U11">
    <cfRule type="expression" dxfId="183" priority="254">
      <formula>MOD(ROW(),2)=0</formula>
    </cfRule>
  </conditionalFormatting>
  <conditionalFormatting sqref="A47:C47 E47:F47">
    <cfRule type="expression" dxfId="182" priority="246">
      <formula>MOD(ROW(),2)=0</formula>
    </cfRule>
  </conditionalFormatting>
  <conditionalFormatting sqref="W47">
    <cfRule type="expression" dxfId="181" priority="245">
      <formula>MOD(ROW(),2)=0</formula>
    </cfRule>
  </conditionalFormatting>
  <conditionalFormatting sqref="V47">
    <cfRule type="expression" dxfId="180" priority="244">
      <formula>MOD(ROW(),2)=0</formula>
    </cfRule>
  </conditionalFormatting>
  <conditionalFormatting sqref="T47:U47">
    <cfRule type="expression" dxfId="179" priority="239">
      <formula>MOD(ROW(),2)=0</formula>
    </cfRule>
  </conditionalFormatting>
  <conditionalFormatting sqref="S47:U47">
    <cfRule type="expression" dxfId="178" priority="238">
      <formula>MOD(ROW(),2)=0</formula>
    </cfRule>
  </conditionalFormatting>
  <conditionalFormatting sqref="M47:O47">
    <cfRule type="expression" dxfId="177" priority="242">
      <formula>MOD(ROW(),2)=0</formula>
    </cfRule>
  </conditionalFormatting>
  <conditionalFormatting sqref="R47">
    <cfRule type="expression" dxfId="176" priority="241">
      <formula>MOD(ROW(),2)=0</formula>
    </cfRule>
  </conditionalFormatting>
  <conditionalFormatting sqref="R47">
    <cfRule type="expression" dxfId="175" priority="240">
      <formula>MOD(ROW(),2)=0</formula>
    </cfRule>
  </conditionalFormatting>
  <conditionalFormatting sqref="N47:O47">
    <cfRule type="expression" dxfId="174" priority="243">
      <formula>MOD(ROW(),2)=0</formula>
    </cfRule>
  </conditionalFormatting>
  <conditionalFormatting sqref="A59:C59 E59:F59">
    <cfRule type="expression" dxfId="173" priority="231">
      <formula>MOD(ROW(),2)=0</formula>
    </cfRule>
  </conditionalFormatting>
  <conditionalFormatting sqref="A5:C5">
    <cfRule type="expression" dxfId="172" priority="227">
      <formula>MOD(ROW(),2)=0</formula>
    </cfRule>
  </conditionalFormatting>
  <conditionalFormatting sqref="V5:W5">
    <cfRule type="expression" dxfId="171" priority="226">
      <formula>MOD(ROW(),2)=0</formula>
    </cfRule>
  </conditionalFormatting>
  <conditionalFormatting sqref="T5:U5">
    <cfRule type="expression" dxfId="170" priority="220">
      <formula>MOD(ROW(),2)=0</formula>
    </cfRule>
  </conditionalFormatting>
  <conditionalFormatting sqref="S5:U5">
    <cfRule type="expression" dxfId="169" priority="219">
      <formula>MOD(ROW(),2)=0</formula>
    </cfRule>
  </conditionalFormatting>
  <conditionalFormatting sqref="M5:O5">
    <cfRule type="expression" dxfId="168" priority="223">
      <formula>MOD(ROW(),2)=0</formula>
    </cfRule>
  </conditionalFormatting>
  <conditionalFormatting sqref="R5">
    <cfRule type="expression" dxfId="167" priority="222">
      <formula>MOD(ROW(),2)=0</formula>
    </cfRule>
  </conditionalFormatting>
  <conditionalFormatting sqref="R5">
    <cfRule type="expression" dxfId="166" priority="221">
      <formula>MOD(ROW(),2)=0</formula>
    </cfRule>
  </conditionalFormatting>
  <conditionalFormatting sqref="N5:O5">
    <cfRule type="expression" dxfId="165" priority="224">
      <formula>MOD(ROW(),2)=0</formula>
    </cfRule>
  </conditionalFormatting>
  <conditionalFormatting sqref="A50:F51">
    <cfRule type="expression" dxfId="164" priority="208">
      <formula>MOD(ROW(),2)=0</formula>
    </cfRule>
  </conditionalFormatting>
  <conditionalFormatting sqref="W50:W51">
    <cfRule type="expression" dxfId="163" priority="207">
      <formula>MOD(ROW(),2)=0</formula>
    </cfRule>
  </conditionalFormatting>
  <conditionalFormatting sqref="V50:V51">
    <cfRule type="expression" dxfId="162" priority="206">
      <formula>MOD(ROW(),2)=0</formula>
    </cfRule>
  </conditionalFormatting>
  <conditionalFormatting sqref="W32">
    <cfRule type="expression" dxfId="161" priority="200">
      <formula>MOD(ROW(),2)=0</formula>
    </cfRule>
  </conditionalFormatting>
  <conditionalFormatting sqref="V32">
    <cfRule type="expression" dxfId="160" priority="199">
      <formula>MOD(ROW(),2)=0</formula>
    </cfRule>
  </conditionalFormatting>
  <conditionalFormatting sqref="S32:U32">
    <cfRule type="expression" dxfId="159" priority="193">
      <formula>MOD(ROW(),2)=0</formula>
    </cfRule>
  </conditionalFormatting>
  <conditionalFormatting sqref="N32:O32">
    <cfRule type="expression" dxfId="158" priority="198">
      <formula>MOD(ROW(),2)=0</formula>
    </cfRule>
  </conditionalFormatting>
  <conditionalFormatting sqref="M32:O32">
    <cfRule type="expression" dxfId="157" priority="197">
      <formula>MOD(ROW(),2)=0</formula>
    </cfRule>
  </conditionalFormatting>
  <conditionalFormatting sqref="T32:U32">
    <cfRule type="expression" dxfId="156" priority="194">
      <formula>MOD(ROW(),2)=0</formula>
    </cfRule>
  </conditionalFormatting>
  <conditionalFormatting sqref="R32">
    <cfRule type="expression" dxfId="155" priority="196">
      <formula>MOD(ROW(),2)=0</formula>
    </cfRule>
  </conditionalFormatting>
  <conditionalFormatting sqref="R32">
    <cfRule type="expression" dxfId="154" priority="195">
      <formula>MOD(ROW(),2)=0</formula>
    </cfRule>
  </conditionalFormatting>
  <conditionalFormatting sqref="W63">
    <cfRule type="expression" dxfId="153" priority="191">
      <formula>MOD(ROW(),2)=0</formula>
    </cfRule>
  </conditionalFormatting>
  <conditionalFormatting sqref="V63">
    <cfRule type="expression" dxfId="152" priority="190">
      <formula>MOD(ROW(),2)=0</formula>
    </cfRule>
  </conditionalFormatting>
  <conditionalFormatting sqref="A14:F14">
    <cfRule type="expression" dxfId="151" priority="177">
      <formula>MOD(ROW(),2)=0</formula>
    </cfRule>
  </conditionalFormatting>
  <conditionalFormatting sqref="W41">
    <cfRule type="expression" dxfId="150" priority="186">
      <formula>MOD(ROW(),2)=0</formula>
    </cfRule>
  </conditionalFormatting>
  <conditionalFormatting sqref="V41">
    <cfRule type="expression" dxfId="149" priority="185">
      <formula>MOD(ROW(),2)=0</formula>
    </cfRule>
  </conditionalFormatting>
  <conditionalFormatting sqref="A69:C69 E69:F69">
    <cfRule type="expression" dxfId="148" priority="175">
      <formula>MOD(ROW(),2)=0</formula>
    </cfRule>
  </conditionalFormatting>
  <conditionalFormatting sqref="W69">
    <cfRule type="expression" dxfId="147" priority="174">
      <formula>MOD(ROW(),2)=0</formula>
    </cfRule>
  </conditionalFormatting>
  <conditionalFormatting sqref="V69">
    <cfRule type="expression" dxfId="146" priority="173">
      <formula>MOD(ROW(),2)=0</formula>
    </cfRule>
  </conditionalFormatting>
  <conditionalFormatting sqref="G80:G81">
    <cfRule type="expression" dxfId="145" priority="168">
      <formula>MOD(ROW(),2)=0</formula>
    </cfRule>
  </conditionalFormatting>
  <conditionalFormatting sqref="H80">
    <cfRule type="expression" dxfId="144" priority="165">
      <formula>MOD(ROW(),2)=0</formula>
    </cfRule>
  </conditionalFormatting>
  <conditionalFormatting sqref="H81">
    <cfRule type="expression" dxfId="143" priority="164">
      <formula>MOD(ROW(),2)=0</formula>
    </cfRule>
  </conditionalFormatting>
  <conditionalFormatting sqref="L79">
    <cfRule type="expression" dxfId="142" priority="163">
      <formula>MOD(ROW(),2)=0</formula>
    </cfRule>
  </conditionalFormatting>
  <conditionalFormatting sqref="G79:I79">
    <cfRule type="expression" dxfId="141" priority="162">
      <formula>MOD(ROW(),2)=0</formula>
    </cfRule>
  </conditionalFormatting>
  <conditionalFormatting sqref="J79">
    <cfRule type="expression" dxfId="140" priority="161">
      <formula>MOD(ROW(),2)=0</formula>
    </cfRule>
  </conditionalFormatting>
  <conditionalFormatting sqref="K79">
    <cfRule type="expression" dxfId="139" priority="160">
      <formula>MOD(ROW(),2)=0</formula>
    </cfRule>
  </conditionalFormatting>
  <conditionalFormatting sqref="Y80:Z81">
    <cfRule type="expression" dxfId="138" priority="147">
      <formula>MOD(ROW(),2)=0</formula>
    </cfRule>
  </conditionalFormatting>
  <conditionalFormatting sqref="A40:F40">
    <cfRule type="expression" dxfId="137" priority="157">
      <formula>MOD(ROW(),2)=0</formula>
    </cfRule>
  </conditionalFormatting>
  <conditionalFormatting sqref="A41:F41">
    <cfRule type="expression" dxfId="136" priority="156">
      <formula>MOD(ROW(),2)=0</formula>
    </cfRule>
  </conditionalFormatting>
  <conditionalFormatting sqref="A43:F43">
    <cfRule type="expression" dxfId="135" priority="155">
      <formula>MOD(ROW(),2)=0</formula>
    </cfRule>
  </conditionalFormatting>
  <conditionalFormatting sqref="W43 G43:H43">
    <cfRule type="expression" dxfId="134" priority="154">
      <formula>MOD(ROW(),2)=0</formula>
    </cfRule>
  </conditionalFormatting>
  <conditionalFormatting sqref="V43">
    <cfRule type="expression" dxfId="133" priority="153">
      <formula>MOD(ROW(),2)=0</formula>
    </cfRule>
  </conditionalFormatting>
  <conditionalFormatting sqref="W40 G40:H40">
    <cfRule type="expression" dxfId="132" priority="152">
      <formula>MOD(ROW(),2)=0</formula>
    </cfRule>
  </conditionalFormatting>
  <conditionalFormatting sqref="V40">
    <cfRule type="expression" dxfId="131" priority="151">
      <formula>MOD(ROW(),2)=0</formula>
    </cfRule>
  </conditionalFormatting>
  <conditionalFormatting sqref="D13:E13">
    <cfRule type="expression" dxfId="130" priority="142">
      <formula>MOD(ROW(),2)=0</formula>
    </cfRule>
  </conditionalFormatting>
  <conditionalFormatting sqref="Y84:Z84">
    <cfRule type="expression" dxfId="129" priority="148">
      <formula>MOD(ROW(),2)=0</formula>
    </cfRule>
  </conditionalFormatting>
  <conditionalFormatting sqref="A15:B16">
    <cfRule type="expression" dxfId="128" priority="146">
      <formula>MOD(ROW(),2)=0</formula>
    </cfRule>
  </conditionalFormatting>
  <conditionalFormatting sqref="C15">
    <cfRule type="expression" dxfId="127" priority="145">
      <formula>MOD(ROW(),2)=0</formula>
    </cfRule>
  </conditionalFormatting>
  <conditionalFormatting sqref="F15">
    <cfRule type="expression" dxfId="126" priority="144">
      <formula>MOD(ROW(),2)=0</formula>
    </cfRule>
  </conditionalFormatting>
  <conditionalFormatting sqref="D15:E16">
    <cfRule type="expression" dxfId="125" priority="143">
      <formula>MOD(ROW(),2)=0</formula>
    </cfRule>
  </conditionalFormatting>
  <conditionalFormatting sqref="G15:H15">
    <cfRule type="expression" dxfId="124" priority="141">
      <formula>MOD(ROW(),2)=0</formula>
    </cfRule>
  </conditionalFormatting>
  <conditionalFormatting sqref="J80:J81">
    <cfRule type="expression" dxfId="123" priority="138">
      <formula>MOD(ROW(),2)=0</formula>
    </cfRule>
  </conditionalFormatting>
  <conditionalFormatting sqref="I80:J81">
    <cfRule type="expression" dxfId="122" priority="137">
      <formula>MOD(ROW(),2)=0</formula>
    </cfRule>
  </conditionalFormatting>
  <conditionalFormatting sqref="A70:C71 E70:E71">
    <cfRule type="expression" dxfId="121" priority="136">
      <formula>MOD(ROW(),2)=0</formula>
    </cfRule>
  </conditionalFormatting>
  <conditionalFormatting sqref="G70:J71 M70:O71">
    <cfRule type="expression" dxfId="120" priority="135">
      <formula>MOD(ROW(),2)=0</formula>
    </cfRule>
  </conditionalFormatting>
  <conditionalFormatting sqref="W70:W71">
    <cfRule type="expression" dxfId="119" priority="134">
      <formula>MOD(ROW(),2)=0</formula>
    </cfRule>
  </conditionalFormatting>
  <conditionalFormatting sqref="V70:V71">
    <cfRule type="expression" dxfId="118" priority="133">
      <formula>MOD(ROW(),2)=0</formula>
    </cfRule>
  </conditionalFormatting>
  <conditionalFormatting sqref="V57">
    <cfRule type="expression" dxfId="117" priority="130">
      <formula>MOD(ROW(),2)=0</formula>
    </cfRule>
  </conditionalFormatting>
  <conditionalFormatting sqref="A57:C57 E57:F57">
    <cfRule type="expression" dxfId="116" priority="132">
      <formula>MOD(ROW(),2)=0</formula>
    </cfRule>
  </conditionalFormatting>
  <conditionalFormatting sqref="W57 Y57 G57:J57">
    <cfRule type="expression" dxfId="115" priority="131">
      <formula>MOD(ROW(),2)=0</formula>
    </cfRule>
  </conditionalFormatting>
  <conditionalFormatting sqref="A64:A65">
    <cfRule type="expression" dxfId="114" priority="129">
      <formula>MOD(ROW(),2)=0</formula>
    </cfRule>
  </conditionalFormatting>
  <conditionalFormatting sqref="A63:B63">
    <cfRule type="expression" dxfId="113" priority="128">
      <formula>MOD(ROW(),2)=0</formula>
    </cfRule>
  </conditionalFormatting>
  <conditionalFormatting sqref="B64:B65">
    <cfRule type="expression" dxfId="112" priority="127">
      <formula>MOD(ROW(),2)=0</formula>
    </cfRule>
  </conditionalFormatting>
  <conditionalFormatting sqref="M64:O65 G64:J65 Y64:Y65">
    <cfRule type="expression" dxfId="111" priority="126">
      <formula>MOD(ROW(),2)=0</formula>
    </cfRule>
  </conditionalFormatting>
  <conditionalFormatting sqref="W64:W65">
    <cfRule type="expression" dxfId="110" priority="124">
      <formula>MOD(ROW(),2)=0</formula>
    </cfRule>
  </conditionalFormatting>
  <conditionalFormatting sqref="V64:V65">
    <cfRule type="expression" dxfId="109" priority="123">
      <formula>MOD(ROW(),2)=0</formula>
    </cfRule>
  </conditionalFormatting>
  <conditionalFormatting sqref="A6:C6 E6:F6">
    <cfRule type="expression" dxfId="108" priority="122">
      <formula>MOD(ROW(),2)=0</formula>
    </cfRule>
  </conditionalFormatting>
  <conditionalFormatting sqref="G6:J6 M6:O6">
    <cfRule type="expression" dxfId="107" priority="121">
      <formula>MOD(ROW(),2)=0</formula>
    </cfRule>
  </conditionalFormatting>
  <conditionalFormatting sqref="V6:W6">
    <cfRule type="expression" dxfId="106" priority="120">
      <formula>MOD(ROW(),2)=0</formula>
    </cfRule>
  </conditionalFormatting>
  <conditionalFormatting sqref="T6:U6">
    <cfRule type="expression" dxfId="105" priority="115">
      <formula>MOD(ROW(),2)=0</formula>
    </cfRule>
  </conditionalFormatting>
  <conditionalFormatting sqref="S6:U6">
    <cfRule type="expression" dxfId="104" priority="114">
      <formula>MOD(ROW(),2)=0</formula>
    </cfRule>
  </conditionalFormatting>
  <conditionalFormatting sqref="M6:O6">
    <cfRule type="expression" dxfId="103" priority="118">
      <formula>MOD(ROW(),2)=0</formula>
    </cfRule>
  </conditionalFormatting>
  <conditionalFormatting sqref="R6">
    <cfRule type="expression" dxfId="102" priority="117">
      <formula>MOD(ROW(),2)=0</formula>
    </cfRule>
  </conditionalFormatting>
  <conditionalFormatting sqref="R6">
    <cfRule type="expression" dxfId="101" priority="116">
      <formula>MOD(ROW(),2)=0</formula>
    </cfRule>
  </conditionalFormatting>
  <conditionalFormatting sqref="N6:O6">
    <cfRule type="expression" dxfId="100" priority="119">
      <formula>MOD(ROW(),2)=0</formula>
    </cfRule>
  </conditionalFormatting>
  <conditionalFormatting sqref="A55:C55 E55:F55">
    <cfRule type="expression" dxfId="99" priority="113">
      <formula>MOD(ROW(),2)=0</formula>
    </cfRule>
  </conditionalFormatting>
  <conditionalFormatting sqref="A82:F82">
    <cfRule type="expression" dxfId="98" priority="111">
      <formula>MOD(ROW(),2)=0</formula>
    </cfRule>
  </conditionalFormatting>
  <conditionalFormatting sqref="V82:W82">
    <cfRule type="expression" dxfId="97" priority="109">
      <formula>MOD(ROW(),2)=0</formula>
    </cfRule>
  </conditionalFormatting>
  <conditionalFormatting sqref="G82">
    <cfRule type="expression" dxfId="96" priority="108">
      <formula>MOD(ROW(),2)=0</formula>
    </cfRule>
  </conditionalFormatting>
  <conditionalFormatting sqref="H82">
    <cfRule type="expression" dxfId="95" priority="107">
      <formula>MOD(ROW(),2)=0</formula>
    </cfRule>
  </conditionalFormatting>
  <conditionalFormatting sqref="Y82:Z82">
    <cfRule type="expression" dxfId="94" priority="106">
      <formula>MOD(ROW(),2)=0</formula>
    </cfRule>
  </conditionalFormatting>
  <conditionalFormatting sqref="J82">
    <cfRule type="expression" dxfId="93" priority="105">
      <formula>MOD(ROW(),2)=0</formula>
    </cfRule>
  </conditionalFormatting>
  <conditionalFormatting sqref="I82:J82">
    <cfRule type="expression" dxfId="92" priority="104">
      <formula>MOD(ROW(),2)=0</formula>
    </cfRule>
  </conditionalFormatting>
  <conditionalFormatting sqref="K80:L82">
    <cfRule type="expression" dxfId="91" priority="102">
      <formula>MOD(ROW(),2)=0</formula>
    </cfRule>
  </conditionalFormatting>
  <conditionalFormatting sqref="S19:U19">
    <cfRule type="expression" dxfId="90" priority="92">
      <formula>MOD(ROW(),2)=0</formula>
    </cfRule>
  </conditionalFormatting>
  <conditionalFormatting sqref="A19:F19">
    <cfRule type="expression" dxfId="89" priority="100">
      <formula>MOD(ROW(),2)=0</formula>
    </cfRule>
  </conditionalFormatting>
  <conditionalFormatting sqref="Y19:Z19 G19:O19">
    <cfRule type="expression" dxfId="88" priority="99">
      <formula>MOD(ROW(),2)=0</formula>
    </cfRule>
  </conditionalFormatting>
  <conditionalFormatting sqref="M19:O19">
    <cfRule type="expression" dxfId="87" priority="96">
      <formula>MOD(ROW(),2)=0</formula>
    </cfRule>
  </conditionalFormatting>
  <conditionalFormatting sqref="R19">
    <cfRule type="expression" dxfId="86" priority="95">
      <formula>MOD(ROW(),2)=0</formula>
    </cfRule>
  </conditionalFormatting>
  <conditionalFormatting sqref="T19:U19">
    <cfRule type="expression" dxfId="85" priority="93">
      <formula>MOD(ROW(),2)=0</formula>
    </cfRule>
  </conditionalFormatting>
  <conditionalFormatting sqref="V19:W19">
    <cfRule type="expression" dxfId="84" priority="98">
      <formula>MOD(ROW(),2)=0</formula>
    </cfRule>
  </conditionalFormatting>
  <conditionalFormatting sqref="N19:O19">
    <cfRule type="expression" dxfId="83" priority="97">
      <formula>MOD(ROW(),2)=0</formula>
    </cfRule>
  </conditionalFormatting>
  <conditionalFormatting sqref="R19">
    <cfRule type="expression" dxfId="82" priority="94">
      <formula>MOD(ROW(),2)=0</formula>
    </cfRule>
  </conditionalFormatting>
  <conditionalFormatting sqref="E72:E73">
    <cfRule type="expression" dxfId="81" priority="91">
      <formula>MOD(ROW(),2)=0</formula>
    </cfRule>
  </conditionalFormatting>
  <conditionalFormatting sqref="F64:F65">
    <cfRule type="expression" dxfId="80" priority="90">
      <formula>MOD(ROW(),2)=0</formula>
    </cfRule>
  </conditionalFormatting>
  <conditionalFormatting sqref="F63">
    <cfRule type="expression" dxfId="79" priority="89">
      <formula>MOD(ROW(),2)=0</formula>
    </cfRule>
  </conditionalFormatting>
  <conditionalFormatting sqref="D63:E63 C64:E65">
    <cfRule type="expression" dxfId="78" priority="88">
      <formula>MOD(ROW(),2)=0</formula>
    </cfRule>
  </conditionalFormatting>
  <conditionalFormatting sqref="D10">
    <cfRule type="expression" dxfId="77" priority="87">
      <formula>MOD(ROW(),2)=0</formula>
    </cfRule>
  </conditionalFormatting>
  <conditionalFormatting sqref="D6">
    <cfRule type="expression" dxfId="76" priority="86">
      <formula>MOD(ROW(),2)=0</formula>
    </cfRule>
  </conditionalFormatting>
  <conditionalFormatting sqref="D18">
    <cfRule type="expression" dxfId="75" priority="85">
      <formula>MOD(ROW(),2)=0</formula>
    </cfRule>
  </conditionalFormatting>
  <conditionalFormatting sqref="D32">
    <cfRule type="expression" dxfId="74" priority="84">
      <formula>MOD(ROW(),2)=0</formula>
    </cfRule>
  </conditionalFormatting>
  <conditionalFormatting sqref="D70:D71">
    <cfRule type="expression" dxfId="73" priority="72">
      <formula>MOD(ROW(),2)=0</formula>
    </cfRule>
  </conditionalFormatting>
  <conditionalFormatting sqref="D47">
    <cfRule type="expression" dxfId="72" priority="82">
      <formula>MOD(ROW(),2)=0</formula>
    </cfRule>
  </conditionalFormatting>
  <conditionalFormatting sqref="D53 D55">
    <cfRule type="expression" dxfId="71" priority="81">
      <formula>MOD(ROW(),2)=0</formula>
    </cfRule>
  </conditionalFormatting>
  <conditionalFormatting sqref="D52">
    <cfRule type="expression" dxfId="70" priority="80">
      <formula>MOD(ROW(),2)=0</formula>
    </cfRule>
  </conditionalFormatting>
  <conditionalFormatting sqref="D56">
    <cfRule type="expression" dxfId="69" priority="79">
      <formula>MOD(ROW(),2)=0</formula>
    </cfRule>
  </conditionalFormatting>
  <conditionalFormatting sqref="D57">
    <cfRule type="expression" dxfId="68" priority="78">
      <formula>MOD(ROW(),2)=0</formula>
    </cfRule>
  </conditionalFormatting>
  <conditionalFormatting sqref="D58">
    <cfRule type="expression" dxfId="67" priority="77">
      <formula>MOD(ROW(),2)=0</formula>
    </cfRule>
  </conditionalFormatting>
  <conditionalFormatting sqref="D59">
    <cfRule type="expression" dxfId="66" priority="76">
      <formula>MOD(ROW(),2)=0</formula>
    </cfRule>
  </conditionalFormatting>
  <conditionalFormatting sqref="D73">
    <cfRule type="expression" dxfId="65" priority="75">
      <formula>MOD(ROW(),2)=0</formula>
    </cfRule>
  </conditionalFormatting>
  <conditionalFormatting sqref="D72">
    <cfRule type="expression" dxfId="64" priority="74">
      <formula>MOD(ROW(),2)=0</formula>
    </cfRule>
  </conditionalFormatting>
  <conditionalFormatting sqref="D69">
    <cfRule type="expression" dxfId="63" priority="73">
      <formula>MOD(ROW(),2)=0</formula>
    </cfRule>
  </conditionalFormatting>
  <conditionalFormatting sqref="A33:F33">
    <cfRule type="expression" dxfId="62" priority="71">
      <formula>MOD(ROW(),2)=0</formula>
    </cfRule>
  </conditionalFormatting>
  <conditionalFormatting sqref="G33:O33 Y33:Z33">
    <cfRule type="expression" dxfId="61" priority="70">
      <formula>MOD(ROW(),2)=0</formula>
    </cfRule>
  </conditionalFormatting>
  <conditionalFormatting sqref="W33">
    <cfRule type="expression" dxfId="60" priority="69">
      <formula>MOD(ROW(),2)=0</formula>
    </cfRule>
  </conditionalFormatting>
  <conditionalFormatting sqref="V33">
    <cfRule type="expression" dxfId="59" priority="68">
      <formula>MOD(ROW(),2)=0</formula>
    </cfRule>
  </conditionalFormatting>
  <conditionalFormatting sqref="S33:U33">
    <cfRule type="expression" dxfId="58" priority="62">
      <formula>MOD(ROW(),2)=0</formula>
    </cfRule>
  </conditionalFormatting>
  <conditionalFormatting sqref="N33:O33">
    <cfRule type="expression" dxfId="57" priority="67">
      <formula>MOD(ROW(),2)=0</formula>
    </cfRule>
  </conditionalFormatting>
  <conditionalFormatting sqref="M33:O33">
    <cfRule type="expression" dxfId="56" priority="66">
      <formula>MOD(ROW(),2)=0</formula>
    </cfRule>
  </conditionalFormatting>
  <conditionalFormatting sqref="T33:U33">
    <cfRule type="expression" dxfId="55" priority="63">
      <formula>MOD(ROW(),2)=0</formula>
    </cfRule>
  </conditionalFormatting>
  <conditionalFormatting sqref="R33">
    <cfRule type="expression" dxfId="54" priority="65">
      <formula>MOD(ROW(),2)=0</formula>
    </cfRule>
  </conditionalFormatting>
  <conditionalFormatting sqref="R33">
    <cfRule type="expression" dxfId="53" priority="64">
      <formula>MOD(ROW(),2)=0</formula>
    </cfRule>
  </conditionalFormatting>
  <conditionalFormatting sqref="Q4:Q11 Q38:Q53 Q55:Q60 Q62:Q76">
    <cfRule type="expression" dxfId="52" priority="59">
      <formula>MOD(ROW(),2)=0</formula>
    </cfRule>
  </conditionalFormatting>
  <conditionalFormatting sqref="P4:Q11 P38:Q53 P55:Q60 P62:Q76">
    <cfRule type="expression" dxfId="51" priority="58">
      <formula>MOD(ROW(),2)=0</formula>
    </cfRule>
  </conditionalFormatting>
  <conditionalFormatting sqref="R80:T82">
    <cfRule type="expression" dxfId="50" priority="57">
      <formula>MOD(ROW(),2)=0</formula>
    </cfRule>
  </conditionalFormatting>
  <conditionalFormatting sqref="Q80:Q82">
    <cfRule type="expression" dxfId="49" priority="56">
      <formula>MOD(ROW(),2)=0</formula>
    </cfRule>
  </conditionalFormatting>
  <conditionalFormatting sqref="P80:Q82">
    <cfRule type="expression" dxfId="48" priority="55">
      <formula>MOD(ROW(),2)=0</formula>
    </cfRule>
  </conditionalFormatting>
  <conditionalFormatting sqref="A76:F76">
    <cfRule type="expression" dxfId="47" priority="54">
      <formula>MOD(ROW(),2)=0</formula>
    </cfRule>
  </conditionalFormatting>
  <conditionalFormatting sqref="A75:F75">
    <cfRule type="expression" dxfId="46" priority="53">
      <formula>MOD(ROW(),2)=0</formula>
    </cfRule>
  </conditionalFormatting>
  <conditionalFormatting sqref="G75:O76 Y75:Z76 R75:W76">
    <cfRule type="expression" dxfId="45" priority="52">
      <formula>MOD(ROW(),2)=0</formula>
    </cfRule>
  </conditionalFormatting>
  <conditionalFormatting sqref="P37:Q37">
    <cfRule type="expression" dxfId="44" priority="39">
      <formula>MOD(ROW(),2)=0</formula>
    </cfRule>
  </conditionalFormatting>
  <conditionalFormatting sqref="A37:F37">
    <cfRule type="expression" dxfId="43" priority="48">
      <formula>MOD(ROW(),2)=0</formula>
    </cfRule>
  </conditionalFormatting>
  <conditionalFormatting sqref="P83:Q83">
    <cfRule type="expression" dxfId="42" priority="24">
      <formula>MOD(ROW(),2)=0</formula>
    </cfRule>
  </conditionalFormatting>
  <conditionalFormatting sqref="A61:F61">
    <cfRule type="expression" dxfId="41" priority="46">
      <formula>MOD(ROW(),2)=0</formula>
    </cfRule>
  </conditionalFormatting>
  <conditionalFormatting sqref="W61 Y61:Z61 G61:O61 R61:U61">
    <cfRule type="expression" dxfId="40" priority="45">
      <formula>MOD(ROW(),2)=0</formula>
    </cfRule>
  </conditionalFormatting>
  <conditionalFormatting sqref="V61">
    <cfRule type="expression" dxfId="39" priority="44">
      <formula>MOD(ROW(),2)=0</formula>
    </cfRule>
  </conditionalFormatting>
  <conditionalFormatting sqref="Q61">
    <cfRule type="expression" dxfId="38" priority="43">
      <formula>MOD(ROW(),2)=0</formula>
    </cfRule>
  </conditionalFormatting>
  <conditionalFormatting sqref="P61:Q61">
    <cfRule type="expression" dxfId="37" priority="42">
      <formula>MOD(ROW(),2)=0</formula>
    </cfRule>
  </conditionalFormatting>
  <conditionalFormatting sqref="Y37:Z37 G37:O37 R37:W37">
    <cfRule type="expression" dxfId="36" priority="41">
      <formula>MOD(ROW(),2)=0</formula>
    </cfRule>
  </conditionalFormatting>
  <conditionalFormatting sqref="Q37">
    <cfRule type="expression" dxfId="35" priority="40">
      <formula>MOD(ROW(),2)=0</formula>
    </cfRule>
  </conditionalFormatting>
  <conditionalFormatting sqref="Q83">
    <cfRule type="expression" dxfId="34" priority="25">
      <formula>MOD(ROW(),2)=0</formula>
    </cfRule>
  </conditionalFormatting>
  <conditionalFormatting sqref="F83">
    <cfRule type="expression" dxfId="33" priority="36">
      <formula>MOD(ROW(),2)=0</formula>
    </cfRule>
  </conditionalFormatting>
  <conditionalFormatting sqref="A83:E83">
    <cfRule type="expression" dxfId="32" priority="35">
      <formula>MOD(ROW(),2)=0</formula>
    </cfRule>
  </conditionalFormatting>
  <conditionalFormatting sqref="M83:O83 U83">
    <cfRule type="expression" dxfId="31" priority="34">
      <formula>MOD(ROW(),2)=0</formula>
    </cfRule>
  </conditionalFormatting>
  <conditionalFormatting sqref="V83:W83">
    <cfRule type="expression" dxfId="30" priority="33">
      <formula>MOD(ROW(),2)=0</formula>
    </cfRule>
  </conditionalFormatting>
  <conditionalFormatting sqref="G83">
    <cfRule type="expression" dxfId="29" priority="32">
      <formula>MOD(ROW(),2)=0</formula>
    </cfRule>
  </conditionalFormatting>
  <conditionalFormatting sqref="H83">
    <cfRule type="expression" dxfId="28" priority="31">
      <formula>MOD(ROW(),2)=0</formula>
    </cfRule>
  </conditionalFormatting>
  <conditionalFormatting sqref="Y83:Z83">
    <cfRule type="expression" dxfId="27" priority="30">
      <formula>MOD(ROW(),2)=0</formula>
    </cfRule>
  </conditionalFormatting>
  <conditionalFormatting sqref="J83">
    <cfRule type="expression" dxfId="26" priority="29">
      <formula>MOD(ROW(),2)=0</formula>
    </cfRule>
  </conditionalFormatting>
  <conditionalFormatting sqref="I83:J83">
    <cfRule type="expression" dxfId="25" priority="28">
      <formula>MOD(ROW(),2)=0</formula>
    </cfRule>
  </conditionalFormatting>
  <conditionalFormatting sqref="K83:L83">
    <cfRule type="expression" dxfId="24" priority="27">
      <formula>MOD(ROW(),2)=0</formula>
    </cfRule>
  </conditionalFormatting>
  <conditionalFormatting sqref="R83:T83">
    <cfRule type="expression" dxfId="23" priority="26">
      <formula>MOD(ROW(),2)=0</formula>
    </cfRule>
  </conditionalFormatting>
  <conditionalFormatting sqref="F67:F68">
    <cfRule type="expression" dxfId="22" priority="23">
      <formula>MOD(ROW(),2)=0</formula>
    </cfRule>
  </conditionalFormatting>
  <conditionalFormatting sqref="A67:E67 A68">
    <cfRule type="expression" dxfId="21" priority="22">
      <formula>MOD(ROW(),2)=0</formula>
    </cfRule>
  </conditionalFormatting>
  <conditionalFormatting sqref="B68:E68">
    <cfRule type="expression" dxfId="20" priority="21">
      <formula>MOD(ROW(),2)=0</formula>
    </cfRule>
  </conditionalFormatting>
  <conditionalFormatting sqref="B9:E9">
    <cfRule type="expression" dxfId="19" priority="20">
      <formula>MOD(ROW(),2)=0</formula>
    </cfRule>
  </conditionalFormatting>
  <conditionalFormatting sqref="A12:B12 D12:E12">
    <cfRule type="expression" dxfId="18" priority="19">
      <formula>MOD(ROW(),2)=0</formula>
    </cfRule>
  </conditionalFormatting>
  <conditionalFormatting sqref="C12">
    <cfRule type="expression" dxfId="17" priority="18">
      <formula>MOD(ROW(),2)=0</formula>
    </cfRule>
  </conditionalFormatting>
  <conditionalFormatting sqref="Y12:Z12 G12:O12">
    <cfRule type="expression" dxfId="16" priority="17">
      <formula>MOD(ROW(),2)=0</formula>
    </cfRule>
  </conditionalFormatting>
  <conditionalFormatting sqref="V12:W12">
    <cfRule type="expression" dxfId="15" priority="16">
      <formula>MOD(ROW(),2)=0</formula>
    </cfRule>
  </conditionalFormatting>
  <conditionalFormatting sqref="R12">
    <cfRule type="expression" dxfId="14" priority="13">
      <formula>MOD(ROW(),2)=0</formula>
    </cfRule>
  </conditionalFormatting>
  <conditionalFormatting sqref="R12">
    <cfRule type="expression" dxfId="13" priority="12">
      <formula>MOD(ROW(),2)=0</formula>
    </cfRule>
  </conditionalFormatting>
  <conditionalFormatting sqref="S12:U12">
    <cfRule type="expression" dxfId="12" priority="10">
      <formula>MOD(ROW(),2)=0</formula>
    </cfRule>
  </conditionalFormatting>
  <conditionalFormatting sqref="N12:O12">
    <cfRule type="expression" dxfId="11" priority="15">
      <formula>MOD(ROW(),2)=0</formula>
    </cfRule>
  </conditionalFormatting>
  <conditionalFormatting sqref="M12:O12">
    <cfRule type="expression" dxfId="10" priority="14">
      <formula>MOD(ROW(),2)=0</formula>
    </cfRule>
  </conditionalFormatting>
  <conditionalFormatting sqref="T12:U12">
    <cfRule type="expression" dxfId="9" priority="11">
      <formula>MOD(ROW(),2)=0</formula>
    </cfRule>
  </conditionalFormatting>
  <conditionalFormatting sqref="Q12">
    <cfRule type="expression" dxfId="8" priority="9">
      <formula>MOD(ROW(),2)=0</formula>
    </cfRule>
  </conditionalFormatting>
  <conditionalFormatting sqref="P12:Q12">
    <cfRule type="expression" dxfId="7" priority="8">
      <formula>MOD(ROW(),2)=0</formula>
    </cfRule>
  </conditionalFormatting>
  <conditionalFormatting sqref="A54:C54 E54:F54">
    <cfRule type="expression" dxfId="6" priority="7">
      <formula>MOD(ROW(),2)=0</formula>
    </cfRule>
  </conditionalFormatting>
  <conditionalFormatting sqref="P54:Q54">
    <cfRule type="expression" dxfId="5" priority="1">
      <formula>MOD(ROW(),2)=0</formula>
    </cfRule>
  </conditionalFormatting>
  <conditionalFormatting sqref="D54">
    <cfRule type="expression" dxfId="4" priority="5">
      <formula>MOD(ROW(),2)=0</formula>
    </cfRule>
  </conditionalFormatting>
  <conditionalFormatting sqref="W54 R54:U54 G54:O54 Y54:Z54">
    <cfRule type="expression" dxfId="3" priority="4">
      <formula>MOD(ROW(),2)=0</formula>
    </cfRule>
  </conditionalFormatting>
  <conditionalFormatting sqref="V54">
    <cfRule type="expression" dxfId="2" priority="3">
      <formula>MOD(ROW(),2)=0</formula>
    </cfRule>
  </conditionalFormatting>
  <conditionalFormatting sqref="Q54">
    <cfRule type="expression" dxfId="1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2026-09-21T10:02:32Z</dcterms:modified>
</cp:coreProperties>
</file>