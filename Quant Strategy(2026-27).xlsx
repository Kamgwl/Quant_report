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Q58" i="44" l="1"/>
  <c r="Q54" i="44"/>
  <c r="P58" i="44"/>
  <c r="P54" i="44"/>
  <c r="T25" i="44"/>
  <c r="U25" i="44" s="1"/>
  <c r="O58" i="44"/>
  <c r="O54" i="44"/>
  <c r="T42" i="44"/>
  <c r="U42" i="44" s="1"/>
  <c r="L27" i="45"/>
  <c r="K27" i="45"/>
  <c r="J27" i="45"/>
  <c r="I27" i="45"/>
  <c r="H27" i="45"/>
  <c r="G27" i="45"/>
  <c r="Y22" i="44"/>
  <c r="N58" i="44"/>
  <c r="N54" i="44"/>
  <c r="T29" i="44"/>
  <c r="U29" i="44" s="1"/>
  <c r="M58" i="44"/>
  <c r="M54" i="44"/>
  <c r="L58" i="44"/>
  <c r="L54" i="44"/>
  <c r="K58" i="44"/>
  <c r="K54" i="44"/>
  <c r="J58" i="44"/>
  <c r="J54" i="44"/>
  <c r="I58" i="44"/>
  <c r="I54" i="44"/>
  <c r="M27" i="45" l="1"/>
  <c r="N27" i="45"/>
  <c r="S84" i="32"/>
  <c r="T10" i="32"/>
  <c r="T11" i="32"/>
  <c r="T12" i="32"/>
  <c r="T13" i="32"/>
  <c r="T14" i="32"/>
  <c r="T15" i="32"/>
  <c r="T16" i="32"/>
  <c r="T17" i="32"/>
  <c r="T18" i="32"/>
  <c r="T19" i="32"/>
  <c r="T20" i="32"/>
  <c r="T21" i="32"/>
  <c r="T22" i="32"/>
  <c r="T23" i="32"/>
  <c r="T24" i="32"/>
  <c r="T25" i="32"/>
  <c r="T26" i="32"/>
  <c r="T27" i="32"/>
  <c r="T28" i="32"/>
  <c r="T29" i="32"/>
  <c r="T30" i="32"/>
  <c r="T31" i="32"/>
  <c r="T32" i="32"/>
  <c r="T33" i="32"/>
  <c r="T34" i="32"/>
  <c r="T35" i="32"/>
  <c r="T36" i="32"/>
  <c r="T37" i="32"/>
  <c r="T38" i="32"/>
  <c r="T39" i="32"/>
  <c r="T40" i="32"/>
  <c r="T41" i="32"/>
  <c r="T42" i="32"/>
  <c r="T43" i="32"/>
  <c r="T44" i="32"/>
  <c r="T45" i="32"/>
  <c r="T46" i="32"/>
  <c r="T47" i="32"/>
  <c r="T48" i="32"/>
  <c r="T49" i="32"/>
  <c r="T50" i="32"/>
  <c r="T51" i="32"/>
  <c r="T52" i="32"/>
  <c r="T53" i="32"/>
  <c r="T54" i="32"/>
  <c r="T55" i="32"/>
  <c r="T56" i="32"/>
  <c r="T57" i="32"/>
  <c r="T58" i="32"/>
  <c r="T59" i="32"/>
  <c r="T60" i="32"/>
  <c r="T61" i="32"/>
  <c r="T62" i="32"/>
  <c r="T63" i="32"/>
  <c r="T64" i="32"/>
  <c r="T65" i="32"/>
  <c r="T66" i="32"/>
  <c r="T67" i="32"/>
  <c r="T68" i="32"/>
  <c r="T69" i="32"/>
  <c r="T70" i="32"/>
  <c r="T71" i="32"/>
  <c r="T72" i="32"/>
  <c r="T73" i="32"/>
  <c r="T74" i="32"/>
  <c r="T75" i="32"/>
  <c r="T76" i="32"/>
  <c r="T9" i="32"/>
  <c r="T5" i="32"/>
  <c r="T6" i="32"/>
  <c r="T7" i="32"/>
  <c r="T8" i="32"/>
  <c r="S5" i="32"/>
  <c r="S14" i="32"/>
  <c r="S15" i="32"/>
  <c r="S16" i="32"/>
  <c r="S17" i="32"/>
  <c r="S20" i="32"/>
  <c r="S25" i="32"/>
  <c r="S26" i="32"/>
  <c r="S27" i="32"/>
  <c r="S31" i="32"/>
  <c r="S35" i="32"/>
  <c r="S48" i="32"/>
  <c r="S66" i="32"/>
  <c r="S68" i="32"/>
  <c r="S72" i="32"/>
  <c r="S4" i="32"/>
  <c r="T4" i="32"/>
  <c r="L58" i="45"/>
  <c r="K58" i="45"/>
  <c r="J58" i="45"/>
  <c r="I58" i="45"/>
  <c r="L57" i="45"/>
  <c r="K57" i="45"/>
  <c r="K59" i="45" s="1"/>
  <c r="J57" i="45"/>
  <c r="I57" i="45"/>
  <c r="I59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4" i="45"/>
  <c r="L25" i="45"/>
  <c r="L26" i="45"/>
  <c r="L28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1" i="45"/>
  <c r="L42" i="45"/>
  <c r="L43" i="45"/>
  <c r="L44" i="45"/>
  <c r="L45" i="45"/>
  <c r="L46" i="45"/>
  <c r="L47" i="45"/>
  <c r="L48" i="45"/>
  <c r="L49" i="45"/>
  <c r="L50" i="45"/>
  <c r="L51" i="45"/>
  <c r="L52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4" i="45"/>
  <c r="J25" i="45"/>
  <c r="J26" i="45"/>
  <c r="J28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4" i="45"/>
  <c r="H42" i="45"/>
  <c r="H46" i="45"/>
  <c r="H51" i="45"/>
  <c r="G42" i="45"/>
  <c r="G46" i="45"/>
  <c r="G51" i="45"/>
  <c r="S58" i="44"/>
  <c r="H58" i="44"/>
  <c r="T57" i="44"/>
  <c r="U57" i="44" s="1"/>
  <c r="H58" i="45" s="1"/>
  <c r="N58" i="45" s="1"/>
  <c r="T56" i="44"/>
  <c r="U56" i="44" s="1"/>
  <c r="H57" i="45" s="1"/>
  <c r="S54" i="44"/>
  <c r="H54" i="44"/>
  <c r="T53" i="44"/>
  <c r="U53" i="44" s="1"/>
  <c r="H52" i="45" s="1"/>
  <c r="T52" i="44"/>
  <c r="U52" i="44" s="1"/>
  <c r="T51" i="44"/>
  <c r="U51" i="44" s="1"/>
  <c r="H50" i="45" s="1"/>
  <c r="T50" i="44"/>
  <c r="U50" i="44" s="1"/>
  <c r="H49" i="45" s="1"/>
  <c r="T49" i="44"/>
  <c r="U49" i="44" s="1"/>
  <c r="H48" i="45" s="1"/>
  <c r="T48" i="44"/>
  <c r="U48" i="44" s="1"/>
  <c r="H47" i="45" s="1"/>
  <c r="T47" i="44"/>
  <c r="U47" i="44" s="1"/>
  <c r="H45" i="45" s="1"/>
  <c r="T46" i="44"/>
  <c r="U46" i="44" s="1"/>
  <c r="H41" i="45" s="1"/>
  <c r="T45" i="44"/>
  <c r="U45" i="44" s="1"/>
  <c r="H44" i="45" s="1"/>
  <c r="T44" i="44"/>
  <c r="U44" i="44" s="1"/>
  <c r="H43" i="45" s="1"/>
  <c r="T43" i="44"/>
  <c r="U43" i="44" s="1"/>
  <c r="H40" i="45" s="1"/>
  <c r="T41" i="44"/>
  <c r="U41" i="44" s="1"/>
  <c r="H39" i="45" s="1"/>
  <c r="T40" i="44"/>
  <c r="U40" i="44" s="1"/>
  <c r="H38" i="45" s="1"/>
  <c r="T39" i="44"/>
  <c r="U39" i="44" s="1"/>
  <c r="H37" i="45" s="1"/>
  <c r="T38" i="44"/>
  <c r="U38" i="44" s="1"/>
  <c r="H36" i="45" s="1"/>
  <c r="T37" i="44"/>
  <c r="U37" i="44" s="1"/>
  <c r="H35" i="45" s="1"/>
  <c r="T36" i="44"/>
  <c r="U36" i="44" s="1"/>
  <c r="H34" i="45" s="1"/>
  <c r="T35" i="44"/>
  <c r="U35" i="44" s="1"/>
  <c r="H33" i="45" s="1"/>
  <c r="X36" i="44"/>
  <c r="X38" i="44" s="1"/>
  <c r="T34" i="44"/>
  <c r="U34" i="44" s="1"/>
  <c r="H32" i="45" s="1"/>
  <c r="T33" i="44"/>
  <c r="U33" i="44" s="1"/>
  <c r="H31" i="45" s="1"/>
  <c r="T32" i="44"/>
  <c r="U32" i="44" s="1"/>
  <c r="H30" i="45" s="1"/>
  <c r="T31" i="44"/>
  <c r="U31" i="44" s="1"/>
  <c r="H29" i="45" s="1"/>
  <c r="T30" i="44"/>
  <c r="U30" i="44" s="1"/>
  <c r="H28" i="45" s="1"/>
  <c r="T28" i="44"/>
  <c r="U28" i="44" s="1"/>
  <c r="H26" i="45" s="1"/>
  <c r="T27" i="44"/>
  <c r="U27" i="44" s="1"/>
  <c r="H25" i="45" s="1"/>
  <c r="T26" i="44"/>
  <c r="U26" i="44" s="1"/>
  <c r="H24" i="45" s="1"/>
  <c r="T24" i="44"/>
  <c r="U24" i="44" s="1"/>
  <c r="H23" i="45" s="1"/>
  <c r="T23" i="44"/>
  <c r="U23" i="44" s="1"/>
  <c r="H22" i="45" s="1"/>
  <c r="T22" i="44"/>
  <c r="U22" i="44" s="1"/>
  <c r="T21" i="44"/>
  <c r="U21" i="44" s="1"/>
  <c r="H20" i="45" s="1"/>
  <c r="T20" i="44"/>
  <c r="U20" i="44" s="1"/>
  <c r="H19" i="45" s="1"/>
  <c r="T19" i="44"/>
  <c r="U19" i="44" s="1"/>
  <c r="H18" i="45" s="1"/>
  <c r="T18" i="44"/>
  <c r="U18" i="44" s="1"/>
  <c r="H21" i="45" s="1"/>
  <c r="T17" i="44"/>
  <c r="U17" i="44" s="1"/>
  <c r="H17" i="45" s="1"/>
  <c r="AF16" i="44"/>
  <c r="AD16" i="44"/>
  <c r="AD17" i="44" s="1"/>
  <c r="T16" i="44"/>
  <c r="U16" i="44" s="1"/>
  <c r="H16" i="45" s="1"/>
  <c r="T15" i="44"/>
  <c r="U15" i="44" s="1"/>
  <c r="H14" i="45" s="1"/>
  <c r="T14" i="44"/>
  <c r="U14" i="44" s="1"/>
  <c r="H15" i="45" s="1"/>
  <c r="T13" i="44"/>
  <c r="U13" i="44" s="1"/>
  <c r="H13" i="45" s="1"/>
  <c r="T12" i="44"/>
  <c r="U12" i="44" s="1"/>
  <c r="H12" i="45" s="1"/>
  <c r="T11" i="44"/>
  <c r="G11" i="45" s="1"/>
  <c r="T10" i="44"/>
  <c r="U10" i="44" s="1"/>
  <c r="H10" i="45" s="1"/>
  <c r="X9" i="44"/>
  <c r="X14" i="44" s="1"/>
  <c r="AC14" i="44" s="1"/>
  <c r="T9" i="44"/>
  <c r="G9" i="45" s="1"/>
  <c r="T8" i="44"/>
  <c r="U8" i="44" s="1"/>
  <c r="H8" i="45" s="1"/>
  <c r="T7" i="44"/>
  <c r="U7" i="44" s="1"/>
  <c r="H7" i="45" s="1"/>
  <c r="T6" i="44"/>
  <c r="U6" i="44" s="1"/>
  <c r="H6" i="45" s="1"/>
  <c r="T5" i="44"/>
  <c r="U5" i="44" s="1"/>
  <c r="H5" i="45" s="1"/>
  <c r="T4" i="44"/>
  <c r="U4" i="44" s="1"/>
  <c r="H4" i="45" s="1"/>
  <c r="AA61" i="43"/>
  <c r="AA57" i="43"/>
  <c r="N12" i="45" l="1"/>
  <c r="N21" i="45"/>
  <c r="N57" i="45"/>
  <c r="N25" i="45"/>
  <c r="N33" i="45"/>
  <c r="N30" i="45"/>
  <c r="M9" i="45"/>
  <c r="S12" i="32" s="1"/>
  <c r="N5" i="45"/>
  <c r="N16" i="45"/>
  <c r="N13" i="45"/>
  <c r="N31" i="45"/>
  <c r="G33" i="45"/>
  <c r="M33" i="45" s="1"/>
  <c r="S53" i="32" s="1"/>
  <c r="S40" i="32"/>
  <c r="N23" i="45"/>
  <c r="N35" i="45"/>
  <c r="N4" i="45"/>
  <c r="N8" i="45"/>
  <c r="N20" i="45"/>
  <c r="K53" i="45"/>
  <c r="N40" i="45"/>
  <c r="N18" i="45"/>
  <c r="N22" i="45"/>
  <c r="N26" i="45"/>
  <c r="N43" i="45"/>
  <c r="N7" i="45"/>
  <c r="N10" i="45"/>
  <c r="N15" i="45"/>
  <c r="N19" i="45"/>
  <c r="N32" i="45"/>
  <c r="N38" i="45"/>
  <c r="N47" i="45"/>
  <c r="U9" i="44"/>
  <c r="H9" i="45" s="1"/>
  <c r="N9" i="45" s="1"/>
  <c r="U11" i="44"/>
  <c r="H11" i="45" s="1"/>
  <c r="N11" i="45" s="1"/>
  <c r="S42" i="32"/>
  <c r="M46" i="45"/>
  <c r="N36" i="45"/>
  <c r="S43" i="32"/>
  <c r="N46" i="45"/>
  <c r="M11" i="45"/>
  <c r="S18" i="32" s="1"/>
  <c r="M42" i="45"/>
  <c r="S64" i="32" s="1"/>
  <c r="S33" i="32"/>
  <c r="N6" i="45"/>
  <c r="N14" i="45"/>
  <c r="N17" i="45"/>
  <c r="N24" i="45"/>
  <c r="N29" i="45"/>
  <c r="N50" i="45"/>
  <c r="S23" i="32"/>
  <c r="N42" i="45"/>
  <c r="G39" i="45"/>
  <c r="M39" i="45" s="1"/>
  <c r="S60" i="32" s="1"/>
  <c r="G43" i="45"/>
  <c r="M43" i="45" s="1"/>
  <c r="S63" i="32" s="1"/>
  <c r="G19" i="45"/>
  <c r="M19" i="45" s="1"/>
  <c r="G31" i="45"/>
  <c r="M31" i="45" s="1"/>
  <c r="S49" i="32" s="1"/>
  <c r="G48" i="45"/>
  <c r="M48" i="45" s="1"/>
  <c r="S70" i="32" s="1"/>
  <c r="G44" i="45"/>
  <c r="M44" i="45" s="1"/>
  <c r="S65" i="32" s="1"/>
  <c r="G40" i="45"/>
  <c r="M40" i="45" s="1"/>
  <c r="S61" i="32" s="1"/>
  <c r="S58" i="32"/>
  <c r="G34" i="45"/>
  <c r="M34" i="45" s="1"/>
  <c r="S54" i="32" s="1"/>
  <c r="S50" i="32"/>
  <c r="G28" i="45"/>
  <c r="M28" i="45" s="1"/>
  <c r="S45" i="32" s="1"/>
  <c r="G23" i="45"/>
  <c r="M23" i="45" s="1"/>
  <c r="S36" i="32" s="1"/>
  <c r="G20" i="45"/>
  <c r="M20" i="45" s="1"/>
  <c r="G14" i="45"/>
  <c r="M14" i="45" s="1"/>
  <c r="S24" i="32" s="1"/>
  <c r="G7" i="45"/>
  <c r="M7" i="45" s="1"/>
  <c r="S10" i="32" s="1"/>
  <c r="G57" i="45"/>
  <c r="M57" i="45" s="1"/>
  <c r="G47" i="45"/>
  <c r="M47" i="45" s="1"/>
  <c r="S69" i="32" s="1"/>
  <c r="G22" i="45"/>
  <c r="M22" i="45" s="1"/>
  <c r="S34" i="32" s="1"/>
  <c r="G10" i="45"/>
  <c r="M10" i="45" s="1"/>
  <c r="S13" i="32" s="1"/>
  <c r="G6" i="45"/>
  <c r="M6" i="45" s="1"/>
  <c r="S9" i="32" s="1"/>
  <c r="G4" i="45"/>
  <c r="M4" i="45" s="1"/>
  <c r="S6" i="32" s="1"/>
  <c r="G50" i="45"/>
  <c r="M50" i="45" s="1"/>
  <c r="S73" i="32" s="1"/>
  <c r="G38" i="45"/>
  <c r="M38" i="45" s="1"/>
  <c r="S59" i="32" s="1"/>
  <c r="G36" i="45"/>
  <c r="M36" i="45" s="1"/>
  <c r="S56" i="32" s="1"/>
  <c r="G32" i="45"/>
  <c r="M32" i="45" s="1"/>
  <c r="S52" i="32" s="1"/>
  <c r="G30" i="45"/>
  <c r="M30" i="45" s="1"/>
  <c r="S47" i="32" s="1"/>
  <c r="G26" i="45"/>
  <c r="M26" i="45" s="1"/>
  <c r="S39" i="32" s="1"/>
  <c r="G18" i="45"/>
  <c r="M18" i="45" s="1"/>
  <c r="S30" i="32" s="1"/>
  <c r="G13" i="45"/>
  <c r="M13" i="45" s="1"/>
  <c r="S21" i="32" s="1"/>
  <c r="S8" i="32"/>
  <c r="G58" i="45"/>
  <c r="M58" i="45" s="1"/>
  <c r="G52" i="45"/>
  <c r="M52" i="45" s="1"/>
  <c r="S76" i="32" s="1"/>
  <c r="G49" i="45"/>
  <c r="M49" i="45" s="1"/>
  <c r="S71" i="32" s="1"/>
  <c r="G45" i="45"/>
  <c r="M45" i="45" s="1"/>
  <c r="S67" i="32" s="1"/>
  <c r="G41" i="45"/>
  <c r="M41" i="45" s="1"/>
  <c r="S62" i="32" s="1"/>
  <c r="G37" i="45"/>
  <c r="M37" i="45" s="1"/>
  <c r="G35" i="45"/>
  <c r="M35" i="45" s="1"/>
  <c r="S55" i="32" s="1"/>
  <c r="S51" i="32"/>
  <c r="G29" i="45"/>
  <c r="M29" i="45" s="1"/>
  <c r="S46" i="32" s="1"/>
  <c r="G24" i="45"/>
  <c r="M24" i="45" s="1"/>
  <c r="S37" i="32" s="1"/>
  <c r="G21" i="45"/>
  <c r="M21" i="45" s="1"/>
  <c r="S32" i="32" s="1"/>
  <c r="G15" i="45"/>
  <c r="M15" i="45" s="1"/>
  <c r="S22" i="32" s="1"/>
  <c r="G12" i="45"/>
  <c r="M12" i="45" s="1"/>
  <c r="S19" i="32" s="1"/>
  <c r="G8" i="45"/>
  <c r="M8" i="45" s="1"/>
  <c r="S11" i="32" s="1"/>
  <c r="G25" i="45"/>
  <c r="M25" i="45" s="1"/>
  <c r="S38" i="32" s="1"/>
  <c r="G17" i="45"/>
  <c r="M17" i="45" s="1"/>
  <c r="S29" i="32" s="1"/>
  <c r="G16" i="45"/>
  <c r="M16" i="45" s="1"/>
  <c r="S28" i="32" s="1"/>
  <c r="N49" i="45"/>
  <c r="N41" i="45"/>
  <c r="N37" i="45"/>
  <c r="G5" i="45"/>
  <c r="M5" i="45" s="1"/>
  <c r="S7" i="32" s="1"/>
  <c r="S57" i="32"/>
  <c r="S44" i="32"/>
  <c r="N34" i="45"/>
  <c r="N28" i="45"/>
  <c r="N39" i="45"/>
  <c r="S74" i="32"/>
  <c r="N52" i="45"/>
  <c r="N45" i="45"/>
  <c r="N44" i="45"/>
  <c r="S41" i="32"/>
  <c r="N51" i="45"/>
  <c r="N48" i="45"/>
  <c r="M51" i="45"/>
  <c r="S75" i="32" s="1"/>
  <c r="I53" i="45"/>
  <c r="T54" i="44"/>
  <c r="U54" i="44" s="1"/>
  <c r="T58" i="44"/>
  <c r="Z61" i="43"/>
  <c r="Z57" i="43"/>
  <c r="S77" i="32" l="1"/>
  <c r="M59" i="45"/>
  <c r="G59" i="45"/>
  <c r="M53" i="45"/>
  <c r="G53" i="45"/>
  <c r="AC55" i="43"/>
  <c r="AD55" i="43" s="1"/>
  <c r="Y61" i="43"/>
  <c r="Y57" i="43"/>
  <c r="X61" i="43"/>
  <c r="X57" i="43"/>
  <c r="W61" i="43" l="1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P61" i="43" l="1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M77" i="32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L12" i="32"/>
  <c r="K12" i="32"/>
  <c r="J12" i="32"/>
  <c r="I12" i="32"/>
  <c r="H12" i="32"/>
  <c r="G12" i="32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Q54" i="32" s="1"/>
  <c r="K43" i="41"/>
  <c r="M43" i="41" s="1"/>
  <c r="P54" i="32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N12" i="32"/>
  <c r="AC61" i="43"/>
  <c r="AC57" i="43"/>
  <c r="AD57" i="43" s="1"/>
  <c r="M54" i="32"/>
  <c r="M12" i="32"/>
  <c r="N54" i="32"/>
  <c r="AC25" i="42"/>
  <c r="AD25" i="42" s="1"/>
  <c r="M68" i="32"/>
  <c r="N68" i="32"/>
  <c r="P68" i="32"/>
  <c r="Q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Q9" i="32" s="1"/>
  <c r="Z9" i="32" s="1"/>
  <c r="M7" i="41"/>
  <c r="P9" i="32" s="1"/>
  <c r="Y9" i="32" s="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37" i="32"/>
  <c r="K37" i="32"/>
  <c r="J37" i="32"/>
  <c r="I37" i="32"/>
  <c r="H37" i="32"/>
  <c r="G37" i="32"/>
  <c r="L61" i="32"/>
  <c r="K61" i="32"/>
  <c r="J61" i="32"/>
  <c r="I61" i="32"/>
  <c r="H61" i="32"/>
  <c r="G61" i="32"/>
  <c r="L76" i="32"/>
  <c r="K76" i="32"/>
  <c r="J76" i="32"/>
  <c r="I76" i="32"/>
  <c r="H76" i="32"/>
  <c r="G76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M69" i="41" l="1"/>
  <c r="G71" i="41"/>
  <c r="P82" i="32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<sst xmlns="http://schemas.openxmlformats.org/spreadsheetml/2006/main" count="3209" uniqueCount="338">
  <si>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</si>
  <si>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</si>
  <si>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</si>
  <si>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</si>
  <si>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</si>
  <si>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</si>
  <si>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</si>
  <si>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</si>
  <si>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</si>
  <si>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</si>
  <si>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</si>
  <si>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</si>
  <si>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</si>
  <si>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</si>
  <si>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</si>
  <si>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</si>
  <si>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</si>
  <si>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</si>
  <si>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</si>
  <si>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</si>
  <si>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</si>
  <si>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</si>
  <si>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</si>
  <si>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</si>
  <si>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</si>
  <si>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</si>
  <si>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</si>
  <si>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</si>
  <si>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</si>
  <si>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</si>
  <si>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</si>
  <si>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</si>
  <si>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</si>
  <si>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</si>
  <si>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</si>
  <si>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</si>
  <si>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</si>
  <si>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</si>
  <si>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</si>
  <si>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</si>
  <si>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</si>
  <si>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</si>
  <si>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</si>
  <si>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</si>
  <si>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</si>
  <si>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</si>
  <si>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</si>
  <si>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</si>
  <si>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</si>
  <si>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</si>
  <si>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</si>
  <si>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</si>
  <si>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</si>
  <si>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</si>
  <si>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</si>
  <si>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</si>
  <si>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</si>
  <si>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</si>
  <si>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</si>
  <si>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</si>
  <si>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</si>
  <si>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</si>
  <si>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</si>
  <si>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</si>
  <si>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</si>
  <si>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</si>
  <si>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</si>
  <si>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</si>
  <si>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</si>
  <si>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</si>
  <si>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</si>
  <si>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</si>
  <si>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</si>
  <si>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</si>
  <si>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</si>
  <si>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</si>
  <si>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</si>
  <si>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</si>
  <si>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</si>
  <si>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</si>
  <si>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</si>
  <si>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</si>
  <si>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</si>
  <si>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</si>
  <si>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</si>
  <si>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</si>
  <si>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</si>
  <si>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</si>
  <si>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</si>
  <si>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</si>
  <si>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</si>
  <si>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</si>
  <si>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</si>
  <si>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</si>
  <si>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</si>
  <si>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</si>
  <si>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</si>
  <si>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</si>
  <si>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</si>
  <si>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</si>
  <si>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</si>
  <si>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</si>
  <si>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</si>
  <si>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</si>
  <si>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</si>
  <si>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</si>
  <si>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</si>
  <si>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</si>
  <si>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</si>
  <si>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</si>
  <si>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</si>
  <si>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</si>
  <si>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</si>
  <si>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</si>
  <si>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</si>
  <si>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</si>
  <si>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</si>
  <si>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</si>
  <si>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</si>
  <si>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</si>
  <si>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</si>
  <si>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</si>
  <si>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</si>
  <si>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</si>
  <si>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</si>
  <si>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</si>
  <si>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</si>
  <si>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</si>
  <si>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</si>
  <si>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</si>
  <si>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</si>
  <si>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</si>
  <si>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</si>
  <si>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</si>
  <si>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</si>
  <si>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</si>
  <si>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</si>
  <si>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</si>
  <si>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</si>
  <si>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</si>
  <si>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</si>
  <si>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</si>
  <si>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</si>
  <si>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</si>
  <si>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</si>
  <si>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</si>
  <si>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</si>
  <si>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</si>
  <si>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</si>
  <si>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</si>
  <si>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</si>
  <si>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</si>
  <si>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</si>
  <si>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</si>
  <si>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</si>
  <si>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</si>
  <si>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</si>
  <si>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</si>
  <si>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</si>
  <si>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</si>
  <si>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</si>
  <si>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</si>
  <si>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</si>
  <si>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</si>
  <si>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</si>
  <si>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</si>
  <si>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</si>
  <si>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</si>
  <si>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</si>
  <si>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</si>
  <si>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</si>
  <si>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</si>
  <si>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</si>
  <si>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</si>
  <si>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</si>
  <si>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</si>
  <si>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</si>
  <si>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</si>
  <si>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</si>
  <si>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</si>
  <si>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</si>
  <si>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</si>
  <si>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</si>
  <si>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</si>
  <si>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</si>
  <si>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</si>
  <si>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</si>
  <si>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</si>
  <si>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</si>
  <si>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</si>
  <si>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</si>
  <si>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</si>
  <si>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</si>
  <si>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</si>
  <si>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</si>
  <si>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</si>
  <si>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</si>
  <si>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</si>
  <si>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</si>
  <si>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</si>
  <si>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</si>
  <si>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</si>
  <si>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</si>
  <si>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</si>
  <si>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</si>
  <si>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</si>
  <si>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</si>
  <si>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</si>
  <si>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</si>
  <si>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</si>
  <si>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</si>
  <si>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</si>
  <si>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</si>
  <si>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</si>
  <si>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</si>
  <si>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</si>
  <si>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</si>
  <si>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</si>
  <si>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</si>
  <si>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</si>
  <si>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</si>
  <si>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</si>
  <si>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</si>
  <si>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</si>
  <si>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</si>
  <si>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</si>
  <si>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</si>
  <si>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</si>
  <si>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</si>
  <si>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</si>
  <si>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</si>
  <si>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</si>
  <si>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</si>
  <si>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</si>
  <si>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</si>
  <si>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</si>
  <si>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</si>
  <si>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</si>
  <si>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</si>
  <si>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</si>
  <si>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</si>
  <si>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</si>
  <si>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</si>
  <si>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</si>
  <si>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</si>
  <si>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</si>
  <si>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</si>
  <si>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</si>
  <si>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</si>
  <si>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</si>
  <si>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</si>
  <si>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</si>
  <si>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</si>
  <si>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</si>
  <si>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</si>
  <si>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</si>
  <si>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</si>
  <si>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</si>
  <si>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</si>
  <si>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</si>
  <si>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</si>
  <si>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</si>
  <si>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</si>
  <si>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</si>
  <si>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</si>
  <si>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</si>
  <si>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</si>
  <si>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</si>
  <si>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</si>
  <si>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</si>
  <si>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</si>
  <si>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</si>
  <si>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</si>
  <si>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</si>
  <si>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</si>
  <si>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</si>
  <si>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</si>
  <si>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</si>
  <si>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</si>
  <si>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</si>
  <si>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</si>
  <si>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</si>
  <si>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</si>
  <si>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</si>
  <si>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</si>
  <si>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</si>
  <si>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</si>
  <si>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</si>
  <si>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</si>
  <si>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</si>
  <si>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</si>
  <si>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</si>
  <si>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</si>
  <si>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</si>
  <si>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</si>
  <si>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</si>
  <si>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</si>
  <si>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</si>
  <si>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</si>
  <si>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</si>
  <si>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</si>
  <si>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</si>
  <si>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</si>
  <si>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</si>
  <si>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</si>
  <si>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</si>
  <si>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</si>
  <si>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</si>
  <si>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</si>
  <si>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</si>
  <si>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</si>
  <si>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</si>
  <si>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</si>
  <si>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</si>
  <si>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</si>
  <si>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</si>
  <si>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</si>
  <si>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</si>
  <si>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</si>
  <si>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</si>
  <si>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</si>
  <si>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</si>
  <si>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</si>
  <si>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</si>
  <si>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</si>
  <si>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</si>
  <si>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</si>
  <si>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</si>
  <si>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</si>
  <si>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</si>
  <si>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</si>
  <si>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</si>
  <si>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</si>
  <si>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</si>
  <si>
    <t>Stock fo</t>
  </si>
  <si>
    <t>P3244</t>
  </si>
  <si>
    <t>P3058</t>
  </si>
  <si>
    <t>ATS_1513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</si>
</sst>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</cellXfs>
  <cellStyles count="2">
    <cellStyle name="Comma" xfId="1" builtinId="3"/>
    <cellStyle name="Normal" xfId="0" builtinId="0"/>
  </cellStyles>
  <dxfs count="553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67"/>
  <sheetViews>
    <sheetView tabSelected="1" topLeftCell="B23" workbookViewId="0">
      <selection activeCell="Q59" sqref="Q5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19" width="11.28515625" style="132" customWidth="1"/>
    <col min="20" max="20" width="10.42578125" style="132" hidden="1" customWidth="1" outlineLevel="1"/>
    <col min="21" max="21" width="10.7109375" style="132" hidden="1" customWidth="1" outlineLevel="1"/>
    <col min="22" max="22" width="9.140625" style="132" collapsed="1"/>
    <col min="23" max="27" width="9.140625" style="132"/>
    <col min="28" max="28" width="14.140625" style="132" customWidth="1"/>
    <col min="29" max="29" width="12" style="132" customWidth="1"/>
    <col min="30" max="30" width="15.85546875" style="132" customWidth="1"/>
    <col min="31" max="16384" width="9.140625" style="132"/>
  </cols>
  <sheetData>
    <row r="1" spans="1:32" ht="15.75" thickBot="1" x14ac:dyDescent="0.3"/>
    <row r="2" spans="1:32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255">
        <v>46307</v>
      </c>
      <c r="O2" s="255">
        <v>46308</v>
      </c>
      <c r="P2" s="255">
        <v>46309</v>
      </c>
      <c r="Q2" s="255">
        <v>46310</v>
      </c>
      <c r="R2" s="255"/>
      <c r="S2" s="182"/>
      <c r="T2" s="183" t="s">
        <v>325</v>
      </c>
      <c r="U2" s="184" t="s">
        <v>326</v>
      </c>
    </row>
    <row r="3" spans="1:32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8" t="s">
        <v>234</v>
      </c>
      <c r="O3" s="178" t="s">
        <v>233</v>
      </c>
      <c r="P3" s="178" t="s">
        <v>237</v>
      </c>
      <c r="Q3" s="178" t="s">
        <v>236</v>
      </c>
      <c r="R3" s="178"/>
      <c r="S3" s="179"/>
      <c r="T3" s="188"/>
      <c r="U3" s="179"/>
      <c r="AB3" s="132" t="s">
        <v>198</v>
      </c>
      <c r="AC3" s="132">
        <v>13780</v>
      </c>
    </row>
    <row r="4" spans="1:32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157">
        <v>20138</v>
      </c>
      <c r="O4" s="157">
        <v>2032</v>
      </c>
      <c r="P4" s="157">
        <v>-4915</v>
      </c>
      <c r="Q4" s="157">
        <v>20376</v>
      </c>
      <c r="R4" s="157"/>
      <c r="S4" s="210"/>
      <c r="T4" s="170">
        <f t="shared" ref="T4:T37" si="0">SUM(H4:S4)</f>
        <v>124251</v>
      </c>
      <c r="U4" s="148">
        <f t="shared" ref="U4:U37" si="1">IFERROR(T4/F4*100,0)/10000000</f>
        <v>2.48502</v>
      </c>
      <c r="AB4" s="132" t="s">
        <v>170</v>
      </c>
      <c r="AC4" s="132">
        <v>2865</v>
      </c>
    </row>
    <row r="5" spans="1:32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46">
        <v>267650</v>
      </c>
      <c r="O5" s="146">
        <v>-166064</v>
      </c>
      <c r="P5" s="146">
        <v>20733</v>
      </c>
      <c r="Q5" s="146">
        <v>-56438</v>
      </c>
      <c r="R5" s="146"/>
      <c r="S5" s="173"/>
      <c r="T5" s="170">
        <f t="shared" si="0"/>
        <v>373921</v>
      </c>
      <c r="U5" s="148">
        <f t="shared" si="1"/>
        <v>1.2464033333333333</v>
      </c>
    </row>
    <row r="6" spans="1:32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46">
        <v>-10500</v>
      </c>
      <c r="O6" s="146">
        <v>68700</v>
      </c>
      <c r="P6" s="146">
        <v>47900</v>
      </c>
      <c r="Q6" s="146">
        <v>13400</v>
      </c>
      <c r="R6" s="146"/>
      <c r="S6" s="173"/>
      <c r="T6" s="170">
        <f t="shared" si="0"/>
        <v>247837</v>
      </c>
      <c r="U6" s="148">
        <f t="shared" si="1"/>
        <v>2.47837</v>
      </c>
    </row>
    <row r="7" spans="1:32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46">
        <v>-116400</v>
      </c>
      <c r="O7" s="146">
        <v>190500</v>
      </c>
      <c r="P7" s="146">
        <v>114600</v>
      </c>
      <c r="Q7" s="146">
        <v>6628</v>
      </c>
      <c r="R7" s="146"/>
      <c r="S7" s="173"/>
      <c r="T7" s="170">
        <f t="shared" si="0"/>
        <v>-4882</v>
      </c>
      <c r="U7" s="148">
        <f t="shared" si="1"/>
        <v>-1.6273333333333331E-2</v>
      </c>
      <c r="W7" s="5"/>
      <c r="X7" s="133">
        <v>-12197</v>
      </c>
    </row>
    <row r="8" spans="1:32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46">
        <v>27600</v>
      </c>
      <c r="O8" s="146">
        <v>18375</v>
      </c>
      <c r="P8" s="146">
        <v>-2657</v>
      </c>
      <c r="Q8" s="146">
        <v>70564</v>
      </c>
      <c r="R8" s="146"/>
      <c r="S8" s="173"/>
      <c r="T8" s="170">
        <f t="shared" si="0"/>
        <v>264612</v>
      </c>
      <c r="U8" s="148">
        <f t="shared" si="1"/>
        <v>1.7640800000000001</v>
      </c>
      <c r="W8" s="133">
        <v>292763</v>
      </c>
      <c r="X8" s="133"/>
    </row>
    <row r="9" spans="1:32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46">
        <v>-22490</v>
      </c>
      <c r="O9" s="146">
        <v>34300</v>
      </c>
      <c r="P9" s="146">
        <v>-22700</v>
      </c>
      <c r="Q9" s="146">
        <v>29000</v>
      </c>
      <c r="R9" s="146"/>
      <c r="S9" s="173"/>
      <c r="T9" s="170">
        <f t="shared" si="0"/>
        <v>96324</v>
      </c>
      <c r="U9" s="148">
        <f t="shared" si="1"/>
        <v>1.6053999999999999</v>
      </c>
      <c r="W9" s="133">
        <v>280566</v>
      </c>
      <c r="X9" s="133">
        <f>(W9+W8)/10000000*13780</f>
        <v>790.04736200000002</v>
      </c>
    </row>
    <row r="10" spans="1:32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46">
        <v>-66300</v>
      </c>
      <c r="O10" s="146">
        <v>316800</v>
      </c>
      <c r="P10" s="146">
        <v>0</v>
      </c>
      <c r="Q10" s="146">
        <v>-235700</v>
      </c>
      <c r="R10" s="146"/>
      <c r="S10" s="173"/>
      <c r="T10" s="170">
        <f t="shared" si="0"/>
        <v>-137320</v>
      </c>
      <c r="U10" s="148">
        <f t="shared" si="1"/>
        <v>-9.1546666666666665E-2</v>
      </c>
      <c r="W10" s="133"/>
      <c r="X10" s="133"/>
    </row>
    <row r="11" spans="1:32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46">
        <v>16000</v>
      </c>
      <c r="O11" s="146">
        <v>266734</v>
      </c>
      <c r="P11" s="146">
        <v>0</v>
      </c>
      <c r="Q11" s="146">
        <v>102848</v>
      </c>
      <c r="R11" s="146"/>
      <c r="S11" s="173"/>
      <c r="T11" s="170">
        <f t="shared" si="0"/>
        <v>611713</v>
      </c>
      <c r="U11" s="148">
        <f t="shared" si="1"/>
        <v>1.0195216666666669</v>
      </c>
      <c r="W11" s="133"/>
      <c r="X11" s="133"/>
    </row>
    <row r="12" spans="1:32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46">
        <v>-1450</v>
      </c>
      <c r="O12" s="146">
        <v>1122</v>
      </c>
      <c r="P12" s="146">
        <v>-2961</v>
      </c>
      <c r="Q12" s="146">
        <v>-100</v>
      </c>
      <c r="R12" s="146"/>
      <c r="S12" s="173"/>
      <c r="T12" s="170">
        <f t="shared" si="0"/>
        <v>-4680</v>
      </c>
      <c r="U12" s="148">
        <f t="shared" si="1"/>
        <v>-4.6800000000000001E-2</v>
      </c>
      <c r="W12" s="133"/>
      <c r="X12" s="133"/>
    </row>
    <row r="13" spans="1:32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46">
        <v>19400</v>
      </c>
      <c r="O13" s="146">
        <v>33540</v>
      </c>
      <c r="P13" s="146">
        <v>-4729</v>
      </c>
      <c r="Q13" s="146">
        <v>-9088</v>
      </c>
      <c r="R13" s="146"/>
      <c r="S13" s="173"/>
      <c r="T13" s="170">
        <f t="shared" si="0"/>
        <v>155276</v>
      </c>
      <c r="U13" s="148">
        <f t="shared" si="1"/>
        <v>0.62110399999999999</v>
      </c>
      <c r="W13" s="133"/>
      <c r="X13" s="133"/>
    </row>
    <row r="14" spans="1:32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46">
        <v>14168</v>
      </c>
      <c r="O14" s="146">
        <v>37416</v>
      </c>
      <c r="P14" s="146">
        <v>2460</v>
      </c>
      <c r="Q14" s="146">
        <v>-9798</v>
      </c>
      <c r="R14" s="146"/>
      <c r="S14" s="173"/>
      <c r="T14" s="170">
        <f t="shared" si="0"/>
        <v>175779</v>
      </c>
      <c r="U14" s="148">
        <f t="shared" si="1"/>
        <v>0.7989954545454544</v>
      </c>
      <c r="W14" s="133"/>
      <c r="X14" s="192">
        <f>X7-X9</f>
        <v>-12987.047361999999</v>
      </c>
      <c r="AA14" s="132">
        <v>116185</v>
      </c>
      <c r="AC14" s="132">
        <f>AA14+X14</f>
        <v>103197.952638</v>
      </c>
    </row>
    <row r="15" spans="1:32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46">
        <v>-2965</v>
      </c>
      <c r="O15" s="146">
        <v>17000</v>
      </c>
      <c r="P15" s="146">
        <v>-1624</v>
      </c>
      <c r="Q15" s="146">
        <v>-6519</v>
      </c>
      <c r="R15" s="146"/>
      <c r="S15" s="173"/>
      <c r="T15" s="170">
        <f t="shared" si="0"/>
        <v>9974</v>
      </c>
      <c r="U15" s="148">
        <f t="shared" si="1"/>
        <v>9.9739999999999995E-2</v>
      </c>
    </row>
    <row r="16" spans="1:32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46">
        <v>49165</v>
      </c>
      <c r="O16" s="146">
        <v>42400</v>
      </c>
      <c r="P16" s="146">
        <v>-41370</v>
      </c>
      <c r="Q16" s="146">
        <v>45200</v>
      </c>
      <c r="R16" s="146"/>
      <c r="S16" s="173"/>
      <c r="T16" s="170">
        <f t="shared" si="0"/>
        <v>13764</v>
      </c>
      <c r="U16" s="148">
        <f t="shared" si="1"/>
        <v>5.5056000000000001E-2</v>
      </c>
      <c r="AC16" s="132">
        <v>4000000</v>
      </c>
      <c r="AD16" s="132">
        <f>AC16*7/100</f>
        <v>280000</v>
      </c>
      <c r="AF16" s="132">
        <f>15*12</f>
        <v>180</v>
      </c>
    </row>
    <row r="17" spans="1:30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46">
        <v>25724</v>
      </c>
      <c r="O17" s="146">
        <v>70400</v>
      </c>
      <c r="P17" s="146">
        <v>-85300</v>
      </c>
      <c r="Q17" s="146">
        <v>38300</v>
      </c>
      <c r="R17" s="146"/>
      <c r="S17" s="173"/>
      <c r="T17" s="170">
        <f t="shared" si="0"/>
        <v>49601</v>
      </c>
      <c r="U17" s="148">
        <f t="shared" si="1"/>
        <v>0.1240025</v>
      </c>
      <c r="AD17" s="132">
        <f>AD16/12</f>
        <v>23333.333333333332</v>
      </c>
    </row>
    <row r="18" spans="1:30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46">
        <v>86900</v>
      </c>
      <c r="O18" s="146">
        <v>29900</v>
      </c>
      <c r="P18" s="146">
        <v>-50000</v>
      </c>
      <c r="Q18" s="146">
        <v>156158</v>
      </c>
      <c r="R18" s="146"/>
      <c r="S18" s="173"/>
      <c r="T18" s="170">
        <f t="shared" si="0"/>
        <v>450473</v>
      </c>
      <c r="U18" s="148">
        <f t="shared" si="1"/>
        <v>3.0031533333333331</v>
      </c>
    </row>
    <row r="19" spans="1:30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/>
      <c r="S19" s="173"/>
      <c r="T19" s="170">
        <f t="shared" si="0"/>
        <v>-150688</v>
      </c>
      <c r="U19" s="148">
        <f t="shared" si="1"/>
        <v>-1.3698909090909093</v>
      </c>
      <c r="Y19" s="132">
        <v>54000</v>
      </c>
    </row>
    <row r="20" spans="1:30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46">
        <v>-5900</v>
      </c>
      <c r="O20" s="146">
        <v>-5537</v>
      </c>
      <c r="P20" s="146">
        <v>0</v>
      </c>
      <c r="Q20" s="146">
        <v>0</v>
      </c>
      <c r="R20" s="146"/>
      <c r="S20" s="173"/>
      <c r="T20" s="170">
        <f t="shared" si="0"/>
        <v>-107972</v>
      </c>
      <c r="U20" s="148">
        <f t="shared" si="1"/>
        <v>-4.3188800000000001</v>
      </c>
      <c r="Y20" s="132">
        <v>11100</v>
      </c>
    </row>
    <row r="21" spans="1:30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/>
      <c r="S21" s="173"/>
      <c r="T21" s="170">
        <f t="shared" si="0"/>
        <v>0</v>
      </c>
      <c r="U21" s="148">
        <f t="shared" si="1"/>
        <v>0</v>
      </c>
      <c r="Y21" s="132">
        <v>0</v>
      </c>
    </row>
    <row r="22" spans="1:30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/>
      <c r="S22" s="173"/>
      <c r="T22" s="170">
        <f t="shared" si="0"/>
        <v>0</v>
      </c>
      <c r="U22" s="148">
        <f t="shared" si="1"/>
        <v>0</v>
      </c>
      <c r="Y22" s="132">
        <f>SUM(Y19:Y21)</f>
        <v>65100</v>
      </c>
    </row>
    <row r="23" spans="1:30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46">
        <v>-32723</v>
      </c>
      <c r="O23" s="146">
        <v>-7059</v>
      </c>
      <c r="P23" s="146">
        <v>28800</v>
      </c>
      <c r="Q23" s="146">
        <v>-13000</v>
      </c>
      <c r="R23" s="146"/>
      <c r="S23" s="173"/>
      <c r="T23" s="170">
        <f t="shared" si="0"/>
        <v>3279</v>
      </c>
      <c r="U23" s="148">
        <f t="shared" si="1"/>
        <v>2.9809090909090907E-2</v>
      </c>
    </row>
    <row r="24" spans="1:30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46">
        <v>-28900</v>
      </c>
      <c r="O24" s="146">
        <v>226700</v>
      </c>
      <c r="P24" s="146">
        <v>14473</v>
      </c>
      <c r="Q24" s="146">
        <v>-30980</v>
      </c>
      <c r="R24" s="146"/>
      <c r="S24" s="173"/>
      <c r="T24" s="170">
        <f t="shared" si="0"/>
        <v>-22607</v>
      </c>
      <c r="U24" s="148">
        <f t="shared" si="1"/>
        <v>-9.8291304347826097E-2</v>
      </c>
    </row>
    <row r="25" spans="1:30" x14ac:dyDescent="0.25">
      <c r="A25" s="141" t="s">
        <v>335</v>
      </c>
      <c r="B25" s="140" t="s">
        <v>68</v>
      </c>
      <c r="C25" s="140"/>
      <c r="D25" s="141" t="s">
        <v>334</v>
      </c>
      <c r="E25" s="141"/>
      <c r="F25" s="155">
        <v>0.2</v>
      </c>
      <c r="G25" s="190"/>
      <c r="H25" s="146"/>
      <c r="I25" s="146"/>
      <c r="J25" s="146"/>
      <c r="K25" s="146"/>
      <c r="L25" s="146"/>
      <c r="M25" s="146"/>
      <c r="N25" s="146">
        <v>-300</v>
      </c>
      <c r="O25" s="146">
        <v>58100</v>
      </c>
      <c r="P25" s="146">
        <v>10600</v>
      </c>
      <c r="Q25" s="146">
        <v>-13826</v>
      </c>
      <c r="R25" s="146"/>
      <c r="S25" s="173"/>
      <c r="T25" s="170">
        <f t="shared" ref="T25" si="2">SUM(H25:S25)</f>
        <v>54574</v>
      </c>
      <c r="U25" s="148">
        <f t="shared" ref="U25" si="3">IFERROR(T25/F25*100,0)/10000000</f>
        <v>2.7286999999999999</v>
      </c>
    </row>
    <row r="26" spans="1:30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12250</v>
      </c>
      <c r="I26" s="146">
        <v>3476</v>
      </c>
      <c r="J26" s="146">
        <v>-13000</v>
      </c>
      <c r="K26" s="146">
        <v>-2835</v>
      </c>
      <c r="L26" s="146">
        <v>10900</v>
      </c>
      <c r="M26" s="146">
        <v>-200</v>
      </c>
      <c r="N26" s="146">
        <v>6366</v>
      </c>
      <c r="O26" s="146">
        <v>4942</v>
      </c>
      <c r="P26" s="146">
        <v>-7150</v>
      </c>
      <c r="Q26" s="146">
        <v>1600</v>
      </c>
      <c r="R26" s="146"/>
      <c r="S26" s="173"/>
      <c r="T26" s="170">
        <f t="shared" si="0"/>
        <v>16349</v>
      </c>
      <c r="U26" s="148">
        <f t="shared" si="1"/>
        <v>0.81745000000000001</v>
      </c>
    </row>
    <row r="27" spans="1:30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46">
        <v>-116700</v>
      </c>
      <c r="J27" s="146">
        <v>1100</v>
      </c>
      <c r="K27" s="146">
        <v>0</v>
      </c>
      <c r="L27" s="146">
        <v>0</v>
      </c>
      <c r="M27" s="146">
        <v>-25000</v>
      </c>
      <c r="N27" s="146">
        <v>65100</v>
      </c>
      <c r="O27" s="146">
        <v>45700</v>
      </c>
      <c r="P27" s="146">
        <v>-133000</v>
      </c>
      <c r="Q27" s="146">
        <v>130000</v>
      </c>
      <c r="R27" s="146"/>
      <c r="S27" s="173"/>
      <c r="T27" s="170">
        <f t="shared" si="0"/>
        <v>-32800</v>
      </c>
      <c r="U27" s="148">
        <f t="shared" si="1"/>
        <v>-6.5600000000000006E-2</v>
      </c>
    </row>
    <row r="28" spans="1:30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98800</v>
      </c>
      <c r="I28" s="146">
        <v>0</v>
      </c>
      <c r="J28" s="146">
        <v>11535</v>
      </c>
      <c r="K28" s="146">
        <v>302380</v>
      </c>
      <c r="L28" s="146">
        <v>55800</v>
      </c>
      <c r="M28" s="146">
        <v>16200</v>
      </c>
      <c r="N28" s="146">
        <v>-40416</v>
      </c>
      <c r="O28" s="146">
        <v>137300</v>
      </c>
      <c r="P28" s="146">
        <v>583300</v>
      </c>
      <c r="Q28" s="146">
        <v>11260</v>
      </c>
      <c r="R28" s="146"/>
      <c r="S28" s="173"/>
      <c r="T28" s="170">
        <f t="shared" si="0"/>
        <v>1176159</v>
      </c>
      <c r="U28" s="148">
        <f t="shared" si="1"/>
        <v>1.176159</v>
      </c>
    </row>
    <row r="29" spans="1:30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46">
        <v>3624</v>
      </c>
      <c r="J29" s="146">
        <v>14752</v>
      </c>
      <c r="K29" s="146">
        <v>-6445</v>
      </c>
      <c r="L29" s="146">
        <v>7920</v>
      </c>
      <c r="M29" s="146">
        <v>6919</v>
      </c>
      <c r="N29" s="146">
        <v>20700</v>
      </c>
      <c r="O29" s="146">
        <v>-10961</v>
      </c>
      <c r="P29" s="146">
        <v>-11200</v>
      </c>
      <c r="Q29" s="146">
        <v>18300</v>
      </c>
      <c r="R29" s="146"/>
      <c r="S29" s="173"/>
      <c r="T29" s="170">
        <f t="shared" ref="T29" si="4">SUM(H29:S29)</f>
        <v>43609</v>
      </c>
      <c r="U29" s="148">
        <f t="shared" ref="U29" si="5">IFERROR(T29/F29*100,0)/10000000</f>
        <v>0.87217999999999996</v>
      </c>
    </row>
    <row r="30" spans="1:30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>
        <v>90508</v>
      </c>
      <c r="I30" s="146">
        <v>0</v>
      </c>
      <c r="J30" s="146">
        <v>310622</v>
      </c>
      <c r="K30" s="146">
        <v>0</v>
      </c>
      <c r="L30" s="146">
        <v>155700</v>
      </c>
      <c r="M30" s="146">
        <v>0</v>
      </c>
      <c r="N30" s="146">
        <v>0</v>
      </c>
      <c r="O30" s="146">
        <v>226901</v>
      </c>
      <c r="P30" s="146">
        <v>0</v>
      </c>
      <c r="Q30" s="146">
        <v>-161746</v>
      </c>
      <c r="R30" s="146"/>
      <c r="S30" s="173"/>
      <c r="T30" s="170">
        <f t="shared" si="0"/>
        <v>621985</v>
      </c>
      <c r="U30" s="148">
        <f t="shared" si="1"/>
        <v>1.24397</v>
      </c>
    </row>
    <row r="31" spans="1:30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>
        <v>115180</v>
      </c>
      <c r="I31" s="146">
        <v>-225930</v>
      </c>
      <c r="J31" s="146">
        <v>0</v>
      </c>
      <c r="K31" s="146">
        <v>2600</v>
      </c>
      <c r="L31" s="146">
        <v>44000</v>
      </c>
      <c r="M31" s="146">
        <v>39485</v>
      </c>
      <c r="N31" s="146">
        <v>19560</v>
      </c>
      <c r="O31" s="146">
        <v>38370</v>
      </c>
      <c r="P31" s="146">
        <v>10450</v>
      </c>
      <c r="Q31" s="146">
        <v>59316</v>
      </c>
      <c r="R31" s="146"/>
      <c r="S31" s="173"/>
      <c r="T31" s="170">
        <f t="shared" si="0"/>
        <v>103031</v>
      </c>
      <c r="U31" s="148">
        <f t="shared" si="1"/>
        <v>0.206062</v>
      </c>
    </row>
    <row r="32" spans="1:30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>
        <v>-51008</v>
      </c>
      <c r="I32" s="146">
        <v>13880</v>
      </c>
      <c r="J32" s="146">
        <v>48621</v>
      </c>
      <c r="K32" s="146">
        <v>-7694</v>
      </c>
      <c r="L32" s="146">
        <v>34100</v>
      </c>
      <c r="M32" s="146">
        <v>19000</v>
      </c>
      <c r="N32" s="146">
        <v>20700</v>
      </c>
      <c r="O32" s="146">
        <v>12614</v>
      </c>
      <c r="P32" s="146">
        <v>7400</v>
      </c>
      <c r="Q32" s="146">
        <v>19095</v>
      </c>
      <c r="R32" s="146"/>
      <c r="S32" s="173"/>
      <c r="T32" s="170">
        <f t="shared" si="0"/>
        <v>116708</v>
      </c>
      <c r="U32" s="148">
        <f t="shared" si="1"/>
        <v>2.3341599999999998</v>
      </c>
    </row>
    <row r="33" spans="1:24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>
        <v>9270</v>
      </c>
      <c r="I33" s="146">
        <v>28255</v>
      </c>
      <c r="J33" s="146">
        <v>42650</v>
      </c>
      <c r="K33" s="146">
        <v>1293</v>
      </c>
      <c r="L33" s="146">
        <v>33700</v>
      </c>
      <c r="M33" s="146">
        <v>17495</v>
      </c>
      <c r="N33" s="146">
        <v>35813</v>
      </c>
      <c r="O33" s="146">
        <v>26000</v>
      </c>
      <c r="P33" s="146">
        <v>-45331</v>
      </c>
      <c r="Q33" s="146">
        <v>21700</v>
      </c>
      <c r="R33" s="146"/>
      <c r="S33" s="173"/>
      <c r="T33" s="170">
        <f t="shared" si="0"/>
        <v>170845</v>
      </c>
      <c r="U33" s="148">
        <f t="shared" si="1"/>
        <v>4.2711249999999996</v>
      </c>
      <c r="X33" s="133"/>
    </row>
    <row r="34" spans="1:24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>
        <v>-91628</v>
      </c>
      <c r="I34" s="146">
        <v>-39194</v>
      </c>
      <c r="J34" s="146">
        <v>81490</v>
      </c>
      <c r="K34" s="146">
        <v>-98197</v>
      </c>
      <c r="L34" s="146">
        <v>149600</v>
      </c>
      <c r="M34" s="146">
        <v>77460</v>
      </c>
      <c r="N34" s="146">
        <v>85200</v>
      </c>
      <c r="O34" s="146">
        <v>-20461</v>
      </c>
      <c r="P34" s="146">
        <v>-170280</v>
      </c>
      <c r="Q34" s="146">
        <v>243315</v>
      </c>
      <c r="R34" s="146"/>
      <c r="S34" s="173"/>
      <c r="T34" s="170">
        <f t="shared" si="0"/>
        <v>217305</v>
      </c>
      <c r="U34" s="148">
        <f t="shared" si="1"/>
        <v>0.54326249999999998</v>
      </c>
      <c r="W34" s="5"/>
      <c r="X34" s="133">
        <v>61235</v>
      </c>
    </row>
    <row r="35" spans="1:24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>
        <v>-49178</v>
      </c>
      <c r="I35" s="146">
        <v>20700</v>
      </c>
      <c r="J35" s="146">
        <v>51300</v>
      </c>
      <c r="K35" s="146">
        <v>-13148</v>
      </c>
      <c r="L35" s="146">
        <v>-107400</v>
      </c>
      <c r="M35" s="146">
        <v>56914</v>
      </c>
      <c r="N35" s="146">
        <v>10400</v>
      </c>
      <c r="O35" s="146">
        <v>51221</v>
      </c>
      <c r="P35" s="146">
        <v>-5394</v>
      </c>
      <c r="Q35" s="146">
        <v>-35576</v>
      </c>
      <c r="R35" s="146"/>
      <c r="S35" s="173"/>
      <c r="T35" s="170">
        <f t="shared" si="0"/>
        <v>-20161</v>
      </c>
      <c r="U35" s="148">
        <f t="shared" si="1"/>
        <v>-0.20161000000000001</v>
      </c>
      <c r="W35" s="5"/>
      <c r="X35" s="133"/>
    </row>
    <row r="36" spans="1:24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/>
      <c r="S36" s="173"/>
      <c r="T36" s="170">
        <f t="shared" si="0"/>
        <v>0</v>
      </c>
      <c r="U36" s="148">
        <f t="shared" si="1"/>
        <v>0</v>
      </c>
      <c r="W36" s="133">
        <v>1404396</v>
      </c>
      <c r="X36" s="133">
        <f>(W37+W36)/10000000*13780</f>
        <v>3954.8972060000001</v>
      </c>
    </row>
    <row r="37" spans="1:24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>
        <v>3712</v>
      </c>
      <c r="I37" s="146">
        <v>-16258</v>
      </c>
      <c r="J37" s="146">
        <v>19175</v>
      </c>
      <c r="K37" s="146">
        <v>-15524</v>
      </c>
      <c r="L37" s="146">
        <v>23400</v>
      </c>
      <c r="M37" s="146">
        <v>0</v>
      </c>
      <c r="N37" s="146">
        <v>15668</v>
      </c>
      <c r="O37" s="146">
        <v>5849</v>
      </c>
      <c r="P37" s="146">
        <v>-37180</v>
      </c>
      <c r="Q37" s="146">
        <v>-26608</v>
      </c>
      <c r="R37" s="146"/>
      <c r="S37" s="173"/>
      <c r="T37" s="170">
        <f t="shared" si="0"/>
        <v>-27766</v>
      </c>
      <c r="U37" s="148">
        <f t="shared" si="1"/>
        <v>-0.55532000000000004</v>
      </c>
      <c r="W37" s="133">
        <v>1465631</v>
      </c>
      <c r="X37" s="133"/>
    </row>
    <row r="38" spans="1:24" ht="18" customHeight="1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>
        <v>158900</v>
      </c>
      <c r="I38" s="146">
        <v>-331500</v>
      </c>
      <c r="J38" s="146">
        <v>276700</v>
      </c>
      <c r="K38" s="146">
        <v>79524</v>
      </c>
      <c r="L38" s="146">
        <v>-8546</v>
      </c>
      <c r="M38" s="146">
        <v>-110144</v>
      </c>
      <c r="N38" s="146">
        <v>341200</v>
      </c>
      <c r="O38" s="146">
        <v>-109461</v>
      </c>
      <c r="P38" s="146">
        <v>59000</v>
      </c>
      <c r="Q38" s="146">
        <v>303000</v>
      </c>
      <c r="R38" s="146"/>
      <c r="S38" s="173"/>
      <c r="T38" s="170">
        <f t="shared" ref="T38:T54" si="6">SUM(H38:S38)</f>
        <v>658673</v>
      </c>
      <c r="U38" s="148">
        <f t="shared" ref="U38:U54" si="7">IFERROR(T38/F38*100,0)/10000000</f>
        <v>2.1955766666666663</v>
      </c>
      <c r="W38" s="133"/>
      <c r="X38" s="133">
        <f>+X34-X36</f>
        <v>57280.102793999999</v>
      </c>
    </row>
    <row r="39" spans="1:24" ht="17.25" customHeight="1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>
        <v>18070</v>
      </c>
      <c r="I39" s="146">
        <v>15000</v>
      </c>
      <c r="J39" s="146">
        <v>-7417</v>
      </c>
      <c r="K39" s="146">
        <v>-19285</v>
      </c>
      <c r="L39" s="146">
        <v>59000</v>
      </c>
      <c r="M39" s="146">
        <v>19459</v>
      </c>
      <c r="N39" s="146">
        <v>-17325</v>
      </c>
      <c r="O39" s="146">
        <v>62950</v>
      </c>
      <c r="P39" s="146">
        <v>-33154</v>
      </c>
      <c r="Q39" s="146">
        <v>-64866</v>
      </c>
      <c r="R39" s="146"/>
      <c r="S39" s="173"/>
      <c r="T39" s="170">
        <f t="shared" si="6"/>
        <v>32432</v>
      </c>
      <c r="U39" s="148">
        <f t="shared" si="7"/>
        <v>3.2431999999999999</v>
      </c>
      <c r="W39" s="133"/>
      <c r="X39" s="133"/>
    </row>
    <row r="40" spans="1:24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>
        <v>0</v>
      </c>
      <c r="I40" s="146">
        <v>7600</v>
      </c>
      <c r="J40" s="146">
        <v>12200</v>
      </c>
      <c r="K40" s="146">
        <v>-16500</v>
      </c>
      <c r="L40" s="146">
        <v>26900</v>
      </c>
      <c r="M40" s="146">
        <v>12000</v>
      </c>
      <c r="N40" s="146">
        <v>0</v>
      </c>
      <c r="O40" s="146">
        <v>-11341</v>
      </c>
      <c r="P40" s="146">
        <v>-18160</v>
      </c>
      <c r="Q40" s="146">
        <v>12680</v>
      </c>
      <c r="R40" s="146"/>
      <c r="S40" s="173"/>
      <c r="T40" s="170">
        <f t="shared" si="6"/>
        <v>25379</v>
      </c>
      <c r="U40" s="148">
        <f t="shared" si="7"/>
        <v>0.50758000000000003</v>
      </c>
      <c r="W40" s="133"/>
      <c r="X40" s="133"/>
    </row>
    <row r="41" spans="1:24" ht="16.5" customHeight="1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>
        <v>-219160</v>
      </c>
      <c r="I41" s="146">
        <v>-41680</v>
      </c>
      <c r="J41" s="146">
        <v>174856</v>
      </c>
      <c r="K41" s="146">
        <v>-85245</v>
      </c>
      <c r="L41" s="146">
        <v>-484000</v>
      </c>
      <c r="M41" s="146">
        <v>-52500</v>
      </c>
      <c r="N41" s="146">
        <v>107800</v>
      </c>
      <c r="O41" s="146">
        <v>-65513</v>
      </c>
      <c r="P41" s="146">
        <v>139726</v>
      </c>
      <c r="Q41" s="146">
        <v>-435700</v>
      </c>
      <c r="R41" s="146"/>
      <c r="S41" s="173"/>
      <c r="T41" s="170">
        <f t="shared" si="6"/>
        <v>-961416</v>
      </c>
      <c r="U41" s="148">
        <f t="shared" si="7"/>
        <v>-9.61416</v>
      </c>
      <c r="W41" s="133"/>
      <c r="X41" s="133"/>
    </row>
    <row r="42" spans="1:24" ht="16.5" customHeight="1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46"/>
      <c r="J42" s="146"/>
      <c r="K42" s="146"/>
      <c r="L42" s="146"/>
      <c r="M42" s="146"/>
      <c r="N42" s="146"/>
      <c r="O42" s="146">
        <v>195644</v>
      </c>
      <c r="P42" s="146">
        <v>33100</v>
      </c>
      <c r="Q42" s="146">
        <v>46908</v>
      </c>
      <c r="R42" s="146"/>
      <c r="S42" s="173"/>
      <c r="T42" s="170">
        <f t="shared" ref="T42" si="8">SUM(H42:S42)</f>
        <v>275652</v>
      </c>
      <c r="U42" s="148">
        <f t="shared" ref="U42" si="9">IFERROR(T42/F42*100,0)/10000000</f>
        <v>5.5130400000000002</v>
      </c>
      <c r="W42" s="133"/>
      <c r="X42" s="133"/>
    </row>
    <row r="43" spans="1:24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0.1</v>
      </c>
      <c r="G43" s="190"/>
      <c r="H43" s="146">
        <v>34200</v>
      </c>
      <c r="I43" s="146">
        <v>-23073</v>
      </c>
      <c r="J43" s="146">
        <v>-6862</v>
      </c>
      <c r="K43" s="146">
        <v>-21500</v>
      </c>
      <c r="L43" s="146">
        <v>18000</v>
      </c>
      <c r="M43" s="146">
        <v>3517</v>
      </c>
      <c r="N43" s="146">
        <v>4914</v>
      </c>
      <c r="O43" s="146">
        <v>-17046</v>
      </c>
      <c r="P43" s="146">
        <v>-24153</v>
      </c>
      <c r="Q43" s="146">
        <v>200</v>
      </c>
      <c r="R43" s="146"/>
      <c r="S43" s="173"/>
      <c r="T43" s="170">
        <f t="shared" si="6"/>
        <v>-31803</v>
      </c>
      <c r="U43" s="148">
        <f t="shared" si="7"/>
        <v>-3.1802999999999999</v>
      </c>
      <c r="W43" s="133"/>
    </row>
    <row r="44" spans="1:24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>
        <v>2920</v>
      </c>
      <c r="I44" s="146">
        <v>0</v>
      </c>
      <c r="J44" s="146">
        <v>0</v>
      </c>
      <c r="K44" s="146">
        <v>0</v>
      </c>
      <c r="L44" s="146">
        <v>52100</v>
      </c>
      <c r="M44" s="146">
        <v>0</v>
      </c>
      <c r="N44" s="146">
        <v>0</v>
      </c>
      <c r="O44" s="146">
        <v>0</v>
      </c>
      <c r="P44" s="146">
        <v>-22700</v>
      </c>
      <c r="Q44" s="146">
        <v>80000</v>
      </c>
      <c r="R44" s="146"/>
      <c r="S44" s="173"/>
      <c r="T44" s="170">
        <f t="shared" si="6"/>
        <v>112320</v>
      </c>
      <c r="U44" s="148">
        <f t="shared" si="7"/>
        <v>0.28079999999999999</v>
      </c>
    </row>
    <row r="45" spans="1:24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>
        <v>0</v>
      </c>
      <c r="I45" s="146">
        <v>-20000</v>
      </c>
      <c r="J45" s="146">
        <v>60600</v>
      </c>
      <c r="K45" s="146">
        <v>0</v>
      </c>
      <c r="L45" s="146">
        <v>0</v>
      </c>
      <c r="M45" s="146">
        <v>-1200</v>
      </c>
      <c r="N45" s="146">
        <v>19500</v>
      </c>
      <c r="O45" s="146">
        <v>105800</v>
      </c>
      <c r="P45" s="146">
        <v>0</v>
      </c>
      <c r="Q45" s="146">
        <v>0</v>
      </c>
      <c r="R45" s="146"/>
      <c r="S45" s="173"/>
      <c r="T45" s="170">
        <f t="shared" si="6"/>
        <v>164700</v>
      </c>
      <c r="U45" s="148">
        <f t="shared" si="7"/>
        <v>0.41175</v>
      </c>
    </row>
    <row r="46" spans="1:24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>
        <v>174105</v>
      </c>
      <c r="I46" s="146">
        <v>-313641</v>
      </c>
      <c r="J46" s="146">
        <v>307794</v>
      </c>
      <c r="K46" s="146">
        <v>-135130</v>
      </c>
      <c r="L46" s="146">
        <v>290000</v>
      </c>
      <c r="M46" s="146">
        <v>102008</v>
      </c>
      <c r="N46" s="146">
        <v>0</v>
      </c>
      <c r="O46" s="146">
        <v>355800</v>
      </c>
      <c r="P46" s="146">
        <v>-214711</v>
      </c>
      <c r="Q46" s="146">
        <v>235920</v>
      </c>
      <c r="R46" s="146"/>
      <c r="S46" s="173"/>
      <c r="T46" s="170">
        <f t="shared" si="6"/>
        <v>802145</v>
      </c>
      <c r="U46" s="148">
        <f t="shared" si="7"/>
        <v>2.6738166666666667</v>
      </c>
    </row>
    <row r="47" spans="1:24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>
        <v>-214000</v>
      </c>
      <c r="I47" s="150">
        <v>19600</v>
      </c>
      <c r="J47" s="150">
        <v>338000</v>
      </c>
      <c r="K47" s="150">
        <v>63150</v>
      </c>
      <c r="L47" s="150">
        <v>-461500</v>
      </c>
      <c r="M47" s="150">
        <v>-70400</v>
      </c>
      <c r="N47" s="150">
        <v>-233800</v>
      </c>
      <c r="O47" s="150">
        <v>-479300</v>
      </c>
      <c r="P47" s="150">
        <v>-344800</v>
      </c>
      <c r="Q47" s="150">
        <v>-341300</v>
      </c>
      <c r="R47" s="150"/>
      <c r="S47" s="173"/>
      <c r="T47" s="170">
        <f t="shared" si="6"/>
        <v>-1724350</v>
      </c>
      <c r="U47" s="148">
        <f t="shared" si="7"/>
        <v>-1.72435</v>
      </c>
    </row>
    <row r="48" spans="1:24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>
        <v>21524</v>
      </c>
      <c r="I48" s="150">
        <v>-10951</v>
      </c>
      <c r="J48" s="150">
        <v>24836</v>
      </c>
      <c r="K48" s="150">
        <v>30076</v>
      </c>
      <c r="L48" s="150">
        <v>-25200</v>
      </c>
      <c r="M48" s="150">
        <v>0</v>
      </c>
      <c r="N48" s="150">
        <v>8261</v>
      </c>
      <c r="O48" s="150">
        <v>0</v>
      </c>
      <c r="P48" s="150">
        <v>22914</v>
      </c>
      <c r="Q48" s="150">
        <v>-7848</v>
      </c>
      <c r="R48" s="150"/>
      <c r="S48" s="173"/>
      <c r="T48" s="170">
        <f t="shared" si="6"/>
        <v>63612</v>
      </c>
      <c r="U48" s="148">
        <f t="shared" si="7"/>
        <v>1.27224</v>
      </c>
    </row>
    <row r="49" spans="1:25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>
        <v>138096</v>
      </c>
      <c r="I49" s="150">
        <v>0</v>
      </c>
      <c r="J49" s="150">
        <v>168400</v>
      </c>
      <c r="K49" s="150">
        <v>0</v>
      </c>
      <c r="L49" s="150">
        <v>53400</v>
      </c>
      <c r="M49" s="150">
        <v>0</v>
      </c>
      <c r="N49" s="150">
        <v>0</v>
      </c>
      <c r="O49" s="150">
        <v>1127</v>
      </c>
      <c r="P49" s="150">
        <v>0</v>
      </c>
      <c r="Q49" s="150">
        <v>57280</v>
      </c>
      <c r="R49" s="150"/>
      <c r="S49" s="173"/>
      <c r="T49" s="170">
        <f t="shared" si="6"/>
        <v>418303</v>
      </c>
      <c r="U49" s="148">
        <f t="shared" si="7"/>
        <v>0.643543076923077</v>
      </c>
    </row>
    <row r="50" spans="1:25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50">
        <v>0</v>
      </c>
      <c r="P50" s="150">
        <v>0</v>
      </c>
      <c r="Q50" s="150">
        <v>0</v>
      </c>
      <c r="R50" s="150"/>
      <c r="S50" s="173"/>
      <c r="T50" s="170">
        <f t="shared" si="6"/>
        <v>0</v>
      </c>
      <c r="U50" s="148">
        <f t="shared" si="7"/>
        <v>0</v>
      </c>
    </row>
    <row r="51" spans="1:25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>
        <v>12470</v>
      </c>
      <c r="I51" s="150">
        <v>0</v>
      </c>
      <c r="J51" s="150">
        <v>43650</v>
      </c>
      <c r="K51" s="150">
        <v>0</v>
      </c>
      <c r="L51" s="150">
        <v>96100</v>
      </c>
      <c r="M51" s="150">
        <v>5967</v>
      </c>
      <c r="N51" s="150">
        <v>-43200</v>
      </c>
      <c r="O51" s="150">
        <v>63560</v>
      </c>
      <c r="P51" s="150">
        <v>0</v>
      </c>
      <c r="Q51" s="150">
        <v>106000</v>
      </c>
      <c r="R51" s="150"/>
      <c r="S51" s="173"/>
      <c r="T51" s="170">
        <f t="shared" si="6"/>
        <v>284547</v>
      </c>
      <c r="U51" s="148">
        <f t="shared" si="7"/>
        <v>0.94849000000000006</v>
      </c>
    </row>
    <row r="52" spans="1:25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>
        <v>0</v>
      </c>
      <c r="I52" s="150">
        <v>50</v>
      </c>
      <c r="J52" s="150">
        <v>0</v>
      </c>
      <c r="K52" s="150">
        <v>520</v>
      </c>
      <c r="L52" s="150">
        <v>-800</v>
      </c>
      <c r="M52" s="150">
        <v>280</v>
      </c>
      <c r="N52" s="150">
        <v>1150</v>
      </c>
      <c r="O52" s="150">
        <v>0</v>
      </c>
      <c r="P52" s="150">
        <v>595</v>
      </c>
      <c r="Q52" s="150">
        <v>2800</v>
      </c>
      <c r="R52" s="150"/>
      <c r="S52" s="173"/>
      <c r="T52" s="170">
        <f t="shared" si="6"/>
        <v>4595</v>
      </c>
      <c r="U52" s="148">
        <f t="shared" si="7"/>
        <v>4.5949999999999998E-2</v>
      </c>
    </row>
    <row r="53" spans="1:25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>
        <v>-28000</v>
      </c>
      <c r="I53" s="150">
        <v>6932</v>
      </c>
      <c r="J53" s="150">
        <v>104715</v>
      </c>
      <c r="K53" s="150">
        <v>17309</v>
      </c>
      <c r="L53" s="150">
        <v>26900</v>
      </c>
      <c r="M53" s="150">
        <v>-5815</v>
      </c>
      <c r="N53" s="150">
        <v>246900</v>
      </c>
      <c r="O53" s="150">
        <v>143900</v>
      </c>
      <c r="P53" s="150">
        <v>-13385</v>
      </c>
      <c r="Q53" s="150">
        <v>117000</v>
      </c>
      <c r="R53" s="150"/>
      <c r="S53" s="173"/>
      <c r="T53" s="170">
        <f t="shared" si="6"/>
        <v>616456</v>
      </c>
      <c r="U53" s="148">
        <f t="shared" si="7"/>
        <v>0.616456</v>
      </c>
    </row>
    <row r="54" spans="1:25" ht="15.75" thickBot="1" x14ac:dyDescent="0.3">
      <c r="A54" s="24"/>
      <c r="B54" s="25"/>
      <c r="C54" s="26"/>
      <c r="D54" s="24"/>
      <c r="E54" s="24"/>
      <c r="F54" s="115"/>
      <c r="G54" s="16"/>
      <c r="H54" s="253">
        <f>SUM(H4:H53)</f>
        <v>38252</v>
      </c>
      <c r="I54" s="253">
        <f>SUM(I4:I53)</f>
        <v>-1490903</v>
      </c>
      <c r="J54" s="253">
        <f>SUM(J4:J53)</f>
        <v>2756338</v>
      </c>
      <c r="K54" s="253">
        <f>SUM(K4:K53)</f>
        <v>-39084</v>
      </c>
      <c r="L54" s="253">
        <f>SUM(L4:L53)</f>
        <v>-31777</v>
      </c>
      <c r="M54" s="253">
        <f>SUM(M4:M53)</f>
        <v>885698</v>
      </c>
      <c r="N54" s="253">
        <f>SUM(N4:N53)</f>
        <v>913308</v>
      </c>
      <c r="O54" s="253">
        <f>SUM(O4:O53)</f>
        <v>1998954</v>
      </c>
      <c r="P54" s="253">
        <f>SUM(P4:P53)</f>
        <v>-200803</v>
      </c>
      <c r="Q54" s="253">
        <f>SUM(Q4:Q53)</f>
        <v>499755</v>
      </c>
      <c r="R54" s="253"/>
      <c r="S54" s="253">
        <f>SUM(S4:S53)</f>
        <v>0</v>
      </c>
      <c r="T54" s="253">
        <f t="shared" si="6"/>
        <v>5329738</v>
      </c>
      <c r="U54" s="254">
        <f t="shared" si="7"/>
        <v>0</v>
      </c>
    </row>
    <row r="55" spans="1:25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51"/>
    </row>
    <row r="56" spans="1:25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>
        <v>5771</v>
      </c>
      <c r="I56" s="161">
        <v>-30800</v>
      </c>
      <c r="J56" s="161">
        <v>160555</v>
      </c>
      <c r="K56" s="161">
        <v>15600</v>
      </c>
      <c r="L56" s="161">
        <v>149000</v>
      </c>
      <c r="M56" s="161">
        <v>2277</v>
      </c>
      <c r="N56" s="161">
        <v>-50</v>
      </c>
      <c r="O56" s="161">
        <v>-153500</v>
      </c>
      <c r="P56" s="161">
        <v>-608</v>
      </c>
      <c r="Q56" s="161">
        <v>-184264</v>
      </c>
      <c r="R56" s="161"/>
      <c r="S56" s="245"/>
      <c r="T56" s="246">
        <f>SUM(H56:S56)</f>
        <v>-36019</v>
      </c>
      <c r="U56" s="247">
        <f>IFERROR(T56/F56*100,0)/10000000</f>
        <v>-0.12006333333333336</v>
      </c>
    </row>
    <row r="57" spans="1:25" ht="15.75" thickBot="1" x14ac:dyDescent="0.3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>
        <v>0</v>
      </c>
      <c r="I57" s="161">
        <v>-51000</v>
      </c>
      <c r="J57" s="161">
        <v>149000</v>
      </c>
      <c r="K57" s="161">
        <v>0</v>
      </c>
      <c r="L57" s="161">
        <v>0</v>
      </c>
      <c r="M57" s="161">
        <v>-11300</v>
      </c>
      <c r="N57" s="161">
        <v>0</v>
      </c>
      <c r="O57" s="161">
        <v>-305165</v>
      </c>
      <c r="P57" s="161">
        <v>0</v>
      </c>
      <c r="Q57" s="161">
        <v>0</v>
      </c>
      <c r="R57" s="161"/>
      <c r="S57" s="173"/>
      <c r="T57" s="170">
        <f>SUM(H57:S57)</f>
        <v>-218465</v>
      </c>
      <c r="U57" s="148">
        <f>IFERROR(T57/F57*100,0)/10000000</f>
        <v>0</v>
      </c>
    </row>
    <row r="58" spans="1:25" s="248" customFormat="1" ht="15.75" thickBot="1" x14ac:dyDescent="0.3">
      <c r="A58" s="199"/>
      <c r="B58" s="16"/>
      <c r="C58" s="16"/>
      <c r="D58" s="16"/>
      <c r="E58" s="16"/>
      <c r="F58" s="74"/>
      <c r="G58" s="17"/>
      <c r="H58" s="169">
        <f t="shared" ref="H58:Q58" si="10">SUM(H56:H57)</f>
        <v>5771</v>
      </c>
      <c r="I58" s="169">
        <f t="shared" si="10"/>
        <v>-81800</v>
      </c>
      <c r="J58" s="169">
        <f t="shared" si="10"/>
        <v>309555</v>
      </c>
      <c r="K58" s="169">
        <f t="shared" si="10"/>
        <v>15600</v>
      </c>
      <c r="L58" s="169">
        <f t="shared" si="10"/>
        <v>149000</v>
      </c>
      <c r="M58" s="169">
        <f t="shared" si="10"/>
        <v>-9023</v>
      </c>
      <c r="N58" s="169">
        <f t="shared" si="10"/>
        <v>-50</v>
      </c>
      <c r="O58" s="169">
        <f t="shared" si="10"/>
        <v>-458665</v>
      </c>
      <c r="P58" s="169">
        <f t="shared" si="10"/>
        <v>-608</v>
      </c>
      <c r="Q58" s="169">
        <f t="shared" si="10"/>
        <v>-184264</v>
      </c>
      <c r="R58" s="169"/>
      <c r="S58" s="169">
        <f>SUM(S56:S57)</f>
        <v>0</v>
      </c>
      <c r="T58" s="256">
        <f>SUM(H58:S58)</f>
        <v>-254484</v>
      </c>
      <c r="U58" s="172"/>
    </row>
    <row r="59" spans="1:25" x14ac:dyDescent="0.25">
      <c r="X59" s="133"/>
    </row>
    <row r="60" spans="1:25" x14ac:dyDescent="0.25">
      <c r="W60" s="133"/>
    </row>
    <row r="61" spans="1:25" x14ac:dyDescent="0.25">
      <c r="W61" s="5"/>
      <c r="X61" s="133"/>
      <c r="Y61" s="236"/>
    </row>
    <row r="62" spans="1:25" x14ac:dyDescent="0.25">
      <c r="W62" s="133"/>
      <c r="X62" s="133"/>
      <c r="Y62" s="236"/>
    </row>
    <row r="63" spans="1:25" x14ac:dyDescent="0.25">
      <c r="W63" s="133"/>
      <c r="X63" s="133"/>
      <c r="Y63" s="236"/>
    </row>
    <row r="64" spans="1:25" x14ac:dyDescent="0.25">
      <c r="W64" s="133"/>
      <c r="X64" s="133"/>
      <c r="Y64" s="236"/>
    </row>
    <row r="65" spans="23:25" x14ac:dyDescent="0.25">
      <c r="W65" s="133"/>
      <c r="X65" s="133"/>
      <c r="Y65" s="236"/>
    </row>
    <row r="66" spans="23:25" x14ac:dyDescent="0.25">
      <c r="W66" s="133"/>
      <c r="X66" s="236"/>
      <c r="Y66" s="236"/>
    </row>
    <row r="67" spans="23:25" x14ac:dyDescent="0.25">
      <c r="W67" s="236"/>
      <c r="X67" s="236"/>
      <c r="Y67" s="236"/>
    </row>
  </sheetData>
  <conditionalFormatting sqref="G2 A3:G3 U54:U55 U58 U10:U20 T10:T21 H2:U3 A36:T36 A37:S37 G38:S38 T5:U9 T27:U28 T37:T39 U38 U30:U34 T30:T35 A4:S35 A56:U57 T41:U42 T23:U25 A58:S58 T44:U53 A39:S54">
    <cfRule type="expression" dxfId="552" priority="18">
      <formula>MOD(ROW(),2)=0</formula>
    </cfRule>
  </conditionalFormatting>
  <conditionalFormatting sqref="U35">
    <cfRule type="expression" dxfId="551" priority="17">
      <formula>MOD(ROW(),2)=0</formula>
    </cfRule>
  </conditionalFormatting>
  <conditionalFormatting sqref="T4:U4">
    <cfRule type="expression" dxfId="550" priority="15">
      <formula>MOD(ROW(),2)=0</formula>
    </cfRule>
  </conditionalFormatting>
  <conditionalFormatting sqref="U37">
    <cfRule type="expression" dxfId="549" priority="14">
      <formula>MOD(ROW(),2)=0</formula>
    </cfRule>
  </conditionalFormatting>
  <conditionalFormatting sqref="U21">
    <cfRule type="expression" dxfId="548" priority="13">
      <formula>MOD(ROW(),2)=0</formula>
    </cfRule>
  </conditionalFormatting>
  <conditionalFormatting sqref="T54">
    <cfRule type="expression" dxfId="547" priority="12">
      <formula>MOD(ROW(),2)=0</formula>
    </cfRule>
  </conditionalFormatting>
  <conditionalFormatting sqref="U39">
    <cfRule type="expression" dxfId="546" priority="11">
      <formula>MOD(ROW(),2)=0</formula>
    </cfRule>
  </conditionalFormatting>
  <conditionalFormatting sqref="T26:U26">
    <cfRule type="expression" dxfId="545" priority="10">
      <formula>MOD(ROW(),2)=0</formula>
    </cfRule>
  </conditionalFormatting>
  <conditionalFormatting sqref="T43:U43">
    <cfRule type="expression" dxfId="544" priority="8">
      <formula>MOD(ROW(),2)=0</formula>
    </cfRule>
  </conditionalFormatting>
  <conditionalFormatting sqref="T58">
    <cfRule type="expression" dxfId="543" priority="7">
      <formula>MOD(ROW(),2)=0</formula>
    </cfRule>
  </conditionalFormatting>
  <conditionalFormatting sqref="T40:U40">
    <cfRule type="expression" dxfId="542" priority="6">
      <formula>MOD(ROW(),2)=0</formula>
    </cfRule>
  </conditionalFormatting>
  <conditionalFormatting sqref="T22">
    <cfRule type="expression" dxfId="541" priority="5">
      <formula>MOD(ROW(),2)=0</formula>
    </cfRule>
  </conditionalFormatting>
  <conditionalFormatting sqref="U22">
    <cfRule type="expression" dxfId="540" priority="4">
      <formula>MOD(ROW(),2)=0</formula>
    </cfRule>
  </conditionalFormatting>
  <conditionalFormatting sqref="U36">
    <cfRule type="expression" dxfId="539" priority="3">
      <formula>MOD(ROW(),2)=0</formula>
    </cfRule>
  </conditionalFormatting>
  <conditionalFormatting sqref="A38:F38">
    <cfRule type="expression" dxfId="538" priority="2">
      <formula>MOD(ROW(),2)=0</formula>
    </cfRule>
  </conditionalFormatting>
  <conditionalFormatting sqref="T29:U29">
    <cfRule type="expression" dxfId="537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59"/>
  <sheetViews>
    <sheetView topLeftCell="A17" workbookViewId="0">
      <selection activeCell="A50" sqref="A50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IFERROR(VLOOKUP($A$3:$A$114,'OCT-2026'!$A$4:$ADC$118,MATCH('FY-(26-27)Q3'!$G$2:$H$2,'OCT-2026'!$A$2:$DD$2,0),0),0)</f>
        <v>124251</v>
      </c>
      <c r="H4" s="154">
        <f>IFERROR(VLOOKUP($A$3:$A$114,'OCT-2026'!$A$4:$ADC$118,MATCH('FY-(26-27)Q3'!$G$2:$H$2,'OCT-2026'!$A$2:$DD$2,0),0),0)</f>
        <v>2.48502</v>
      </c>
      <c r="I4" s="152">
        <f>IFERROR(VLOOKUP($A$3:$A$114,'[1]NOV-2026'!$A$4:$ADL$124,MATCH('FY-(26-27)Q3'!$I$2:$J$2,'[1]NOV-2026'!$A$2:$DM$2,0),0),0)</f>
        <v>0</v>
      </c>
      <c r="J4" s="154">
        <f>IFERROR(VLOOKUP($A$3:$A$114,'[1]NOV-2026'!$A$4:$ADL$124,MATCH('FY-(26-27)Q3'!$I$2:$J$2,'[1]NOV-2026'!$A$2:$DM$2,0),0),0)</f>
        <v>0</v>
      </c>
      <c r="K4" s="152">
        <f>IFERROR(VLOOKUP($A$3:$A$114,'[2]DEC-2026'!$A$4:$AEE$125,MATCH('FY-(26-27)Q3'!$K$2:$L$2,'[2]DEC-2026'!$A$2:$EF$2,0),0),0)</f>
        <v>0</v>
      </c>
      <c r="L4" s="154">
        <f>IFERROR(VLOOKUP($A$3:$A$114,'[2]DEC-2026'!$A$4:$AEE$125,MATCH('FY-(26-27)Q3'!$K$2:$L$2,'[2]DEC-2026'!$A$2:$EF$2,0),0),0)</f>
        <v>0</v>
      </c>
      <c r="M4" s="71">
        <f t="shared" ref="M4:N50" si="0">G4+I4+K4</f>
        <v>124251</v>
      </c>
      <c r="N4" s="165">
        <f t="shared" si="0"/>
        <v>2.48502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IFERROR(VLOOKUP($A$3:$A$114,'OCT-2026'!$A$4:$ADC$118,MATCH('FY-(26-27)Q3'!$G$2:$H$2,'OCT-2026'!$A$2:$DD$2,0),0),0)</f>
        <v>373921</v>
      </c>
      <c r="H5" s="154">
        <f>IFERROR(VLOOKUP($A$3:$A$114,'OCT-2026'!$A$4:$ADC$118,MATCH('FY-(26-27)Q3'!$G$2:$H$2,'OCT-2026'!$A$2:$DD$2,0),0),0)</f>
        <v>1.2464033333333333</v>
      </c>
      <c r="I5" s="152">
        <f>IFERROR(VLOOKUP($A$3:$A$114,'[1]NOV-2026'!$A$4:$ADL$124,MATCH('FY-(26-27)Q3'!$I$2:$J$2,'[1]NOV-2026'!$A$2:$DM$2,0),0),0)</f>
        <v>0</v>
      </c>
      <c r="J5" s="154">
        <f>IFERROR(VLOOKUP($A$3:$A$114,'[1]NOV-2026'!$A$4:$ADL$124,MATCH('FY-(26-27)Q3'!$I$2:$J$2,'[1]NOV-2026'!$A$2:$DM$2,0),0),0)</f>
        <v>0</v>
      </c>
      <c r="K5" s="152">
        <f>IFERROR(VLOOKUP($A$3:$A$114,'[2]DEC-2026'!$A$4:$AEE$125,MATCH('FY-(26-27)Q3'!$K$2:$L$2,'[2]DEC-2026'!$A$2:$EF$2,0),0),0)</f>
        <v>0</v>
      </c>
      <c r="L5" s="154">
        <f>IFERROR(VLOOKUP($A$3:$A$114,'[2]DEC-2026'!$A$4:$AEE$125,MATCH('FY-(26-27)Q3'!$K$2:$L$2,'[2]DEC-2026'!$A$2:$EF$2,0),0),0)</f>
        <v>0</v>
      </c>
      <c r="M5" s="71">
        <f t="shared" si="0"/>
        <v>373921</v>
      </c>
      <c r="N5" s="165">
        <f t="shared" si="0"/>
        <v>1.2464033333333333</v>
      </c>
    </row>
    <row r="6" spans="1:1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IFERROR(VLOOKUP($A$3:$A$114,'OCT-2026'!$A$4:$ADC$118,MATCH('FY-(26-27)Q3'!$G$2:$H$2,'OCT-2026'!$A$2:$DD$2,0),0),0)</f>
        <v>247837</v>
      </c>
      <c r="H6" s="154">
        <f>IFERROR(VLOOKUP($A$3:$A$114,'OCT-2026'!$A$4:$ADC$118,MATCH('FY-(26-27)Q3'!$G$2:$H$2,'OCT-2026'!$A$2:$DD$2,0),0),0)</f>
        <v>2.47837</v>
      </c>
      <c r="I6" s="152">
        <f>IFERROR(VLOOKUP($A$3:$A$114,'[1]NOV-2026'!$A$4:$ADL$124,MATCH('FY-(26-27)Q3'!$I$2:$J$2,'[1]NOV-2026'!$A$2:$DM$2,0),0),0)</f>
        <v>0</v>
      </c>
      <c r="J6" s="154">
        <f>IFERROR(VLOOKUP($A$3:$A$114,'[1]NOV-2026'!$A$4:$ADL$124,MATCH('FY-(26-27)Q3'!$I$2:$J$2,'[1]NOV-2026'!$A$2:$DM$2,0),0),0)</f>
        <v>0</v>
      </c>
      <c r="K6" s="152">
        <f>IFERROR(VLOOKUP($A$3:$A$114,'[2]DEC-2026'!$A$4:$AEE$125,MATCH('FY-(26-27)Q3'!$K$2:$L$2,'[2]DEC-2026'!$A$2:$EF$2,0),0),0)</f>
        <v>0</v>
      </c>
      <c r="L6" s="154">
        <f>IFERROR(VLOOKUP($A$3:$A$114,'[2]DEC-2026'!$A$4:$AEE$125,MATCH('FY-(26-27)Q3'!$K$2:$L$2,'[2]DEC-2026'!$A$2:$EF$2,0),0),0)</f>
        <v>0</v>
      </c>
      <c r="M6" s="71">
        <f t="shared" si="0"/>
        <v>247837</v>
      </c>
      <c r="N6" s="165">
        <f t="shared" si="0"/>
        <v>2.47837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IFERROR(VLOOKUP($A$3:$A$114,'OCT-2026'!$A$4:$ADC$118,MATCH('FY-(26-27)Q3'!$G$2:$H$2,'OCT-2026'!$A$2:$DD$2,0),0),0)</f>
        <v>-4882</v>
      </c>
      <c r="H7" s="154">
        <f>IFERROR(VLOOKUP($A$3:$A$114,'OCT-2026'!$A$4:$ADC$118,MATCH('FY-(26-27)Q3'!$G$2:$H$2,'OCT-2026'!$A$2:$DD$2,0),0),0)</f>
        <v>-1.6273333333333331E-2</v>
      </c>
      <c r="I7" s="152">
        <f>IFERROR(VLOOKUP($A$3:$A$114,'[1]NOV-2026'!$A$4:$ADL$124,MATCH('FY-(26-27)Q3'!$I$2:$J$2,'[1]NOV-2026'!$A$2:$DM$2,0),0),0)</f>
        <v>0</v>
      </c>
      <c r="J7" s="154">
        <f>IFERROR(VLOOKUP($A$3:$A$114,'[1]NOV-2026'!$A$4:$ADL$124,MATCH('FY-(26-27)Q3'!$I$2:$J$2,'[1]NOV-2026'!$A$2:$DM$2,0),0),0)</f>
        <v>0</v>
      </c>
      <c r="K7" s="152">
        <f>IFERROR(VLOOKUP($A$3:$A$114,'[2]DEC-2026'!$A$4:$AEE$125,MATCH('FY-(26-27)Q3'!$K$2:$L$2,'[2]DEC-2026'!$A$2:$EF$2,0),0),0)</f>
        <v>0</v>
      </c>
      <c r="L7" s="154">
        <f>IFERROR(VLOOKUP($A$3:$A$114,'[2]DEC-2026'!$A$4:$AEE$125,MATCH('FY-(26-27)Q3'!$K$2:$L$2,'[2]DEC-2026'!$A$2:$EF$2,0),0),0)</f>
        <v>0</v>
      </c>
      <c r="M7" s="71">
        <f t="shared" si="0"/>
        <v>-4882</v>
      </c>
      <c r="N7" s="165">
        <f t="shared" si="0"/>
        <v>-1.6273333333333331E-2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IFERROR(VLOOKUP($A$3:$A$114,'OCT-2026'!$A$4:$ADC$118,MATCH('FY-(26-27)Q3'!$G$2:$H$2,'OCT-2026'!$A$2:$DD$2,0),0),0)</f>
        <v>264612</v>
      </c>
      <c r="H8" s="154">
        <f>IFERROR(VLOOKUP($A$3:$A$114,'OCT-2026'!$A$4:$ADC$118,MATCH('FY-(26-27)Q3'!$G$2:$H$2,'OCT-2026'!$A$2:$DD$2,0),0),0)</f>
        <v>1.7640800000000001</v>
      </c>
      <c r="I8" s="152">
        <f>IFERROR(VLOOKUP($A$3:$A$114,'[1]NOV-2026'!$A$4:$ADL$124,MATCH('FY-(26-27)Q3'!$I$2:$J$2,'[1]NOV-2026'!$A$2:$DM$2,0),0),0)</f>
        <v>0</v>
      </c>
      <c r="J8" s="154">
        <f>IFERROR(VLOOKUP($A$3:$A$114,'[1]NOV-2026'!$A$4:$ADL$124,MATCH('FY-(26-27)Q3'!$I$2:$J$2,'[1]NOV-2026'!$A$2:$DM$2,0),0),0)</f>
        <v>0</v>
      </c>
      <c r="K8" s="152">
        <f>IFERROR(VLOOKUP($A$3:$A$114,'[2]DEC-2026'!$A$4:$AEE$125,MATCH('FY-(26-27)Q3'!$K$2:$L$2,'[2]DEC-2026'!$A$2:$EF$2,0),0),0)</f>
        <v>0</v>
      </c>
      <c r="L8" s="154">
        <f>IFERROR(VLOOKUP($A$3:$A$114,'[2]DEC-2026'!$A$4:$AEE$125,MATCH('FY-(26-27)Q3'!$K$2:$L$2,'[2]DEC-2026'!$A$2:$EF$2,0),0),0)</f>
        <v>0</v>
      </c>
      <c r="M8" s="71">
        <f t="shared" si="0"/>
        <v>264612</v>
      </c>
      <c r="N8" s="165">
        <f t="shared" si="0"/>
        <v>1.7640800000000001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IFERROR(VLOOKUP($A$3:$A$114,'OCT-2026'!$A$4:$ADC$118,MATCH('FY-(26-27)Q3'!$G$2:$H$2,'OCT-2026'!$A$2:$DD$2,0),0),0)</f>
        <v>96324</v>
      </c>
      <c r="H9" s="154">
        <f>IFERROR(VLOOKUP($A$3:$A$114,'OCT-2026'!$A$4:$ADC$118,MATCH('FY-(26-27)Q3'!$G$2:$H$2,'OCT-2026'!$A$2:$DD$2,0),0),0)</f>
        <v>1.6053999999999999</v>
      </c>
      <c r="I9" s="152">
        <f>IFERROR(VLOOKUP($A$3:$A$114,'[1]NOV-2026'!$A$4:$ADL$124,MATCH('FY-(26-27)Q3'!$I$2:$J$2,'[1]NOV-2026'!$A$2:$DM$2,0),0),0)</f>
        <v>0</v>
      </c>
      <c r="J9" s="154">
        <f>IFERROR(VLOOKUP($A$3:$A$114,'[1]NOV-2026'!$A$4:$ADL$124,MATCH('FY-(26-27)Q3'!$I$2:$J$2,'[1]NOV-2026'!$A$2:$DM$2,0),0),0)</f>
        <v>0</v>
      </c>
      <c r="K9" s="152">
        <f>IFERROR(VLOOKUP($A$3:$A$114,'[2]DEC-2026'!$A$4:$AEE$125,MATCH('FY-(26-27)Q3'!$K$2:$L$2,'[2]DEC-2026'!$A$2:$EF$2,0),0),0)</f>
        <v>0</v>
      </c>
      <c r="L9" s="154">
        <f>IFERROR(VLOOKUP($A$3:$A$114,'[2]DEC-2026'!$A$4:$AEE$125,MATCH('FY-(26-27)Q3'!$K$2:$L$2,'[2]DEC-2026'!$A$2:$EF$2,0),0),0)</f>
        <v>0</v>
      </c>
      <c r="M9" s="71">
        <f t="shared" si="0"/>
        <v>96324</v>
      </c>
      <c r="N9" s="165">
        <f t="shared" si="0"/>
        <v>1.6053999999999999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IFERROR(VLOOKUP($A$3:$A$114,'OCT-2026'!$A$4:$ADC$118,MATCH('FY-(26-27)Q3'!$G$2:$H$2,'OCT-2026'!$A$2:$DD$2,0),0),0)</f>
        <v>-137320</v>
      </c>
      <c r="H10" s="154">
        <f>IFERROR(VLOOKUP($A$3:$A$114,'OCT-2026'!$A$4:$ADC$118,MATCH('FY-(26-27)Q3'!$G$2:$H$2,'OCT-2026'!$A$2:$DD$2,0),0),0)</f>
        <v>-9.1546666666666665E-2</v>
      </c>
      <c r="I10" s="152">
        <f>IFERROR(VLOOKUP($A$3:$A$114,'[1]NOV-2026'!$A$4:$ADL$124,MATCH('FY-(26-27)Q3'!$I$2:$J$2,'[1]NOV-2026'!$A$2:$DM$2,0),0),0)</f>
        <v>0</v>
      </c>
      <c r="J10" s="154">
        <f>IFERROR(VLOOKUP($A$3:$A$114,'[1]NOV-2026'!$A$4:$ADL$124,MATCH('FY-(26-27)Q3'!$I$2:$J$2,'[1]NOV-2026'!$A$2:$DM$2,0),0),0)</f>
        <v>0</v>
      </c>
      <c r="K10" s="152">
        <f>IFERROR(VLOOKUP($A$3:$A$114,'[2]DEC-2026'!$A$4:$AEE$125,MATCH('FY-(26-27)Q3'!$K$2:$L$2,'[2]DEC-2026'!$A$2:$EF$2,0),0),0)</f>
        <v>0</v>
      </c>
      <c r="L10" s="154">
        <f>IFERROR(VLOOKUP($A$3:$A$114,'[2]DEC-2026'!$A$4:$AEE$125,MATCH('FY-(26-27)Q3'!$K$2:$L$2,'[2]DEC-2026'!$A$2:$EF$2,0),0),0)</f>
        <v>0</v>
      </c>
      <c r="M10" s="71">
        <f t="shared" si="0"/>
        <v>-137320</v>
      </c>
      <c r="N10" s="165">
        <f t="shared" si="0"/>
        <v>-9.1546666666666665E-2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IFERROR(VLOOKUP($A$3:$A$114,'OCT-2026'!$A$4:$ADC$118,MATCH('FY-(26-27)Q3'!$G$2:$H$2,'OCT-2026'!$A$2:$DD$2,0),0),0)</f>
        <v>611713</v>
      </c>
      <c r="H11" s="154">
        <f>IFERROR(VLOOKUP($A$3:$A$114,'OCT-2026'!$A$4:$ADC$118,MATCH('FY-(26-27)Q3'!$G$2:$H$2,'OCT-2026'!$A$2:$DD$2,0),0),0)</f>
        <v>1.0195216666666669</v>
      </c>
      <c r="I11" s="152">
        <f>IFERROR(VLOOKUP($A$3:$A$114,'[1]NOV-2026'!$A$4:$ADL$124,MATCH('FY-(26-27)Q3'!$I$2:$J$2,'[1]NOV-2026'!$A$2:$DM$2,0),0),0)</f>
        <v>0</v>
      </c>
      <c r="J11" s="154">
        <f>IFERROR(VLOOKUP($A$3:$A$114,'[1]NOV-2026'!$A$4:$ADL$124,MATCH('FY-(26-27)Q3'!$I$2:$J$2,'[1]NOV-2026'!$A$2:$DM$2,0),0),0)</f>
        <v>0</v>
      </c>
      <c r="K11" s="152">
        <f>IFERROR(VLOOKUP($A$3:$A$114,'[2]DEC-2026'!$A$4:$AEE$125,MATCH('FY-(26-27)Q3'!$K$2:$L$2,'[2]DEC-2026'!$A$2:$EF$2,0),0),0)</f>
        <v>0</v>
      </c>
      <c r="L11" s="154">
        <f>IFERROR(VLOOKUP($A$3:$A$114,'[2]DEC-2026'!$A$4:$AEE$125,MATCH('FY-(26-27)Q3'!$K$2:$L$2,'[2]DEC-2026'!$A$2:$EF$2,0),0),0)</f>
        <v>0</v>
      </c>
      <c r="M11" s="71">
        <f t="shared" si="0"/>
        <v>611713</v>
      </c>
      <c r="N11" s="165">
        <f t="shared" si="0"/>
        <v>1.0195216666666669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IFERROR(VLOOKUP($A$3:$A$114,'OCT-2026'!$A$4:$ADC$118,MATCH('FY-(26-27)Q3'!$G$2:$H$2,'OCT-2026'!$A$2:$DD$2,0),0),0)</f>
        <v>-4680</v>
      </c>
      <c r="H12" s="154">
        <f>IFERROR(VLOOKUP($A$3:$A$114,'OCT-2026'!$A$4:$ADC$118,MATCH('FY-(26-27)Q3'!$G$2:$H$2,'OCT-2026'!$A$2:$DD$2,0),0),0)</f>
        <v>-4.6800000000000001E-2</v>
      </c>
      <c r="I12" s="152">
        <f>IFERROR(VLOOKUP($A$3:$A$114,'[1]NOV-2026'!$A$4:$ADL$124,MATCH('FY-(26-27)Q3'!$I$2:$J$2,'[1]NOV-2026'!$A$2:$DM$2,0),0),0)</f>
        <v>0</v>
      </c>
      <c r="J12" s="154">
        <f>IFERROR(VLOOKUP($A$3:$A$114,'[1]NOV-2026'!$A$4:$ADL$124,MATCH('FY-(26-27)Q3'!$I$2:$J$2,'[1]NOV-2026'!$A$2:$DM$2,0),0),0)</f>
        <v>0</v>
      </c>
      <c r="K12" s="152">
        <f>IFERROR(VLOOKUP($A$3:$A$114,'[2]DEC-2026'!$A$4:$AEE$125,MATCH('FY-(26-27)Q3'!$K$2:$L$2,'[2]DEC-2026'!$A$2:$EF$2,0),0),0)</f>
        <v>0</v>
      </c>
      <c r="L12" s="154">
        <f>IFERROR(VLOOKUP($A$3:$A$114,'[2]DEC-2026'!$A$4:$AEE$125,MATCH('FY-(26-27)Q3'!$K$2:$L$2,'[2]DEC-2026'!$A$2:$EF$2,0),0),0)</f>
        <v>0</v>
      </c>
      <c r="M12" s="71">
        <f t="shared" si="0"/>
        <v>-4680</v>
      </c>
      <c r="N12" s="165">
        <f t="shared" si="0"/>
        <v>-4.6800000000000001E-2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IFERROR(VLOOKUP($A$3:$A$114,'OCT-2026'!$A$4:$ADC$118,MATCH('FY-(26-27)Q3'!$G$2:$H$2,'OCT-2026'!$A$2:$DD$2,0),0),0)</f>
        <v>155276</v>
      </c>
      <c r="H13" s="154">
        <f>IFERROR(VLOOKUP($A$3:$A$114,'OCT-2026'!$A$4:$ADC$118,MATCH('FY-(26-27)Q3'!$G$2:$H$2,'OCT-2026'!$A$2:$DD$2,0),0),0)</f>
        <v>0.62110399999999999</v>
      </c>
      <c r="I13" s="152">
        <f>IFERROR(VLOOKUP($A$3:$A$114,'[1]NOV-2026'!$A$4:$ADL$124,MATCH('FY-(26-27)Q3'!$I$2:$J$2,'[1]NOV-2026'!$A$2:$DM$2,0),0),0)</f>
        <v>0</v>
      </c>
      <c r="J13" s="154">
        <f>IFERROR(VLOOKUP($A$3:$A$114,'[1]NOV-2026'!$A$4:$ADL$124,MATCH('FY-(26-27)Q3'!$I$2:$J$2,'[1]NOV-2026'!$A$2:$DM$2,0),0),0)</f>
        <v>0</v>
      </c>
      <c r="K13" s="152">
        <f>IFERROR(VLOOKUP($A$3:$A$114,'[2]DEC-2026'!$A$4:$AEE$125,MATCH('FY-(26-27)Q3'!$K$2:$L$2,'[2]DEC-2026'!$A$2:$EF$2,0),0),0)</f>
        <v>0</v>
      </c>
      <c r="L13" s="154">
        <f>IFERROR(VLOOKUP($A$3:$A$114,'[2]DEC-2026'!$A$4:$AEE$125,MATCH('FY-(26-27)Q3'!$K$2:$L$2,'[2]DEC-2026'!$A$2:$EF$2,0),0),0)</f>
        <v>0</v>
      </c>
      <c r="M13" s="71">
        <f t="shared" si="0"/>
        <v>155276</v>
      </c>
      <c r="N13" s="165">
        <f t="shared" si="0"/>
        <v>0.62110399999999999</v>
      </c>
    </row>
    <row r="14" spans="1:14" x14ac:dyDescent="0.25">
      <c r="A14" s="141" t="s">
        <v>43</v>
      </c>
      <c r="B14" s="140" t="s">
        <v>84</v>
      </c>
      <c r="C14" s="140" t="s">
        <v>85</v>
      </c>
      <c r="D14" s="37" t="s">
        <v>107</v>
      </c>
      <c r="E14" s="37" t="s">
        <v>107</v>
      </c>
      <c r="F14" s="156">
        <v>1</v>
      </c>
      <c r="G14" s="152">
        <f>IFERROR(VLOOKUP($A$3:$A$114,'OCT-2026'!$A$4:$ADC$118,MATCH('FY-(26-27)Q3'!$G$2:$H$2,'OCT-2026'!$A$2:$DD$2,0),0),0)</f>
        <v>9974</v>
      </c>
      <c r="H14" s="154">
        <f>IFERROR(VLOOKUP($A$3:$A$114,'OCT-2026'!$A$4:$ADC$118,MATCH('FY-(26-27)Q3'!$G$2:$H$2,'OCT-2026'!$A$2:$DD$2,0),0),0)</f>
        <v>9.9739999999999995E-2</v>
      </c>
      <c r="I14" s="152">
        <f>IFERROR(VLOOKUP($A$3:$A$114,'[1]NOV-2026'!$A$4:$ADL$124,MATCH('FY-(26-27)Q3'!$I$2:$J$2,'[1]NOV-2026'!$A$2:$DM$2,0),0),0)</f>
        <v>0</v>
      </c>
      <c r="J14" s="154">
        <f>IFERROR(VLOOKUP($A$3:$A$114,'[1]NOV-2026'!$A$4:$ADL$124,MATCH('FY-(26-27)Q3'!$I$2:$J$2,'[1]NOV-2026'!$A$2:$DM$2,0),0),0)</f>
        <v>0</v>
      </c>
      <c r="K14" s="152">
        <f>IFERROR(VLOOKUP($A$3:$A$114,'[2]DEC-2026'!$A$4:$AEE$125,MATCH('FY-(26-27)Q3'!$K$2:$L$2,'[2]DEC-2026'!$A$2:$EF$2,0),0),0)</f>
        <v>0</v>
      </c>
      <c r="L14" s="154">
        <f>IFERROR(VLOOKUP($A$3:$A$114,'[2]DEC-2026'!$A$4:$AEE$125,MATCH('FY-(26-27)Q3'!$K$2:$L$2,'[2]DEC-2026'!$A$2:$EF$2,0),0),0)</f>
        <v>0</v>
      </c>
      <c r="M14" s="71">
        <f t="shared" si="0"/>
        <v>9974</v>
      </c>
      <c r="N14" s="165">
        <f t="shared" si="0"/>
        <v>9.9739999999999995E-2</v>
      </c>
    </row>
    <row r="15" spans="1:14" x14ac:dyDescent="0.25">
      <c r="A15" s="141" t="s">
        <v>51</v>
      </c>
      <c r="B15" s="140" t="s">
        <v>171</v>
      </c>
      <c r="C15" s="141" t="s">
        <v>289</v>
      </c>
      <c r="D15" s="141" t="s">
        <v>39</v>
      </c>
      <c r="E15" s="141" t="s">
        <v>256</v>
      </c>
      <c r="F15" s="155">
        <v>0.2</v>
      </c>
      <c r="G15" s="152">
        <f>IFERROR(VLOOKUP($A$3:$A$114,'OCT-2026'!$A$4:$ADC$118,MATCH('FY-(26-27)Q3'!$G$2:$H$2,'OCT-2026'!$A$2:$DD$2,0),0),0)</f>
        <v>175779</v>
      </c>
      <c r="H15" s="154">
        <f>IFERROR(VLOOKUP($A$3:$A$114,'OCT-2026'!$A$4:$ADC$118,MATCH('FY-(26-27)Q3'!$G$2:$H$2,'OCT-2026'!$A$2:$DD$2,0),0),0)</f>
        <v>0.7989954545454544</v>
      </c>
      <c r="I15" s="152">
        <f>IFERROR(VLOOKUP($A$3:$A$114,'[1]NOV-2026'!$A$4:$ADL$124,MATCH('FY-(26-27)Q3'!$I$2:$J$2,'[1]NOV-2026'!$A$2:$DM$2,0),0),0)</f>
        <v>0</v>
      </c>
      <c r="J15" s="154">
        <f>IFERROR(VLOOKUP($A$3:$A$114,'[1]NOV-2026'!$A$4:$ADL$124,MATCH('FY-(26-27)Q3'!$I$2:$J$2,'[1]NOV-2026'!$A$2:$DM$2,0),0),0)</f>
        <v>0</v>
      </c>
      <c r="K15" s="152">
        <f>IFERROR(VLOOKUP($A$3:$A$114,'[2]DEC-2026'!$A$4:$AEE$125,MATCH('FY-(26-27)Q3'!$K$2:$L$2,'[2]DEC-2026'!$A$2:$EF$2,0),0),0)</f>
        <v>0</v>
      </c>
      <c r="L15" s="154">
        <f>IFERROR(VLOOKUP($A$3:$A$114,'[2]DEC-2026'!$A$4:$AEE$125,MATCH('FY-(26-27)Q3'!$K$2:$L$2,'[2]DEC-2026'!$A$2:$EF$2,0),0),0)</f>
        <v>0</v>
      </c>
      <c r="M15" s="71">
        <f t="shared" si="0"/>
        <v>175779</v>
      </c>
      <c r="N15" s="165">
        <f t="shared" si="0"/>
        <v>0.7989954545454544</v>
      </c>
    </row>
    <row r="16" spans="1:14" x14ac:dyDescent="0.25">
      <c r="A16" s="141" t="s">
        <v>24</v>
      </c>
      <c r="B16" s="140" t="s">
        <v>73</v>
      </c>
      <c r="C16" s="140" t="s">
        <v>58</v>
      </c>
      <c r="D16" s="37" t="s">
        <v>20</v>
      </c>
      <c r="E16" s="37" t="s">
        <v>256</v>
      </c>
      <c r="F16" s="155">
        <v>2.5</v>
      </c>
      <c r="G16" s="152">
        <f>IFERROR(VLOOKUP($A$3:$A$114,'OCT-2026'!$A$4:$ADC$118,MATCH('FY-(26-27)Q3'!$G$2:$H$2,'OCT-2026'!$A$2:$DD$2,0),0),0)</f>
        <v>13764</v>
      </c>
      <c r="H16" s="154">
        <f>IFERROR(VLOOKUP($A$3:$A$114,'OCT-2026'!$A$4:$ADC$118,MATCH('FY-(26-27)Q3'!$G$2:$H$2,'OCT-2026'!$A$2:$DD$2,0),0),0)</f>
        <v>5.5056000000000001E-2</v>
      </c>
      <c r="I16" s="152">
        <f>IFERROR(VLOOKUP($A$3:$A$114,'[1]NOV-2026'!$A$4:$ADL$124,MATCH('FY-(26-27)Q3'!$I$2:$J$2,'[1]NOV-2026'!$A$2:$DM$2,0),0),0)</f>
        <v>0</v>
      </c>
      <c r="J16" s="154">
        <f>IFERROR(VLOOKUP($A$3:$A$114,'[1]NOV-2026'!$A$4:$ADL$124,MATCH('FY-(26-27)Q3'!$I$2:$J$2,'[1]NOV-2026'!$A$2:$DM$2,0),0),0)</f>
        <v>0</v>
      </c>
      <c r="K16" s="152">
        <f>IFERROR(VLOOKUP($A$3:$A$114,'[2]DEC-2026'!$A$4:$AEE$125,MATCH('FY-(26-27)Q3'!$K$2:$L$2,'[2]DEC-2026'!$A$2:$EF$2,0),0),0)</f>
        <v>0</v>
      </c>
      <c r="L16" s="154">
        <f>IFERROR(VLOOKUP($A$3:$A$114,'[2]DEC-2026'!$A$4:$AEE$125,MATCH('FY-(26-27)Q3'!$K$2:$L$2,'[2]DEC-2026'!$A$2:$EF$2,0),0),0)</f>
        <v>0</v>
      </c>
      <c r="M16" s="71">
        <f t="shared" si="0"/>
        <v>13764</v>
      </c>
      <c r="N16" s="165">
        <f t="shared" si="0"/>
        <v>5.5056000000000001E-2</v>
      </c>
    </row>
    <row r="17" spans="1:15" x14ac:dyDescent="0.25">
      <c r="A17" s="141" t="s">
        <v>23</v>
      </c>
      <c r="B17" s="140" t="s">
        <v>74</v>
      </c>
      <c r="C17" s="140" t="s">
        <v>59</v>
      </c>
      <c r="D17" s="37" t="s">
        <v>3</v>
      </c>
      <c r="E17" s="37" t="s">
        <v>256</v>
      </c>
      <c r="F17" s="155">
        <v>4</v>
      </c>
      <c r="G17" s="152">
        <f>IFERROR(VLOOKUP($A$3:$A$114,'OCT-2026'!$A$4:$ADC$118,MATCH('FY-(26-27)Q3'!$G$2:$H$2,'OCT-2026'!$A$2:$DD$2,0),0),0)</f>
        <v>49601</v>
      </c>
      <c r="H17" s="154">
        <f>IFERROR(VLOOKUP($A$3:$A$114,'OCT-2026'!$A$4:$ADC$118,MATCH('FY-(26-27)Q3'!$G$2:$H$2,'OCT-2026'!$A$2:$DD$2,0),0),0)</f>
        <v>0.1240025</v>
      </c>
      <c r="I17" s="152">
        <f>IFERROR(VLOOKUP($A$3:$A$114,'[1]NOV-2026'!$A$4:$ADL$124,MATCH('FY-(26-27)Q3'!$I$2:$J$2,'[1]NOV-2026'!$A$2:$DM$2,0),0),0)</f>
        <v>0</v>
      </c>
      <c r="J17" s="154">
        <f>IFERROR(VLOOKUP($A$3:$A$114,'[1]NOV-2026'!$A$4:$ADL$124,MATCH('FY-(26-27)Q3'!$I$2:$J$2,'[1]NOV-2026'!$A$2:$DM$2,0),0),0)</f>
        <v>0</v>
      </c>
      <c r="K17" s="152">
        <f>IFERROR(VLOOKUP($A$3:$A$114,'[2]DEC-2026'!$A$4:$AEE$125,MATCH('FY-(26-27)Q3'!$K$2:$L$2,'[2]DEC-2026'!$A$2:$EF$2,0),0),0)</f>
        <v>0</v>
      </c>
      <c r="L17" s="154">
        <f>IFERROR(VLOOKUP($A$3:$A$114,'[2]DEC-2026'!$A$4:$AEE$125,MATCH('FY-(26-27)Q3'!$K$2:$L$2,'[2]DEC-2026'!$A$2:$EF$2,0),0),0)</f>
        <v>0</v>
      </c>
      <c r="M17" s="71">
        <f t="shared" si="0"/>
        <v>49601</v>
      </c>
      <c r="N17" s="165">
        <f t="shared" si="0"/>
        <v>0.1240025</v>
      </c>
    </row>
    <row r="18" spans="1:15" x14ac:dyDescent="0.25">
      <c r="A18" s="141" t="s">
        <v>110</v>
      </c>
      <c r="B18" s="140" t="s">
        <v>111</v>
      </c>
      <c r="C18" s="140" t="s">
        <v>109</v>
      </c>
      <c r="D18" s="37" t="s">
        <v>87</v>
      </c>
      <c r="E18" s="37" t="s">
        <v>256</v>
      </c>
      <c r="F18" s="155">
        <v>0.25</v>
      </c>
      <c r="G18" s="152">
        <f>IFERROR(VLOOKUP($A$3:$A$114,'OCT-2026'!$A$4:$ADC$118,MATCH('FY-(26-27)Q3'!$G$2:$H$2,'OCT-2026'!$A$2:$DD$2,0),0),0)</f>
        <v>-150688</v>
      </c>
      <c r="H18" s="154">
        <f>IFERROR(VLOOKUP($A$3:$A$114,'OCT-2026'!$A$4:$ADC$118,MATCH('FY-(26-27)Q3'!$G$2:$H$2,'OCT-2026'!$A$2:$DD$2,0),0),0)</f>
        <v>-1.3698909090909093</v>
      </c>
      <c r="I18" s="152">
        <f>IFERROR(VLOOKUP($A$3:$A$114,'[1]NOV-2026'!$A$4:$ADL$124,MATCH('FY-(26-27)Q3'!$I$2:$J$2,'[1]NOV-2026'!$A$2:$DM$2,0),0),0)</f>
        <v>0</v>
      </c>
      <c r="J18" s="154">
        <f>IFERROR(VLOOKUP($A$3:$A$114,'[1]NOV-2026'!$A$4:$ADL$124,MATCH('FY-(26-27)Q3'!$I$2:$J$2,'[1]NOV-2026'!$A$2:$DM$2,0),0),0)</f>
        <v>0</v>
      </c>
      <c r="K18" s="152">
        <f>IFERROR(VLOOKUP($A$3:$A$114,'[2]DEC-2026'!$A$4:$AEE$125,MATCH('FY-(26-27)Q3'!$K$2:$L$2,'[2]DEC-2026'!$A$2:$EF$2,0),0),0)</f>
        <v>0</v>
      </c>
      <c r="L18" s="154">
        <f>IFERROR(VLOOKUP($A$3:$A$114,'[2]DEC-2026'!$A$4:$AEE$125,MATCH('FY-(26-27)Q3'!$K$2:$L$2,'[2]DEC-2026'!$A$2:$EF$2,0),0),0)</f>
        <v>0</v>
      </c>
      <c r="M18" s="71">
        <f t="shared" si="0"/>
        <v>-150688</v>
      </c>
      <c r="N18" s="165">
        <f t="shared" si="0"/>
        <v>-1.3698909090909093</v>
      </c>
    </row>
    <row r="19" spans="1:15" x14ac:dyDescent="0.25">
      <c r="A19" s="141" t="s">
        <v>319</v>
      </c>
      <c r="B19" s="140" t="s">
        <v>321</v>
      </c>
      <c r="C19" s="140" t="s">
        <v>283</v>
      </c>
      <c r="D19" s="141" t="s">
        <v>152</v>
      </c>
      <c r="E19" s="141" t="s">
        <v>256</v>
      </c>
      <c r="F19" s="155">
        <v>0.25</v>
      </c>
      <c r="G19" s="152">
        <f>IFERROR(VLOOKUP($A$3:$A$114,'OCT-2026'!$A$4:$ADC$118,MATCH('FY-(26-27)Q3'!$G$2:$H$2,'OCT-2026'!$A$2:$DD$2,0),0),0)</f>
        <v>-107972</v>
      </c>
      <c r="H19" s="154">
        <f>IFERROR(VLOOKUP($A$3:$A$114,'OCT-2026'!$A$4:$ADC$118,MATCH('FY-(26-27)Q3'!$G$2:$H$2,'OCT-2026'!$A$2:$DD$2,0),0),0)</f>
        <v>-4.3188800000000001</v>
      </c>
      <c r="I19" s="152">
        <f>IFERROR(VLOOKUP($A$3:$A$114,'[1]NOV-2026'!$A$4:$ADL$124,MATCH('FY-(26-27)Q3'!$I$2:$J$2,'[1]NOV-2026'!$A$2:$DM$2,0),0),0)</f>
        <v>0</v>
      </c>
      <c r="J19" s="154">
        <f>IFERROR(VLOOKUP($A$3:$A$114,'[1]NOV-2026'!$A$4:$ADL$124,MATCH('FY-(26-27)Q3'!$I$2:$J$2,'[1]NOV-2026'!$A$2:$DM$2,0),0),0)</f>
        <v>0</v>
      </c>
      <c r="K19" s="152">
        <f>IFERROR(VLOOKUP($A$3:$A$114,'[2]DEC-2026'!$A$4:$AEE$125,MATCH('FY-(26-27)Q3'!$K$2:$L$2,'[2]DEC-2026'!$A$2:$EF$2,0),0),0)</f>
        <v>0</v>
      </c>
      <c r="L19" s="154">
        <f>IFERROR(VLOOKUP($A$3:$A$114,'[2]DEC-2026'!$A$4:$AEE$125,MATCH('FY-(26-27)Q3'!$K$2:$L$2,'[2]DEC-2026'!$A$2:$EF$2,0),0),0)</f>
        <v>0</v>
      </c>
      <c r="M19" s="71">
        <f t="shared" si="0"/>
        <v>-107972</v>
      </c>
      <c r="N19" s="165">
        <f t="shared" si="0"/>
        <v>-4.3188800000000001</v>
      </c>
    </row>
    <row r="20" spans="1:15" x14ac:dyDescent="0.25">
      <c r="A20" s="141" t="s">
        <v>316</v>
      </c>
      <c r="B20" s="140" t="s">
        <v>282</v>
      </c>
      <c r="C20" s="140" t="s">
        <v>38</v>
      </c>
      <c r="D20" s="141" t="s">
        <v>152</v>
      </c>
      <c r="E20" s="141" t="s">
        <v>256</v>
      </c>
      <c r="F20" s="155">
        <v>2</v>
      </c>
      <c r="G20" s="152">
        <f>IFERROR(VLOOKUP($A$3:$A$114,'OCT-2026'!$A$4:$ADC$118,MATCH('FY-(26-27)Q3'!$G$2:$H$2,'OCT-2026'!$A$2:$DD$2,0),0),0)</f>
        <v>0</v>
      </c>
      <c r="H20" s="154">
        <f>IFERROR(VLOOKUP($A$3:$A$114,'OCT-2026'!$A$4:$ADC$118,MATCH('FY-(26-27)Q3'!$G$2:$H$2,'OCT-2026'!$A$2:$DD$2,0),0),0)</f>
        <v>0</v>
      </c>
      <c r="I20" s="152">
        <f>IFERROR(VLOOKUP($A$3:$A$114,'[1]NOV-2026'!$A$4:$ADL$124,MATCH('FY-(26-27)Q3'!$I$2:$J$2,'[1]NOV-2026'!$A$2:$DM$2,0),0),0)</f>
        <v>0</v>
      </c>
      <c r="J20" s="154">
        <f>IFERROR(VLOOKUP($A$3:$A$114,'[1]NOV-2026'!$A$4:$ADL$124,MATCH('FY-(26-27)Q3'!$I$2:$J$2,'[1]NOV-2026'!$A$2:$DM$2,0),0),0)</f>
        <v>0</v>
      </c>
      <c r="K20" s="152">
        <f>IFERROR(VLOOKUP($A$3:$A$114,'[2]DEC-2026'!$A$4:$AEE$125,MATCH('FY-(26-27)Q3'!$K$2:$L$2,'[2]DEC-2026'!$A$2:$EF$2,0),0),0)</f>
        <v>0</v>
      </c>
      <c r="L20" s="154">
        <f>IFERROR(VLOOKUP($A$3:$A$114,'[2]DEC-2026'!$A$4:$AEE$125,MATCH('FY-(26-27)Q3'!$K$2:$L$2,'[2]DEC-2026'!$A$2:$EF$2,0),0),0)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165</v>
      </c>
      <c r="B21" s="140" t="s">
        <v>303</v>
      </c>
      <c r="C21" s="140" t="s">
        <v>223</v>
      </c>
      <c r="D21" s="141" t="s">
        <v>261</v>
      </c>
      <c r="E21" s="37" t="s">
        <v>256</v>
      </c>
      <c r="F21" s="155">
        <v>0.5</v>
      </c>
      <c r="G21" s="152">
        <f>IFERROR(VLOOKUP($A$3:$A$114,'OCT-2026'!$A$4:$ADC$118,MATCH('FY-(26-27)Q3'!$G$2:$H$2,'OCT-2026'!$A$2:$DD$2,0),0),0)</f>
        <v>450473</v>
      </c>
      <c r="H21" s="154">
        <f>IFERROR(VLOOKUP($A$3:$A$114,'OCT-2026'!$A$4:$ADC$118,MATCH('FY-(26-27)Q3'!$G$2:$H$2,'OCT-2026'!$A$2:$DD$2,0),0),0)</f>
        <v>3.0031533333333331</v>
      </c>
      <c r="I21" s="152">
        <f>IFERROR(VLOOKUP($A$3:$A$114,'[1]NOV-2026'!$A$4:$ADL$124,MATCH('FY-(26-27)Q3'!$I$2:$J$2,'[1]NOV-2026'!$A$2:$DM$2,0),0),0)</f>
        <v>0</v>
      </c>
      <c r="J21" s="154">
        <f>IFERROR(VLOOKUP($A$3:$A$114,'[1]NOV-2026'!$A$4:$ADL$124,MATCH('FY-(26-27)Q3'!$I$2:$J$2,'[1]NOV-2026'!$A$2:$DM$2,0),0),0)</f>
        <v>0</v>
      </c>
      <c r="K21" s="152">
        <f>IFERROR(VLOOKUP($A$3:$A$114,'[2]DEC-2026'!$A$4:$AEE$125,MATCH('FY-(26-27)Q3'!$K$2:$L$2,'[2]DEC-2026'!$A$2:$EF$2,0),0),0)</f>
        <v>0</v>
      </c>
      <c r="L21" s="154">
        <f>IFERROR(VLOOKUP($A$3:$A$114,'[2]DEC-2026'!$A$4:$AEE$125,MATCH('FY-(26-27)Q3'!$K$2:$L$2,'[2]DEC-2026'!$A$2:$EF$2,0),0),0)</f>
        <v>0</v>
      </c>
      <c r="M21" s="71">
        <f t="shared" si="0"/>
        <v>450473</v>
      </c>
      <c r="N21" s="165">
        <f t="shared" si="0"/>
        <v>3.0031533333333331</v>
      </c>
    </row>
    <row r="22" spans="1:15" x14ac:dyDescent="0.25">
      <c r="A22" s="141" t="s">
        <v>32</v>
      </c>
      <c r="B22" s="140" t="s">
        <v>63</v>
      </c>
      <c r="C22" s="141" t="s">
        <v>21</v>
      </c>
      <c r="D22" s="37" t="s">
        <v>40</v>
      </c>
      <c r="E22" s="37" t="s">
        <v>256</v>
      </c>
      <c r="F22" s="155">
        <v>1.1000000000000001</v>
      </c>
      <c r="G22" s="152">
        <f>IFERROR(VLOOKUP($A$3:$A$114,'OCT-2026'!$A$4:$ADC$118,MATCH('FY-(26-27)Q3'!$G$2:$H$2,'OCT-2026'!$A$2:$DD$2,0),0),0)</f>
        <v>3279</v>
      </c>
      <c r="H22" s="154">
        <f>IFERROR(VLOOKUP($A$3:$A$114,'OCT-2026'!$A$4:$ADC$118,MATCH('FY-(26-27)Q3'!$G$2:$H$2,'OCT-2026'!$A$2:$DD$2,0),0),0)</f>
        <v>2.9809090909090907E-2</v>
      </c>
      <c r="I22" s="152">
        <f>IFERROR(VLOOKUP($A$3:$A$114,'[1]NOV-2026'!$A$4:$ADL$124,MATCH('FY-(26-27)Q3'!$I$2:$J$2,'[1]NOV-2026'!$A$2:$DM$2,0),0),0)</f>
        <v>0</v>
      </c>
      <c r="J22" s="154">
        <f>IFERROR(VLOOKUP($A$3:$A$114,'[1]NOV-2026'!$A$4:$ADL$124,MATCH('FY-(26-27)Q3'!$I$2:$J$2,'[1]NOV-2026'!$A$2:$DM$2,0),0),0)</f>
        <v>0</v>
      </c>
      <c r="K22" s="152">
        <f>IFERROR(VLOOKUP($A$3:$A$114,'[2]DEC-2026'!$A$4:$AEE$125,MATCH('FY-(26-27)Q3'!$K$2:$L$2,'[2]DEC-2026'!$A$2:$EF$2,0),0),0)</f>
        <v>0</v>
      </c>
      <c r="L22" s="154">
        <f>IFERROR(VLOOKUP($A$3:$A$114,'[2]DEC-2026'!$A$4:$AEE$125,MATCH('FY-(26-27)Q3'!$K$2:$L$2,'[2]DEC-2026'!$A$2:$EF$2,0),0),0)</f>
        <v>0</v>
      </c>
      <c r="M22" s="71">
        <f t="shared" si="0"/>
        <v>3279</v>
      </c>
      <c r="N22" s="165">
        <f t="shared" si="0"/>
        <v>2.9809090909090907E-2</v>
      </c>
    </row>
    <row r="23" spans="1:15" x14ac:dyDescent="0.25">
      <c r="A23" s="141" t="s">
        <v>97</v>
      </c>
      <c r="B23" s="140" t="s">
        <v>68</v>
      </c>
      <c r="C23" s="140" t="s">
        <v>206</v>
      </c>
      <c r="D23" s="37" t="s">
        <v>107</v>
      </c>
      <c r="E23" s="37" t="s">
        <v>107</v>
      </c>
      <c r="F23" s="155">
        <v>2.2999999999999998</v>
      </c>
      <c r="G23" s="152">
        <f>IFERROR(VLOOKUP($A$3:$A$114,'OCT-2026'!$A$4:$ADC$118,MATCH('FY-(26-27)Q3'!$G$2:$H$2,'OCT-2026'!$A$2:$DD$2,0),0),0)</f>
        <v>-22607</v>
      </c>
      <c r="H23" s="154">
        <f>IFERROR(VLOOKUP($A$3:$A$114,'OCT-2026'!$A$4:$ADC$118,MATCH('FY-(26-27)Q3'!$G$2:$H$2,'OCT-2026'!$A$2:$DD$2,0),0),0)</f>
        <v>-9.8291304347826097E-2</v>
      </c>
      <c r="I23" s="152">
        <f>IFERROR(VLOOKUP($A$3:$A$114,'[1]NOV-2026'!$A$4:$ADL$124,MATCH('FY-(26-27)Q3'!$I$2:$J$2,'[1]NOV-2026'!$A$2:$DM$2,0),0),0)</f>
        <v>0</v>
      </c>
      <c r="J23" s="154">
        <f>IFERROR(VLOOKUP($A$3:$A$114,'[1]NOV-2026'!$A$4:$ADL$124,MATCH('FY-(26-27)Q3'!$I$2:$J$2,'[1]NOV-2026'!$A$2:$DM$2,0),0),0)</f>
        <v>0</v>
      </c>
      <c r="K23" s="152">
        <f>IFERROR(VLOOKUP($A$3:$A$114,'[2]DEC-2026'!$A$4:$AEE$125,MATCH('FY-(26-27)Q3'!$K$2:$L$2,'[2]DEC-2026'!$A$2:$EF$2,0),0),0)</f>
        <v>0</v>
      </c>
      <c r="L23" s="154">
        <f>IFERROR(VLOOKUP($A$3:$A$114,'[2]DEC-2026'!$A$4:$AEE$125,MATCH('FY-(26-27)Q3'!$K$2:$L$2,'[2]DEC-2026'!$A$2:$EF$2,0),0),0)</f>
        <v>0</v>
      </c>
      <c r="M23" s="71">
        <f t="shared" si="0"/>
        <v>-22607</v>
      </c>
      <c r="N23" s="165">
        <f t="shared" si="0"/>
        <v>-9.8291304347826097E-2</v>
      </c>
    </row>
    <row r="24" spans="1:15" x14ac:dyDescent="0.25">
      <c r="A24" s="141" t="s">
        <v>302</v>
      </c>
      <c r="B24" s="140" t="s">
        <v>297</v>
      </c>
      <c r="C24" s="140" t="s">
        <v>298</v>
      </c>
      <c r="D24" s="141"/>
      <c r="E24" s="141" t="s">
        <v>256</v>
      </c>
      <c r="F24" s="155">
        <v>0.2</v>
      </c>
      <c r="G24" s="152">
        <f>IFERROR(VLOOKUP($A$3:$A$114,'OCT-2026'!$A$4:$ADC$118,MATCH('FY-(26-27)Q3'!$G$2:$H$2,'OCT-2026'!$A$2:$DD$2,0),0),0)</f>
        <v>16349</v>
      </c>
      <c r="H24" s="154">
        <f>IFERROR(VLOOKUP($A$3:$A$114,'OCT-2026'!$A$4:$ADC$118,MATCH('FY-(26-27)Q3'!$G$2:$H$2,'OCT-2026'!$A$2:$DD$2,0),0),0)</f>
        <v>0.81745000000000001</v>
      </c>
      <c r="I24" s="152">
        <f>IFERROR(VLOOKUP($A$3:$A$114,'[1]NOV-2026'!$A$4:$ADL$124,MATCH('FY-(26-27)Q3'!$I$2:$J$2,'[1]NOV-2026'!$A$2:$DM$2,0),0),0)</f>
        <v>0</v>
      </c>
      <c r="J24" s="154">
        <f>IFERROR(VLOOKUP($A$3:$A$114,'[1]NOV-2026'!$A$4:$ADL$124,MATCH('FY-(26-27)Q3'!$I$2:$J$2,'[1]NOV-2026'!$A$2:$DM$2,0),0),0)</f>
        <v>0</v>
      </c>
      <c r="K24" s="152">
        <f>IFERROR(VLOOKUP($A$3:$A$114,'[2]DEC-2026'!$A$4:$AEE$125,MATCH('FY-(26-27)Q3'!$K$2:$L$2,'[2]DEC-2026'!$A$2:$EF$2,0),0),0)</f>
        <v>0</v>
      </c>
      <c r="L24" s="154">
        <f>IFERROR(VLOOKUP($A$3:$A$114,'[2]DEC-2026'!$A$4:$AEE$125,MATCH('FY-(26-27)Q3'!$K$2:$L$2,'[2]DEC-2026'!$A$2:$EF$2,0),0),0)</f>
        <v>0</v>
      </c>
      <c r="M24" s="71">
        <f t="shared" si="0"/>
        <v>16349</v>
      </c>
      <c r="N24" s="165">
        <f t="shared" si="0"/>
        <v>0.81745000000000001</v>
      </c>
    </row>
    <row r="25" spans="1:15" x14ac:dyDescent="0.25">
      <c r="A25" s="141" t="s">
        <v>29</v>
      </c>
      <c r="B25" s="140" t="s">
        <v>22</v>
      </c>
      <c r="C25" s="140" t="s">
        <v>151</v>
      </c>
      <c r="D25" s="37" t="s">
        <v>5</v>
      </c>
      <c r="E25" s="37" t="s">
        <v>256</v>
      </c>
      <c r="F25" s="155">
        <v>5</v>
      </c>
      <c r="G25" s="152">
        <f>IFERROR(VLOOKUP($A$3:$A$114,'OCT-2026'!$A$4:$ADC$118,MATCH('FY-(26-27)Q3'!$G$2:$H$2,'OCT-2026'!$A$2:$DD$2,0),0),0)</f>
        <v>-32800</v>
      </c>
      <c r="H25" s="154">
        <f>IFERROR(VLOOKUP($A$3:$A$114,'OCT-2026'!$A$4:$ADC$118,MATCH('FY-(26-27)Q3'!$G$2:$H$2,'OCT-2026'!$A$2:$DD$2,0),0),0)</f>
        <v>-6.5600000000000006E-2</v>
      </c>
      <c r="I25" s="152">
        <f>IFERROR(VLOOKUP($A$3:$A$114,'[1]NOV-2026'!$A$4:$ADL$124,MATCH('FY-(26-27)Q3'!$I$2:$J$2,'[1]NOV-2026'!$A$2:$DM$2,0),0),0)</f>
        <v>0</v>
      </c>
      <c r="J25" s="154">
        <f>IFERROR(VLOOKUP($A$3:$A$114,'[1]NOV-2026'!$A$4:$ADL$124,MATCH('FY-(26-27)Q3'!$I$2:$J$2,'[1]NOV-2026'!$A$2:$DM$2,0),0),0)</f>
        <v>0</v>
      </c>
      <c r="K25" s="152">
        <f>IFERROR(VLOOKUP($A$3:$A$114,'[2]DEC-2026'!$A$4:$AEE$125,MATCH('FY-(26-27)Q3'!$K$2:$L$2,'[2]DEC-2026'!$A$2:$EF$2,0),0),0)</f>
        <v>0</v>
      </c>
      <c r="L25" s="154">
        <f>IFERROR(VLOOKUP($A$3:$A$114,'[2]DEC-2026'!$A$4:$AEE$125,MATCH('FY-(26-27)Q3'!$K$2:$L$2,'[2]DEC-2026'!$A$2:$EF$2,0),0),0)</f>
        <v>0</v>
      </c>
      <c r="M25" s="71">
        <f t="shared" si="0"/>
        <v>-32800</v>
      </c>
      <c r="N25" s="165">
        <f t="shared" si="0"/>
        <v>-6.5600000000000006E-2</v>
      </c>
    </row>
    <row r="26" spans="1:15" x14ac:dyDescent="0.25">
      <c r="A26" s="141" t="s">
        <v>28</v>
      </c>
      <c r="B26" s="140" t="s">
        <v>247</v>
      </c>
      <c r="C26" s="140" t="s">
        <v>121</v>
      </c>
      <c r="D26" s="37" t="s">
        <v>91</v>
      </c>
      <c r="E26" s="37" t="s">
        <v>256</v>
      </c>
      <c r="F26" s="155">
        <v>10</v>
      </c>
      <c r="G26" s="152">
        <f>IFERROR(VLOOKUP($A$3:$A$114,'OCT-2026'!$A$4:$ADC$118,MATCH('FY-(26-27)Q3'!$G$2:$H$2,'OCT-2026'!$A$2:$DD$2,0),0),0)</f>
        <v>1176159</v>
      </c>
      <c r="H26" s="154">
        <f>IFERROR(VLOOKUP($A$3:$A$114,'OCT-2026'!$A$4:$ADC$118,MATCH('FY-(26-27)Q3'!$G$2:$H$2,'OCT-2026'!$A$2:$DD$2,0),0),0)</f>
        <v>1.176159</v>
      </c>
      <c r="I26" s="152">
        <f>IFERROR(VLOOKUP($A$3:$A$114,'[1]NOV-2026'!$A$4:$ADL$124,MATCH('FY-(26-27)Q3'!$I$2:$J$2,'[1]NOV-2026'!$A$2:$DM$2,0),0),0)</f>
        <v>0</v>
      </c>
      <c r="J26" s="154">
        <f>IFERROR(VLOOKUP($A$3:$A$114,'[1]NOV-2026'!$A$4:$ADL$124,MATCH('FY-(26-27)Q3'!$I$2:$J$2,'[1]NOV-2026'!$A$2:$DM$2,0),0),0)</f>
        <v>0</v>
      </c>
      <c r="K26" s="152">
        <f>IFERROR(VLOOKUP($A$3:$A$114,'[2]DEC-2026'!$A$4:$AEE$125,MATCH('FY-(26-27)Q3'!$K$2:$L$2,'[2]DEC-2026'!$A$2:$EF$2,0),0),0)</f>
        <v>0</v>
      </c>
      <c r="L26" s="154">
        <f>IFERROR(VLOOKUP($A$3:$A$114,'[2]DEC-2026'!$A$4:$AEE$125,MATCH('FY-(26-27)Q3'!$K$2:$L$2,'[2]DEC-2026'!$A$2:$EF$2,0),0),0)</f>
        <v>0</v>
      </c>
      <c r="M26" s="71">
        <f t="shared" si="0"/>
        <v>1176159</v>
      </c>
      <c r="N26" s="165">
        <f t="shared" si="0"/>
        <v>1.176159</v>
      </c>
      <c r="O26" s="130"/>
    </row>
    <row r="27" spans="1:15" x14ac:dyDescent="0.25">
      <c r="A27" s="141" t="s">
        <v>332</v>
      </c>
      <c r="B27" s="140" t="s">
        <v>333</v>
      </c>
      <c r="C27" s="140" t="s">
        <v>231</v>
      </c>
      <c r="D27" s="42"/>
      <c r="E27" s="42" t="s">
        <v>256</v>
      </c>
      <c r="F27" s="200">
        <v>1</v>
      </c>
      <c r="G27" s="152">
        <f>IFERROR(VLOOKUP($A$3:$A$114,'OCT-2026'!$A$4:$ADC$118,MATCH('FY-(26-27)Q3'!$G$2:$H$2,'OCT-2026'!$A$2:$DD$2,0),0),0)</f>
        <v>43609</v>
      </c>
      <c r="H27" s="154">
        <f>IFERROR(VLOOKUP($A$3:$A$114,'OCT-2026'!$A$4:$ADC$118,MATCH('FY-(26-27)Q3'!$G$2:$H$2,'OCT-2026'!$A$2:$DD$2,0),0),0)</f>
        <v>0.87217999999999996</v>
      </c>
      <c r="I27" s="152">
        <f>IFERROR(VLOOKUP($A$3:$A$114,'[1]NOV-2026'!$A$4:$ADL$124,MATCH('FY-(26-27)Q3'!$I$2:$J$2,'[1]NOV-2026'!$A$2:$DM$2,0),0),0)</f>
        <v>0</v>
      </c>
      <c r="J27" s="154">
        <f>IFERROR(VLOOKUP($A$3:$A$114,'[1]NOV-2026'!$A$4:$ADL$124,MATCH('FY-(26-27)Q3'!$I$2:$J$2,'[1]NOV-2026'!$A$2:$DM$2,0),0),0)</f>
        <v>0</v>
      </c>
      <c r="K27" s="152">
        <f>IFERROR(VLOOKUP($A$3:$A$114,'[2]DEC-2026'!$A$4:$AEE$125,MATCH('FY-(26-27)Q3'!$K$2:$L$2,'[2]DEC-2026'!$A$2:$EF$2,0),0),0)</f>
        <v>0</v>
      </c>
      <c r="L27" s="154">
        <f>IFERROR(VLOOKUP($A$3:$A$114,'[2]DEC-2026'!$A$4:$AEE$125,MATCH('FY-(26-27)Q3'!$K$2:$L$2,'[2]DEC-2026'!$A$2:$EF$2,0),0),0)</f>
        <v>0</v>
      </c>
      <c r="M27" s="71">
        <f t="shared" ref="M27" si="1">G27+I27+K27</f>
        <v>43609</v>
      </c>
      <c r="N27" s="165">
        <f t="shared" ref="N27" si="2">H27+J27+L27</f>
        <v>0.87217999999999996</v>
      </c>
    </row>
    <row r="28" spans="1:15" x14ac:dyDescent="0.25">
      <c r="A28" s="141" t="s">
        <v>65</v>
      </c>
      <c r="B28" s="140" t="s">
        <v>64</v>
      </c>
      <c r="C28" s="140" t="s">
        <v>7</v>
      </c>
      <c r="D28" s="140" t="s">
        <v>64</v>
      </c>
      <c r="E28" s="37" t="s">
        <v>256</v>
      </c>
      <c r="F28" s="155">
        <v>5</v>
      </c>
      <c r="G28" s="152">
        <f>IFERROR(VLOOKUP($A$3:$A$114,'OCT-2026'!$A$4:$ADC$118,MATCH('FY-(26-27)Q3'!$G$2:$H$2,'OCT-2026'!$A$2:$DD$2,0),0),0)</f>
        <v>621985</v>
      </c>
      <c r="H28" s="154">
        <f>IFERROR(VLOOKUP($A$3:$A$114,'OCT-2026'!$A$4:$ADC$118,MATCH('FY-(26-27)Q3'!$G$2:$H$2,'OCT-2026'!$A$2:$DD$2,0),0),0)</f>
        <v>1.24397</v>
      </c>
      <c r="I28" s="152">
        <f>IFERROR(VLOOKUP($A$3:$A$114,'[1]NOV-2026'!$A$4:$ADL$124,MATCH('FY-(26-27)Q3'!$I$2:$J$2,'[1]NOV-2026'!$A$2:$DM$2,0),0),0)</f>
        <v>0</v>
      </c>
      <c r="J28" s="154">
        <f>IFERROR(VLOOKUP($A$3:$A$114,'[1]NOV-2026'!$A$4:$ADL$124,MATCH('FY-(26-27)Q3'!$I$2:$J$2,'[1]NOV-2026'!$A$2:$DM$2,0),0),0)</f>
        <v>0</v>
      </c>
      <c r="K28" s="152">
        <f>IFERROR(VLOOKUP($A$3:$A$114,'[2]DEC-2026'!$A$4:$AEE$125,MATCH('FY-(26-27)Q3'!$K$2:$L$2,'[2]DEC-2026'!$A$2:$EF$2,0),0),0)</f>
        <v>0</v>
      </c>
      <c r="L28" s="154">
        <f>IFERROR(VLOOKUP($A$3:$A$114,'[2]DEC-2026'!$A$4:$AEE$125,MATCH('FY-(26-27)Q3'!$K$2:$L$2,'[2]DEC-2026'!$A$2:$EF$2,0),0),0)</f>
        <v>0</v>
      </c>
      <c r="M28" s="71">
        <f t="shared" si="0"/>
        <v>621985</v>
      </c>
      <c r="N28" s="165">
        <f t="shared" si="0"/>
        <v>1.24397</v>
      </c>
    </row>
    <row r="29" spans="1:15" x14ac:dyDescent="0.25">
      <c r="A29" s="140" t="s">
        <v>34</v>
      </c>
      <c r="B29" s="142" t="s">
        <v>18</v>
      </c>
      <c r="C29" s="140" t="s">
        <v>10</v>
      </c>
      <c r="D29" s="142" t="s">
        <v>18</v>
      </c>
      <c r="E29" s="37" t="s">
        <v>256</v>
      </c>
      <c r="F29" s="118">
        <v>5</v>
      </c>
      <c r="G29" s="152">
        <f>IFERROR(VLOOKUP($A$3:$A$114,'OCT-2026'!$A$4:$ADC$118,MATCH('FY-(26-27)Q3'!$G$2:$H$2,'OCT-2026'!$A$2:$DD$2,0),0),0)</f>
        <v>103031</v>
      </c>
      <c r="H29" s="154">
        <f>IFERROR(VLOOKUP($A$3:$A$114,'OCT-2026'!$A$4:$ADC$118,MATCH('FY-(26-27)Q3'!$G$2:$H$2,'OCT-2026'!$A$2:$DD$2,0),0),0)</f>
        <v>0.206062</v>
      </c>
      <c r="I29" s="152">
        <f>IFERROR(VLOOKUP($A$3:$A$114,'[1]NOV-2026'!$A$4:$ADL$124,MATCH('FY-(26-27)Q3'!$I$2:$J$2,'[1]NOV-2026'!$A$2:$DM$2,0),0),0)</f>
        <v>0</v>
      </c>
      <c r="J29" s="154">
        <f>IFERROR(VLOOKUP($A$3:$A$114,'[1]NOV-2026'!$A$4:$ADL$124,MATCH('FY-(26-27)Q3'!$I$2:$J$2,'[1]NOV-2026'!$A$2:$DM$2,0),0),0)</f>
        <v>0</v>
      </c>
      <c r="K29" s="152">
        <f>IFERROR(VLOOKUP($A$3:$A$114,'[2]DEC-2026'!$A$4:$AEE$125,MATCH('FY-(26-27)Q3'!$K$2:$L$2,'[2]DEC-2026'!$A$2:$EF$2,0),0),0)</f>
        <v>0</v>
      </c>
      <c r="L29" s="154">
        <f>IFERROR(VLOOKUP($A$3:$A$114,'[2]DEC-2026'!$A$4:$AEE$125,MATCH('FY-(26-27)Q3'!$K$2:$L$2,'[2]DEC-2026'!$A$2:$EF$2,0),0),0)</f>
        <v>0</v>
      </c>
      <c r="M29" s="71">
        <f t="shared" si="0"/>
        <v>103031</v>
      </c>
      <c r="N29" s="165">
        <f t="shared" si="0"/>
        <v>0.206062</v>
      </c>
    </row>
    <row r="30" spans="1:15" x14ac:dyDescent="0.25">
      <c r="A30" s="140" t="s">
        <v>131</v>
      </c>
      <c r="B30" s="142" t="s">
        <v>130</v>
      </c>
      <c r="C30" s="140" t="s">
        <v>16</v>
      </c>
      <c r="D30" s="141" t="s">
        <v>262</v>
      </c>
      <c r="E30" s="37" t="s">
        <v>256</v>
      </c>
      <c r="F30" s="118">
        <v>0.5</v>
      </c>
      <c r="G30" s="152">
        <f>IFERROR(VLOOKUP($A$3:$A$114,'OCT-2026'!$A$4:$ADC$118,MATCH('FY-(26-27)Q3'!$G$2:$H$2,'OCT-2026'!$A$2:$DD$2,0),0),0)</f>
        <v>116708</v>
      </c>
      <c r="H30" s="154">
        <f>IFERROR(VLOOKUP($A$3:$A$114,'OCT-2026'!$A$4:$ADC$118,MATCH('FY-(26-27)Q3'!$G$2:$H$2,'OCT-2026'!$A$2:$DD$2,0),0),0)</f>
        <v>2.3341599999999998</v>
      </c>
      <c r="I30" s="152">
        <f>IFERROR(VLOOKUP($A$3:$A$114,'[1]NOV-2026'!$A$4:$ADL$124,MATCH('FY-(26-27)Q3'!$I$2:$J$2,'[1]NOV-2026'!$A$2:$DM$2,0),0),0)</f>
        <v>0</v>
      </c>
      <c r="J30" s="154">
        <f>IFERROR(VLOOKUP($A$3:$A$114,'[1]NOV-2026'!$A$4:$ADL$124,MATCH('FY-(26-27)Q3'!$I$2:$J$2,'[1]NOV-2026'!$A$2:$DM$2,0),0),0)</f>
        <v>0</v>
      </c>
      <c r="K30" s="152">
        <f>IFERROR(VLOOKUP($A$3:$A$114,'[2]DEC-2026'!$A$4:$AEE$125,MATCH('FY-(26-27)Q3'!$K$2:$L$2,'[2]DEC-2026'!$A$2:$EF$2,0),0),0)</f>
        <v>0</v>
      </c>
      <c r="L30" s="154">
        <f>IFERROR(VLOOKUP($A$3:$A$114,'[2]DEC-2026'!$A$4:$AEE$125,MATCH('FY-(26-27)Q3'!$K$2:$L$2,'[2]DEC-2026'!$A$2:$EF$2,0),0),0)</f>
        <v>0</v>
      </c>
      <c r="M30" s="71">
        <f t="shared" si="0"/>
        <v>116708</v>
      </c>
      <c r="N30" s="165">
        <f t="shared" si="0"/>
        <v>2.3341599999999998</v>
      </c>
    </row>
    <row r="31" spans="1:15" x14ac:dyDescent="0.25">
      <c r="A31" s="43" t="s">
        <v>67</v>
      </c>
      <c r="B31" s="140" t="s">
        <v>76</v>
      </c>
      <c r="C31" s="140" t="s">
        <v>60</v>
      </c>
      <c r="D31" s="37" t="s">
        <v>4</v>
      </c>
      <c r="E31" s="37" t="s">
        <v>256</v>
      </c>
      <c r="F31" s="155">
        <v>0.4</v>
      </c>
      <c r="G31" s="152">
        <f>IFERROR(VLOOKUP($A$3:$A$114,'OCT-2026'!$A$4:$ADC$118,MATCH('FY-(26-27)Q3'!$G$2:$H$2,'OCT-2026'!$A$2:$DD$2,0),0),0)</f>
        <v>170845</v>
      </c>
      <c r="H31" s="154">
        <f>IFERROR(VLOOKUP($A$3:$A$114,'OCT-2026'!$A$4:$ADC$118,MATCH('FY-(26-27)Q3'!$G$2:$H$2,'OCT-2026'!$A$2:$DD$2,0),0),0)</f>
        <v>4.2711249999999996</v>
      </c>
      <c r="I31" s="152">
        <f>IFERROR(VLOOKUP($A$3:$A$114,'[1]NOV-2026'!$A$4:$ADL$124,MATCH('FY-(26-27)Q3'!$I$2:$J$2,'[1]NOV-2026'!$A$2:$DM$2,0),0),0)</f>
        <v>0</v>
      </c>
      <c r="J31" s="154">
        <f>IFERROR(VLOOKUP($A$3:$A$114,'[1]NOV-2026'!$A$4:$ADL$124,MATCH('FY-(26-27)Q3'!$I$2:$J$2,'[1]NOV-2026'!$A$2:$DM$2,0),0),0)</f>
        <v>0</v>
      </c>
      <c r="K31" s="152">
        <f>IFERROR(VLOOKUP($A$3:$A$114,'[2]DEC-2026'!$A$4:$AEE$125,MATCH('FY-(26-27)Q3'!$K$2:$L$2,'[2]DEC-2026'!$A$2:$EF$2,0),0),0)</f>
        <v>0</v>
      </c>
      <c r="L31" s="154">
        <f>IFERROR(VLOOKUP($A$3:$A$114,'[2]DEC-2026'!$A$4:$AEE$125,MATCH('FY-(26-27)Q3'!$K$2:$L$2,'[2]DEC-2026'!$A$2:$EF$2,0),0),0)</f>
        <v>0</v>
      </c>
      <c r="M31" s="71">
        <f t="shared" si="0"/>
        <v>170845</v>
      </c>
      <c r="N31" s="165">
        <f t="shared" si="0"/>
        <v>4.2711249999999996</v>
      </c>
    </row>
    <row r="32" spans="1:15" x14ac:dyDescent="0.25">
      <c r="A32" s="141" t="s">
        <v>31</v>
      </c>
      <c r="B32" s="142" t="s">
        <v>153</v>
      </c>
      <c r="C32" s="141" t="s">
        <v>222</v>
      </c>
      <c r="D32" s="141" t="s">
        <v>263</v>
      </c>
      <c r="E32" s="40" t="s">
        <v>256</v>
      </c>
      <c r="F32" s="155">
        <v>4</v>
      </c>
      <c r="G32" s="152">
        <f>IFERROR(VLOOKUP($A$3:$A$114,'OCT-2026'!$A$4:$ADC$118,MATCH('FY-(26-27)Q3'!$G$2:$H$2,'OCT-2026'!$A$2:$DD$2,0),0),0)</f>
        <v>217305</v>
      </c>
      <c r="H32" s="154">
        <f>IFERROR(VLOOKUP($A$3:$A$114,'OCT-2026'!$A$4:$ADC$118,MATCH('FY-(26-27)Q3'!$G$2:$H$2,'OCT-2026'!$A$2:$DD$2,0),0),0)</f>
        <v>0.54326249999999998</v>
      </c>
      <c r="I32" s="152">
        <f>IFERROR(VLOOKUP($A$3:$A$114,'[1]NOV-2026'!$A$4:$ADL$124,MATCH('FY-(26-27)Q3'!$I$2:$J$2,'[1]NOV-2026'!$A$2:$DM$2,0),0),0)</f>
        <v>0</v>
      </c>
      <c r="J32" s="154">
        <f>IFERROR(VLOOKUP($A$3:$A$114,'[1]NOV-2026'!$A$4:$ADL$124,MATCH('FY-(26-27)Q3'!$I$2:$J$2,'[1]NOV-2026'!$A$2:$DM$2,0),0),0)</f>
        <v>0</v>
      </c>
      <c r="K32" s="152">
        <f>IFERROR(VLOOKUP($A$3:$A$114,'[2]DEC-2026'!$A$4:$AEE$125,MATCH('FY-(26-27)Q3'!$K$2:$L$2,'[2]DEC-2026'!$A$2:$EF$2,0),0),0)</f>
        <v>0</v>
      </c>
      <c r="L32" s="154">
        <f>IFERROR(VLOOKUP($A$3:$A$114,'[2]DEC-2026'!$A$4:$AEE$125,MATCH('FY-(26-27)Q3'!$K$2:$L$2,'[2]DEC-2026'!$A$2:$EF$2,0),0),0)</f>
        <v>0</v>
      </c>
      <c r="M32" s="71">
        <f t="shared" si="0"/>
        <v>217305</v>
      </c>
      <c r="N32" s="165">
        <f t="shared" si="0"/>
        <v>0.54326249999999998</v>
      </c>
    </row>
    <row r="33" spans="1:14" x14ac:dyDescent="0.25">
      <c r="A33" s="141" t="s">
        <v>104</v>
      </c>
      <c r="B33" s="142" t="s">
        <v>105</v>
      </c>
      <c r="C33" s="141" t="s">
        <v>315</v>
      </c>
      <c r="D33" s="141" t="s">
        <v>106</v>
      </c>
      <c r="E33" s="40" t="s">
        <v>106</v>
      </c>
      <c r="F33" s="155">
        <v>1</v>
      </c>
      <c r="G33" s="152">
        <f>IFERROR(VLOOKUP($A$3:$A$114,'OCT-2026'!$A$4:$ADC$118,MATCH('FY-(26-27)Q3'!$G$2:$H$2,'OCT-2026'!$A$2:$DD$2,0),0),0)</f>
        <v>-20161</v>
      </c>
      <c r="H33" s="154">
        <f>IFERROR(VLOOKUP($A$3:$A$114,'OCT-2026'!$A$4:$ADC$118,MATCH('FY-(26-27)Q3'!$G$2:$H$2,'OCT-2026'!$A$2:$DD$2,0),0),0)</f>
        <v>-0.20161000000000001</v>
      </c>
      <c r="I33" s="152">
        <f>IFERROR(VLOOKUP($A$3:$A$114,'[1]NOV-2026'!$A$4:$ADL$124,MATCH('FY-(26-27)Q3'!$I$2:$J$2,'[1]NOV-2026'!$A$2:$DM$2,0),0),0)</f>
        <v>0</v>
      </c>
      <c r="J33" s="154">
        <f>IFERROR(VLOOKUP($A$3:$A$114,'[1]NOV-2026'!$A$4:$ADL$124,MATCH('FY-(26-27)Q3'!$I$2:$J$2,'[1]NOV-2026'!$A$2:$DM$2,0),0),0)</f>
        <v>0</v>
      </c>
      <c r="K33" s="152">
        <f>IFERROR(VLOOKUP($A$3:$A$114,'[2]DEC-2026'!$A$4:$AEE$125,MATCH('FY-(26-27)Q3'!$K$2:$L$2,'[2]DEC-2026'!$A$2:$EF$2,0),0),0)</f>
        <v>0</v>
      </c>
      <c r="L33" s="154">
        <f>IFERROR(VLOOKUP($A$3:$A$114,'[2]DEC-2026'!$A$4:$AEE$125,MATCH('FY-(26-27)Q3'!$K$2:$L$2,'[2]DEC-2026'!$A$2:$EF$2,0),0),0)</f>
        <v>0</v>
      </c>
      <c r="M33" s="71">
        <f t="shared" si="0"/>
        <v>-20161</v>
      </c>
      <c r="N33" s="165">
        <f t="shared" si="0"/>
        <v>-0.20161000000000001</v>
      </c>
    </row>
    <row r="34" spans="1:14" x14ac:dyDescent="0.25">
      <c r="A34" s="141" t="s">
        <v>314</v>
      </c>
      <c r="B34" s="142" t="s">
        <v>105</v>
      </c>
      <c r="C34" s="141" t="s">
        <v>15</v>
      </c>
      <c r="D34" s="141" t="s">
        <v>256</v>
      </c>
      <c r="E34" s="141" t="s">
        <v>256</v>
      </c>
      <c r="F34" s="155"/>
      <c r="G34" s="152">
        <f>IFERROR(VLOOKUP($A$3:$A$114,'OCT-2026'!$A$4:$ADC$118,MATCH('FY-(26-27)Q3'!$G$2:$H$2,'OCT-2026'!$A$2:$DD$2,0),0),0)</f>
        <v>0</v>
      </c>
      <c r="H34" s="154">
        <f>IFERROR(VLOOKUP($A$3:$A$114,'OCT-2026'!$A$4:$ADC$118,MATCH('FY-(26-27)Q3'!$G$2:$H$2,'OCT-2026'!$A$2:$DD$2,0),0),0)</f>
        <v>0</v>
      </c>
      <c r="I34" s="152">
        <f>IFERROR(VLOOKUP($A$3:$A$114,'[1]NOV-2026'!$A$4:$ADL$124,MATCH('FY-(26-27)Q3'!$I$2:$J$2,'[1]NOV-2026'!$A$2:$DM$2,0),0),0)</f>
        <v>0</v>
      </c>
      <c r="J34" s="154">
        <f>IFERROR(VLOOKUP($A$3:$A$114,'[1]NOV-2026'!$A$4:$ADL$124,MATCH('FY-(26-27)Q3'!$I$2:$J$2,'[1]NOV-2026'!$A$2:$DM$2,0),0),0)</f>
        <v>0</v>
      </c>
      <c r="K34" s="152">
        <f>IFERROR(VLOOKUP($A$3:$A$114,'[2]DEC-2026'!$A$4:$AEE$125,MATCH('FY-(26-27)Q3'!$K$2:$L$2,'[2]DEC-2026'!$A$2:$EF$2,0),0),0)</f>
        <v>0</v>
      </c>
      <c r="L34" s="154">
        <f>IFERROR(VLOOKUP($A$3:$A$114,'[2]DEC-2026'!$A$4:$AEE$125,MATCH('FY-(26-27)Q3'!$K$2:$L$2,'[2]DEC-2026'!$A$2:$EF$2,0),0),0)</f>
        <v>0</v>
      </c>
      <c r="M34" s="71">
        <f t="shared" si="0"/>
        <v>0</v>
      </c>
      <c r="N34" s="165">
        <f t="shared" si="0"/>
        <v>0</v>
      </c>
    </row>
    <row r="35" spans="1:14" x14ac:dyDescent="0.25">
      <c r="A35" s="141" t="s">
        <v>229</v>
      </c>
      <c r="B35" s="142" t="s">
        <v>105</v>
      </c>
      <c r="C35" s="141" t="s">
        <v>218</v>
      </c>
      <c r="D35" s="141" t="s">
        <v>269</v>
      </c>
      <c r="E35" s="141" t="s">
        <v>256</v>
      </c>
      <c r="F35" s="155">
        <v>0.5</v>
      </c>
      <c r="G35" s="152">
        <f>IFERROR(VLOOKUP($A$3:$A$114,'OCT-2026'!$A$4:$ADC$118,MATCH('FY-(26-27)Q3'!$G$2:$H$2,'OCT-2026'!$A$2:$DD$2,0),0),0)</f>
        <v>-27766</v>
      </c>
      <c r="H35" s="154">
        <f>IFERROR(VLOOKUP($A$3:$A$114,'OCT-2026'!$A$4:$ADC$118,MATCH('FY-(26-27)Q3'!$G$2:$H$2,'OCT-2026'!$A$2:$DD$2,0),0),0)</f>
        <v>-0.55532000000000004</v>
      </c>
      <c r="I35" s="152">
        <f>IFERROR(VLOOKUP($A$3:$A$114,'[1]NOV-2026'!$A$4:$ADL$124,MATCH('FY-(26-27)Q3'!$I$2:$J$2,'[1]NOV-2026'!$A$2:$DM$2,0),0),0)</f>
        <v>0</v>
      </c>
      <c r="J35" s="154">
        <f>IFERROR(VLOOKUP($A$3:$A$114,'[1]NOV-2026'!$A$4:$ADL$124,MATCH('FY-(26-27)Q3'!$I$2:$J$2,'[1]NOV-2026'!$A$2:$DM$2,0),0),0)</f>
        <v>0</v>
      </c>
      <c r="K35" s="152">
        <f>IFERROR(VLOOKUP($A$3:$A$114,'[2]DEC-2026'!$A$4:$AEE$125,MATCH('FY-(26-27)Q3'!$K$2:$L$2,'[2]DEC-2026'!$A$2:$EF$2,0),0),0)</f>
        <v>0</v>
      </c>
      <c r="L35" s="154">
        <f>IFERROR(VLOOKUP($A$3:$A$114,'[2]DEC-2026'!$A$4:$AEE$125,MATCH('FY-(26-27)Q3'!$K$2:$L$2,'[2]DEC-2026'!$A$2:$EF$2,0),0),0)</f>
        <v>0</v>
      </c>
      <c r="M35" s="71">
        <f t="shared" si="0"/>
        <v>-27766</v>
      </c>
      <c r="N35" s="165">
        <f t="shared" si="0"/>
        <v>-0.55532000000000004</v>
      </c>
    </row>
    <row r="36" spans="1:14" x14ac:dyDescent="0.25">
      <c r="A36" s="141" t="s">
        <v>45</v>
      </c>
      <c r="B36" s="142" t="s">
        <v>98</v>
      </c>
      <c r="C36" s="141" t="s">
        <v>220</v>
      </c>
      <c r="D36" s="141" t="s">
        <v>265</v>
      </c>
      <c r="E36" s="60" t="s">
        <v>256</v>
      </c>
      <c r="F36" s="155">
        <v>1</v>
      </c>
      <c r="G36" s="152">
        <f>IFERROR(VLOOKUP($A$3:$A$114,'OCT-2026'!$A$4:$ADC$118,MATCH('FY-(26-27)Q3'!$G$2:$H$2,'OCT-2026'!$A$2:$DD$2,0),0),0)</f>
        <v>658673</v>
      </c>
      <c r="H36" s="154">
        <f>IFERROR(VLOOKUP($A$3:$A$114,'OCT-2026'!$A$4:$ADC$118,MATCH('FY-(26-27)Q3'!$G$2:$H$2,'OCT-2026'!$A$2:$DD$2,0),0),0)</f>
        <v>2.1955766666666663</v>
      </c>
      <c r="I36" s="152">
        <f>IFERROR(VLOOKUP($A$3:$A$114,'[1]NOV-2026'!$A$4:$ADL$124,MATCH('FY-(26-27)Q3'!$I$2:$J$2,'[1]NOV-2026'!$A$2:$DM$2,0),0),0)</f>
        <v>0</v>
      </c>
      <c r="J36" s="154">
        <f>IFERROR(VLOOKUP($A$3:$A$114,'[1]NOV-2026'!$A$4:$ADL$124,MATCH('FY-(26-27)Q3'!$I$2:$J$2,'[1]NOV-2026'!$A$2:$DM$2,0),0),0)</f>
        <v>0</v>
      </c>
      <c r="K36" s="152">
        <f>IFERROR(VLOOKUP($A$3:$A$114,'[2]DEC-2026'!$A$4:$AEE$125,MATCH('FY-(26-27)Q3'!$K$2:$L$2,'[2]DEC-2026'!$A$2:$EF$2,0),0),0)</f>
        <v>0</v>
      </c>
      <c r="L36" s="154">
        <f>IFERROR(VLOOKUP($A$3:$A$114,'[2]DEC-2026'!$A$4:$AEE$125,MATCH('FY-(26-27)Q3'!$K$2:$L$2,'[2]DEC-2026'!$A$2:$EF$2,0),0),0)</f>
        <v>0</v>
      </c>
      <c r="M36" s="71">
        <f t="shared" si="0"/>
        <v>658673</v>
      </c>
      <c r="N36" s="165">
        <f t="shared" si="0"/>
        <v>2.1955766666666663</v>
      </c>
    </row>
    <row r="37" spans="1:14" x14ac:dyDescent="0.25">
      <c r="A37" s="141" t="s">
        <v>292</v>
      </c>
      <c r="B37" s="142" t="s">
        <v>291</v>
      </c>
      <c r="C37" s="141" t="s">
        <v>293</v>
      </c>
      <c r="D37" s="141"/>
      <c r="E37" s="141" t="s">
        <v>256</v>
      </c>
      <c r="F37" s="155">
        <v>0.1</v>
      </c>
      <c r="G37" s="152">
        <f>IFERROR(VLOOKUP($A$3:$A$114,'OCT-2026'!$A$4:$ADC$118,MATCH('FY-(26-27)Q3'!$G$2:$H$2,'OCT-2026'!$A$2:$DD$2,0),0),0)</f>
        <v>32432</v>
      </c>
      <c r="H37" s="154">
        <f>IFERROR(VLOOKUP($A$3:$A$114,'OCT-2026'!$A$4:$ADC$118,MATCH('FY-(26-27)Q3'!$G$2:$H$2,'OCT-2026'!$A$2:$DD$2,0),0),0)</f>
        <v>3.2431999999999999</v>
      </c>
      <c r="I37" s="152">
        <f>IFERROR(VLOOKUP($A$3:$A$114,'[1]NOV-2026'!$A$4:$ADL$124,MATCH('FY-(26-27)Q3'!$I$2:$J$2,'[1]NOV-2026'!$A$2:$DM$2,0),0),0)</f>
        <v>0</v>
      </c>
      <c r="J37" s="154">
        <f>IFERROR(VLOOKUP($A$3:$A$114,'[1]NOV-2026'!$A$4:$ADL$124,MATCH('FY-(26-27)Q3'!$I$2:$J$2,'[1]NOV-2026'!$A$2:$DM$2,0),0),0)</f>
        <v>0</v>
      </c>
      <c r="K37" s="152">
        <f>IFERROR(VLOOKUP($A$3:$A$114,'[2]DEC-2026'!$A$4:$AEE$125,MATCH('FY-(26-27)Q3'!$K$2:$L$2,'[2]DEC-2026'!$A$2:$EF$2,0),0),0)</f>
        <v>0</v>
      </c>
      <c r="L37" s="154">
        <f>IFERROR(VLOOKUP($A$3:$A$114,'[2]DEC-2026'!$A$4:$AEE$125,MATCH('FY-(26-27)Q3'!$K$2:$L$2,'[2]DEC-2026'!$A$2:$EF$2,0),0),0)</f>
        <v>0</v>
      </c>
      <c r="M37" s="71">
        <f t="shared" si="0"/>
        <v>32432</v>
      </c>
      <c r="N37" s="165">
        <f t="shared" si="0"/>
        <v>3.2431999999999999</v>
      </c>
    </row>
    <row r="38" spans="1:14" x14ac:dyDescent="0.25">
      <c r="A38" s="141" t="s">
        <v>132</v>
      </c>
      <c r="B38" s="142" t="s">
        <v>129</v>
      </c>
      <c r="C38" s="141" t="s">
        <v>17</v>
      </c>
      <c r="D38" s="141" t="s">
        <v>267</v>
      </c>
      <c r="E38" s="37" t="s">
        <v>256</v>
      </c>
      <c r="F38" s="155">
        <v>1</v>
      </c>
      <c r="G38" s="152">
        <f>IFERROR(VLOOKUP($A$3:$A$114,'OCT-2026'!$A$4:$ADC$118,MATCH('FY-(26-27)Q3'!$G$2:$H$2,'OCT-2026'!$A$2:$DD$2,0),0),0)</f>
        <v>25379</v>
      </c>
      <c r="H38" s="154">
        <f>IFERROR(VLOOKUP($A$3:$A$114,'OCT-2026'!$A$4:$ADC$118,MATCH('FY-(26-27)Q3'!$G$2:$H$2,'OCT-2026'!$A$2:$DD$2,0),0),0)</f>
        <v>0.50758000000000003</v>
      </c>
      <c r="I38" s="152">
        <f>IFERROR(VLOOKUP($A$3:$A$114,'[1]NOV-2026'!$A$4:$ADL$124,MATCH('FY-(26-27)Q3'!$I$2:$J$2,'[1]NOV-2026'!$A$2:$DM$2,0),0),0)</f>
        <v>0</v>
      </c>
      <c r="J38" s="154">
        <f>IFERROR(VLOOKUP($A$3:$A$114,'[1]NOV-2026'!$A$4:$ADL$124,MATCH('FY-(26-27)Q3'!$I$2:$J$2,'[1]NOV-2026'!$A$2:$DM$2,0),0),0)</f>
        <v>0</v>
      </c>
      <c r="K38" s="152">
        <f>IFERROR(VLOOKUP($A$3:$A$114,'[2]DEC-2026'!$A$4:$AEE$125,MATCH('FY-(26-27)Q3'!$K$2:$L$2,'[2]DEC-2026'!$A$2:$EF$2,0),0),0)</f>
        <v>0</v>
      </c>
      <c r="L38" s="154">
        <f>IFERROR(VLOOKUP($A$3:$A$114,'[2]DEC-2026'!$A$4:$AEE$125,MATCH('FY-(26-27)Q3'!$K$2:$L$2,'[2]DEC-2026'!$A$2:$EF$2,0),0),0)</f>
        <v>0</v>
      </c>
      <c r="M38" s="71">
        <f t="shared" si="0"/>
        <v>25379</v>
      </c>
      <c r="N38" s="165">
        <f t="shared" si="0"/>
        <v>0.50758000000000003</v>
      </c>
    </row>
    <row r="39" spans="1:14" x14ac:dyDescent="0.25">
      <c r="A39" s="141" t="s">
        <v>48</v>
      </c>
      <c r="B39" s="140" t="s">
        <v>95</v>
      </c>
      <c r="C39" s="141" t="s">
        <v>50</v>
      </c>
      <c r="D39" s="40" t="s">
        <v>107</v>
      </c>
      <c r="E39" s="40" t="s">
        <v>107</v>
      </c>
      <c r="F39" s="118">
        <v>1</v>
      </c>
      <c r="G39" s="152">
        <f>IFERROR(VLOOKUP($A$3:$A$114,'OCT-2026'!$A$4:$ADC$118,MATCH('FY-(26-27)Q3'!$G$2:$H$2,'OCT-2026'!$A$2:$DD$2,0),0),0)</f>
        <v>-961416</v>
      </c>
      <c r="H39" s="154">
        <f>IFERROR(VLOOKUP($A$3:$A$114,'OCT-2026'!$A$4:$ADC$118,MATCH('FY-(26-27)Q3'!$G$2:$H$2,'OCT-2026'!$A$2:$DD$2,0),0),0)</f>
        <v>-9.61416</v>
      </c>
      <c r="I39" s="152">
        <f>IFERROR(VLOOKUP($A$3:$A$114,'[1]NOV-2026'!$A$4:$ADL$124,MATCH('FY-(26-27)Q3'!$I$2:$J$2,'[1]NOV-2026'!$A$2:$DM$2,0),0),0)</f>
        <v>0</v>
      </c>
      <c r="J39" s="154">
        <f>IFERROR(VLOOKUP($A$3:$A$114,'[1]NOV-2026'!$A$4:$ADL$124,MATCH('FY-(26-27)Q3'!$I$2:$J$2,'[1]NOV-2026'!$A$2:$DM$2,0),0),0)</f>
        <v>0</v>
      </c>
      <c r="K39" s="152">
        <f>IFERROR(VLOOKUP($A$3:$A$114,'[2]DEC-2026'!$A$4:$AEE$125,MATCH('FY-(26-27)Q3'!$K$2:$L$2,'[2]DEC-2026'!$A$2:$EF$2,0),0),0)</f>
        <v>0</v>
      </c>
      <c r="L39" s="154">
        <f>IFERROR(VLOOKUP($A$3:$A$114,'[2]DEC-2026'!$A$4:$AEE$125,MATCH('FY-(26-27)Q3'!$K$2:$L$2,'[2]DEC-2026'!$A$2:$EF$2,0),0),0)</f>
        <v>0</v>
      </c>
      <c r="M39" s="71">
        <f t="shared" si="0"/>
        <v>-961416</v>
      </c>
      <c r="N39" s="165">
        <f t="shared" si="0"/>
        <v>-9.61416</v>
      </c>
    </row>
    <row r="40" spans="1:14" x14ac:dyDescent="0.25">
      <c r="A40" s="141" t="s">
        <v>301</v>
      </c>
      <c r="B40" s="140" t="s">
        <v>295</v>
      </c>
      <c r="C40" s="162" t="s">
        <v>296</v>
      </c>
      <c r="D40" s="162"/>
      <c r="E40" s="162" t="s">
        <v>256</v>
      </c>
      <c r="F40" s="163">
        <v>0.1</v>
      </c>
      <c r="G40" s="152">
        <f>IFERROR(VLOOKUP($A$3:$A$114,'OCT-2026'!$A$4:$ADC$118,MATCH('FY-(26-27)Q3'!$G$2:$H$2,'OCT-2026'!$A$2:$DD$2,0),0),0)</f>
        <v>-31803</v>
      </c>
      <c r="H40" s="154">
        <f>IFERROR(VLOOKUP($A$3:$A$114,'OCT-2026'!$A$4:$ADC$118,MATCH('FY-(26-27)Q3'!$G$2:$H$2,'OCT-2026'!$A$2:$DD$2,0),0),0)</f>
        <v>-3.1802999999999999</v>
      </c>
      <c r="I40" s="152">
        <f>IFERROR(VLOOKUP($A$3:$A$114,'[1]NOV-2026'!$A$4:$ADL$124,MATCH('FY-(26-27)Q3'!$I$2:$J$2,'[1]NOV-2026'!$A$2:$DM$2,0),0),0)</f>
        <v>0</v>
      </c>
      <c r="J40" s="154">
        <f>IFERROR(VLOOKUP($A$3:$A$114,'[1]NOV-2026'!$A$4:$ADL$124,MATCH('FY-(26-27)Q3'!$I$2:$J$2,'[1]NOV-2026'!$A$2:$DM$2,0),0),0)</f>
        <v>0</v>
      </c>
      <c r="K40" s="152">
        <f>IFERROR(VLOOKUP($A$3:$A$114,'[2]DEC-2026'!$A$4:$AEE$125,MATCH('FY-(26-27)Q3'!$K$2:$L$2,'[2]DEC-2026'!$A$2:$EF$2,0),0),0)</f>
        <v>0</v>
      </c>
      <c r="L40" s="154">
        <f>IFERROR(VLOOKUP($A$3:$A$114,'[2]DEC-2026'!$A$4:$AEE$125,MATCH('FY-(26-27)Q3'!$K$2:$L$2,'[2]DEC-2026'!$A$2:$EF$2,0),0),0)</f>
        <v>0</v>
      </c>
      <c r="M40" s="71">
        <f t="shared" si="0"/>
        <v>-31803</v>
      </c>
      <c r="N40" s="165">
        <f t="shared" si="0"/>
        <v>-3.1802999999999999</v>
      </c>
    </row>
    <row r="41" spans="1:14" x14ac:dyDescent="0.25">
      <c r="A41" s="142" t="s">
        <v>33</v>
      </c>
      <c r="B41" s="140" t="s">
        <v>14</v>
      </c>
      <c r="C41" s="142" t="s">
        <v>13</v>
      </c>
      <c r="D41" s="140" t="s">
        <v>14</v>
      </c>
      <c r="E41" s="37" t="s">
        <v>256</v>
      </c>
      <c r="F41" s="118">
        <v>1</v>
      </c>
      <c r="G41" s="152">
        <f>IFERROR(VLOOKUP($A$3:$A$114,'OCT-2026'!$A$4:$ADC$118,MATCH('FY-(26-27)Q3'!$G$2:$H$2,'OCT-2026'!$A$2:$DD$2,0),0),0)</f>
        <v>802145</v>
      </c>
      <c r="H41" s="154">
        <f>IFERROR(VLOOKUP($A$3:$A$114,'OCT-2026'!$A$4:$ADC$118,MATCH('FY-(26-27)Q3'!$G$2:$H$2,'OCT-2026'!$A$2:$DD$2,0),0),0)</f>
        <v>2.6738166666666667</v>
      </c>
      <c r="I41" s="152">
        <f>IFERROR(VLOOKUP($A$3:$A$114,'[1]NOV-2026'!$A$4:$ADL$124,MATCH('FY-(26-27)Q3'!$I$2:$J$2,'[1]NOV-2026'!$A$2:$DM$2,0),0),0)</f>
        <v>0</v>
      </c>
      <c r="J41" s="154">
        <f>IFERROR(VLOOKUP($A$3:$A$114,'[1]NOV-2026'!$A$4:$ADL$124,MATCH('FY-(26-27)Q3'!$I$2:$J$2,'[1]NOV-2026'!$A$2:$DM$2,0),0),0)</f>
        <v>0</v>
      </c>
      <c r="K41" s="152">
        <f>IFERROR(VLOOKUP($A$3:$A$114,'[2]DEC-2026'!$A$4:$AEE$125,MATCH('FY-(26-27)Q3'!$K$2:$L$2,'[2]DEC-2026'!$A$2:$EF$2,0),0),0)</f>
        <v>0</v>
      </c>
      <c r="L41" s="154">
        <f>IFERROR(VLOOKUP($A$3:$A$114,'[2]DEC-2026'!$A$4:$AEE$125,MATCH('FY-(26-27)Q3'!$K$2:$L$2,'[2]DEC-2026'!$A$2:$EF$2,0),0),0)</f>
        <v>0</v>
      </c>
      <c r="M41" s="71">
        <f t="shared" si="0"/>
        <v>802145</v>
      </c>
      <c r="N41" s="165">
        <f t="shared" si="0"/>
        <v>2.6738166666666667</v>
      </c>
    </row>
    <row r="42" spans="1:14" x14ac:dyDescent="0.25">
      <c r="A42" s="141" t="s">
        <v>201</v>
      </c>
      <c r="B42" s="140" t="s">
        <v>169</v>
      </c>
      <c r="C42" s="142"/>
      <c r="D42" s="62"/>
      <c r="E42" s="60"/>
      <c r="F42" s="114">
        <v>1</v>
      </c>
      <c r="G42" s="152">
        <f>IFERROR(VLOOKUP($A$3:$A$114,'OCT-2026'!$A$4:$ADC$118,MATCH('FY-(26-27)Q3'!$G$2:$H$2,'OCT-2026'!$A$2:$DD$2,0),0),0)</f>
        <v>0</v>
      </c>
      <c r="H42" s="154">
        <f>IFERROR(VLOOKUP($A$3:$A$114,'OCT-2026'!$A$4:$ADC$118,MATCH('FY-(26-27)Q3'!$G$2:$H$2,'OCT-2026'!$A$2:$DD$2,0),0),0)</f>
        <v>0</v>
      </c>
      <c r="I42" s="152">
        <f>IFERROR(VLOOKUP($A$3:$A$114,'[1]NOV-2026'!$A$4:$ADL$124,MATCH('FY-(26-27)Q3'!$I$2:$J$2,'[1]NOV-2026'!$A$2:$DM$2,0),0),0)</f>
        <v>0</v>
      </c>
      <c r="J42" s="154">
        <f>IFERROR(VLOOKUP($A$3:$A$114,'[1]NOV-2026'!$A$4:$ADL$124,MATCH('FY-(26-27)Q3'!$I$2:$J$2,'[1]NOV-2026'!$A$2:$DM$2,0),0),0)</f>
        <v>0</v>
      </c>
      <c r="K42" s="152">
        <f>IFERROR(VLOOKUP($A$3:$A$114,'[2]DEC-2026'!$A$4:$AEE$125,MATCH('FY-(26-27)Q3'!$K$2:$L$2,'[2]DEC-2026'!$A$2:$EF$2,0),0),0)</f>
        <v>0</v>
      </c>
      <c r="L42" s="154">
        <f>IFERROR(VLOOKUP($A$3:$A$114,'[2]DEC-2026'!$A$4:$AEE$125,MATCH('FY-(26-27)Q3'!$K$2:$L$2,'[2]DEC-2026'!$A$2:$EF$2,0),0),0)</f>
        <v>0</v>
      </c>
      <c r="M42" s="71">
        <f t="shared" si="0"/>
        <v>0</v>
      </c>
      <c r="N42" s="165">
        <f t="shared" si="0"/>
        <v>0</v>
      </c>
    </row>
    <row r="43" spans="1:14" x14ac:dyDescent="0.25">
      <c r="A43" s="142" t="s">
        <v>168</v>
      </c>
      <c r="B43" s="140" t="s">
        <v>169</v>
      </c>
      <c r="C43" s="132" t="s">
        <v>255</v>
      </c>
      <c r="D43" s="162" t="s">
        <v>253</v>
      </c>
      <c r="E43" s="162" t="s">
        <v>253</v>
      </c>
      <c r="F43" s="114">
        <v>4</v>
      </c>
      <c r="G43" s="152">
        <f>IFERROR(VLOOKUP($A$3:$A$114,'OCT-2026'!$A$4:$ADC$118,MATCH('FY-(26-27)Q3'!$G$2:$H$2,'OCT-2026'!$A$2:$DD$2,0),0),0)</f>
        <v>112320</v>
      </c>
      <c r="H43" s="154">
        <f>IFERROR(VLOOKUP($A$3:$A$114,'OCT-2026'!$A$4:$ADC$118,MATCH('FY-(26-27)Q3'!$G$2:$H$2,'OCT-2026'!$A$2:$DD$2,0),0),0)</f>
        <v>0.28079999999999999</v>
      </c>
      <c r="I43" s="152">
        <f>IFERROR(VLOOKUP($A$3:$A$114,'[1]NOV-2026'!$A$4:$ADL$124,MATCH('FY-(26-27)Q3'!$I$2:$J$2,'[1]NOV-2026'!$A$2:$DM$2,0),0),0)</f>
        <v>0</v>
      </c>
      <c r="J43" s="154">
        <f>IFERROR(VLOOKUP($A$3:$A$114,'[1]NOV-2026'!$A$4:$ADL$124,MATCH('FY-(26-27)Q3'!$I$2:$J$2,'[1]NOV-2026'!$A$2:$DM$2,0),0),0)</f>
        <v>0</v>
      </c>
      <c r="K43" s="152">
        <f>IFERROR(VLOOKUP($A$3:$A$114,'[2]DEC-2026'!$A$4:$AEE$125,MATCH('FY-(26-27)Q3'!$K$2:$L$2,'[2]DEC-2026'!$A$2:$EF$2,0),0),0)</f>
        <v>0</v>
      </c>
      <c r="L43" s="154">
        <f>IFERROR(VLOOKUP($A$3:$A$114,'[2]DEC-2026'!$A$4:$AEE$125,MATCH('FY-(26-27)Q3'!$K$2:$L$2,'[2]DEC-2026'!$A$2:$EF$2,0),0),0)</f>
        <v>0</v>
      </c>
      <c r="M43" s="71">
        <f t="shared" si="0"/>
        <v>112320</v>
      </c>
      <c r="N43" s="165">
        <f t="shared" si="0"/>
        <v>0.28079999999999999</v>
      </c>
    </row>
    <row r="44" spans="1:14" x14ac:dyDescent="0.25">
      <c r="A44" s="142" t="s">
        <v>202</v>
      </c>
      <c r="B44" s="140" t="s">
        <v>169</v>
      </c>
      <c r="C44" s="59" t="s">
        <v>255</v>
      </c>
      <c r="D44" s="162" t="s">
        <v>116</v>
      </c>
      <c r="E44" s="162" t="s">
        <v>256</v>
      </c>
      <c r="F44" s="114">
        <v>4</v>
      </c>
      <c r="G44" s="152">
        <f>IFERROR(VLOOKUP($A$3:$A$114,'OCT-2026'!$A$4:$ADC$118,MATCH('FY-(26-27)Q3'!$G$2:$H$2,'OCT-2026'!$A$2:$DD$2,0),0),0)</f>
        <v>164700</v>
      </c>
      <c r="H44" s="154">
        <f>IFERROR(VLOOKUP($A$3:$A$114,'OCT-2026'!$A$4:$ADC$118,MATCH('FY-(26-27)Q3'!$G$2:$H$2,'OCT-2026'!$A$2:$DD$2,0),0),0)</f>
        <v>0.41175</v>
      </c>
      <c r="I44" s="152">
        <f>IFERROR(VLOOKUP($A$3:$A$114,'[1]NOV-2026'!$A$4:$ADL$124,MATCH('FY-(26-27)Q3'!$I$2:$J$2,'[1]NOV-2026'!$A$2:$DM$2,0),0),0)</f>
        <v>0</v>
      </c>
      <c r="J44" s="154">
        <f>IFERROR(VLOOKUP($A$3:$A$114,'[1]NOV-2026'!$A$4:$ADL$124,MATCH('FY-(26-27)Q3'!$I$2:$J$2,'[1]NOV-2026'!$A$2:$DM$2,0),0),0)</f>
        <v>0</v>
      </c>
      <c r="K44" s="152">
        <f>IFERROR(VLOOKUP($A$3:$A$114,'[2]DEC-2026'!$A$4:$AEE$125,MATCH('FY-(26-27)Q3'!$K$2:$L$2,'[2]DEC-2026'!$A$2:$EF$2,0),0),0)</f>
        <v>0</v>
      </c>
      <c r="L44" s="154">
        <f>IFERROR(VLOOKUP($A$3:$A$114,'[2]DEC-2026'!$A$4:$AEE$125,MATCH('FY-(26-27)Q3'!$K$2:$L$2,'[2]DEC-2026'!$A$2:$EF$2,0),0),0)</f>
        <v>0</v>
      </c>
      <c r="M44" s="71">
        <f t="shared" si="0"/>
        <v>164700</v>
      </c>
      <c r="N44" s="165">
        <f t="shared" si="0"/>
        <v>0.41175</v>
      </c>
    </row>
    <row r="45" spans="1:14" x14ac:dyDescent="0.25">
      <c r="A45" s="59" t="s">
        <v>306</v>
      </c>
      <c r="B45" s="62" t="s">
        <v>304</v>
      </c>
      <c r="C45" s="59" t="s">
        <v>128</v>
      </c>
      <c r="D45" s="140"/>
      <c r="E45" s="140" t="s">
        <v>256</v>
      </c>
      <c r="F45" s="114">
        <v>0.1</v>
      </c>
      <c r="G45" s="152">
        <f>IFERROR(VLOOKUP($A$3:$A$114,'OCT-2026'!$A$4:$ADC$118,MATCH('FY-(26-27)Q3'!$G$2:$H$2,'OCT-2026'!$A$2:$DD$2,0),0),0)</f>
        <v>-1724350</v>
      </c>
      <c r="H45" s="154">
        <f>IFERROR(VLOOKUP($A$3:$A$114,'OCT-2026'!$A$4:$ADC$118,MATCH('FY-(26-27)Q3'!$G$2:$H$2,'OCT-2026'!$A$2:$DD$2,0),0),0)</f>
        <v>-1.72435</v>
      </c>
      <c r="I45" s="152">
        <f>IFERROR(VLOOKUP($A$3:$A$114,'[1]NOV-2026'!$A$4:$ADL$124,MATCH('FY-(26-27)Q3'!$I$2:$J$2,'[1]NOV-2026'!$A$2:$DM$2,0),0),0)</f>
        <v>0</v>
      </c>
      <c r="J45" s="154">
        <f>IFERROR(VLOOKUP($A$3:$A$114,'[1]NOV-2026'!$A$4:$ADL$124,MATCH('FY-(26-27)Q3'!$I$2:$J$2,'[1]NOV-2026'!$A$2:$DM$2,0),0),0)</f>
        <v>0</v>
      </c>
      <c r="K45" s="152">
        <f>IFERROR(VLOOKUP($A$3:$A$114,'[2]DEC-2026'!$A$4:$AEE$125,MATCH('FY-(26-27)Q3'!$K$2:$L$2,'[2]DEC-2026'!$A$2:$EF$2,0),0),0)</f>
        <v>0</v>
      </c>
      <c r="L45" s="154">
        <f>IFERROR(VLOOKUP($A$3:$A$114,'[2]DEC-2026'!$A$4:$AEE$125,MATCH('FY-(26-27)Q3'!$K$2:$L$2,'[2]DEC-2026'!$A$2:$EF$2,0),0),0)</f>
        <v>0</v>
      </c>
      <c r="M45" s="71">
        <f t="shared" si="0"/>
        <v>-1724350</v>
      </c>
      <c r="N45" s="165">
        <f t="shared" si="0"/>
        <v>-1.72435</v>
      </c>
    </row>
    <row r="46" spans="1:14" x14ac:dyDescent="0.25">
      <c r="A46" s="59"/>
      <c r="B46" s="62" t="s">
        <v>304</v>
      </c>
      <c r="C46" s="59" t="s">
        <v>274</v>
      </c>
      <c r="D46" s="140"/>
      <c r="E46" s="140" t="s">
        <v>256</v>
      </c>
      <c r="F46" s="114"/>
      <c r="G46" s="152">
        <f>IFERROR(VLOOKUP($A$3:$A$114,'OCT-2026'!$A$4:$ADC$118,MATCH('FY-(26-27)Q3'!$G$2:$H$2,'OCT-2026'!$A$2:$DD$2,0),0),0)</f>
        <v>0</v>
      </c>
      <c r="H46" s="154">
        <f>IFERROR(VLOOKUP($A$3:$A$114,'OCT-2026'!$A$4:$ADC$118,MATCH('FY-(26-27)Q3'!$G$2:$H$2,'OCT-2026'!$A$2:$DD$2,0),0),0)</f>
        <v>0</v>
      </c>
      <c r="I46" s="152">
        <f>IFERROR(VLOOKUP($A$3:$A$114,'[1]NOV-2026'!$A$4:$ADL$124,MATCH('FY-(26-27)Q3'!$I$2:$J$2,'[1]NOV-2026'!$A$2:$DM$2,0),0),0)</f>
        <v>0</v>
      </c>
      <c r="J46" s="154">
        <f>IFERROR(VLOOKUP($A$3:$A$114,'[1]NOV-2026'!$A$4:$ADL$124,MATCH('FY-(26-27)Q3'!$I$2:$J$2,'[1]NOV-2026'!$A$2:$DM$2,0),0),0)</f>
        <v>0</v>
      </c>
      <c r="K46" s="152">
        <f>IFERROR(VLOOKUP($A$3:$A$114,'[2]DEC-2026'!$A$4:$AEE$125,MATCH('FY-(26-27)Q3'!$K$2:$L$2,'[2]DEC-2026'!$A$2:$EF$2,0),0),0)</f>
        <v>0</v>
      </c>
      <c r="L46" s="154">
        <f>IFERROR(VLOOKUP($A$3:$A$114,'[2]DEC-2026'!$A$4:$AEE$125,MATCH('FY-(26-27)Q3'!$K$2:$L$2,'[2]DEC-2026'!$A$2:$EF$2,0),0),0)</f>
        <v>0</v>
      </c>
      <c r="M46" s="71">
        <f t="shared" si="0"/>
        <v>0</v>
      </c>
      <c r="N46" s="165">
        <f t="shared" si="0"/>
        <v>0</v>
      </c>
    </row>
    <row r="47" spans="1:14" x14ac:dyDescent="0.25">
      <c r="A47" s="59" t="s">
        <v>197</v>
      </c>
      <c r="B47" s="62" t="s">
        <v>195</v>
      </c>
      <c r="C47" s="59" t="s">
        <v>196</v>
      </c>
      <c r="D47" s="62" t="s">
        <v>195</v>
      </c>
      <c r="E47" s="162" t="s">
        <v>256</v>
      </c>
      <c r="F47" s="114">
        <v>0.5</v>
      </c>
      <c r="G47" s="152">
        <f>IFERROR(VLOOKUP($A$3:$A$114,'OCT-2026'!$A$4:$ADC$118,MATCH('FY-(26-27)Q3'!$G$2:$H$2,'OCT-2026'!$A$2:$DD$2,0),0),0)</f>
        <v>63612</v>
      </c>
      <c r="H47" s="154">
        <f>IFERROR(VLOOKUP($A$3:$A$114,'OCT-2026'!$A$4:$ADC$118,MATCH('FY-(26-27)Q3'!$G$2:$H$2,'OCT-2026'!$A$2:$DD$2,0),0),0)</f>
        <v>1.27224</v>
      </c>
      <c r="I47" s="152">
        <f>IFERROR(VLOOKUP($A$3:$A$114,'[1]NOV-2026'!$A$4:$ADL$124,MATCH('FY-(26-27)Q3'!$I$2:$J$2,'[1]NOV-2026'!$A$2:$DM$2,0),0),0)</f>
        <v>0</v>
      </c>
      <c r="J47" s="154">
        <f>IFERROR(VLOOKUP($A$3:$A$114,'[1]NOV-2026'!$A$4:$ADL$124,MATCH('FY-(26-27)Q3'!$I$2:$J$2,'[1]NOV-2026'!$A$2:$DM$2,0),0),0)</f>
        <v>0</v>
      </c>
      <c r="K47" s="152">
        <f>IFERROR(VLOOKUP($A$3:$A$114,'[2]DEC-2026'!$A$4:$AEE$125,MATCH('FY-(26-27)Q3'!$K$2:$L$2,'[2]DEC-2026'!$A$2:$EF$2,0),0),0)</f>
        <v>0</v>
      </c>
      <c r="L47" s="154">
        <f>IFERROR(VLOOKUP($A$3:$A$114,'[2]DEC-2026'!$A$4:$AEE$125,MATCH('FY-(26-27)Q3'!$K$2:$L$2,'[2]DEC-2026'!$A$2:$EF$2,0),0),0)</f>
        <v>0</v>
      </c>
      <c r="M47" s="71">
        <f t="shared" si="0"/>
        <v>63612</v>
      </c>
      <c r="N47" s="165">
        <f t="shared" si="0"/>
        <v>1.27224</v>
      </c>
    </row>
    <row r="48" spans="1:14" x14ac:dyDescent="0.25">
      <c r="A48" s="59" t="s">
        <v>213</v>
      </c>
      <c r="B48" s="62" t="s">
        <v>209</v>
      </c>
      <c r="C48" s="59" t="s">
        <v>210</v>
      </c>
      <c r="D48" s="62" t="s">
        <v>209</v>
      </c>
      <c r="E48" s="162" t="s">
        <v>256</v>
      </c>
      <c r="F48" s="114">
        <v>5</v>
      </c>
      <c r="G48" s="152">
        <f>IFERROR(VLOOKUP($A$3:$A$114,'OCT-2026'!$A$4:$ADC$118,MATCH('FY-(26-27)Q3'!$G$2:$H$2,'OCT-2026'!$A$2:$DD$2,0),0),0)</f>
        <v>418303</v>
      </c>
      <c r="H48" s="154">
        <f>IFERROR(VLOOKUP($A$3:$A$114,'OCT-2026'!$A$4:$ADC$118,MATCH('FY-(26-27)Q3'!$G$2:$H$2,'OCT-2026'!$A$2:$DD$2,0),0),0)</f>
        <v>0.643543076923077</v>
      </c>
      <c r="I48" s="152">
        <f>IFERROR(VLOOKUP($A$3:$A$114,'[1]NOV-2026'!$A$4:$ADL$124,MATCH('FY-(26-27)Q3'!$I$2:$J$2,'[1]NOV-2026'!$A$2:$DM$2,0),0),0)</f>
        <v>0</v>
      </c>
      <c r="J48" s="154">
        <f>IFERROR(VLOOKUP($A$3:$A$114,'[1]NOV-2026'!$A$4:$ADL$124,MATCH('FY-(26-27)Q3'!$I$2:$J$2,'[1]NOV-2026'!$A$2:$DM$2,0),0),0)</f>
        <v>0</v>
      </c>
      <c r="K48" s="152">
        <f>IFERROR(VLOOKUP($A$3:$A$114,'[2]DEC-2026'!$A$4:$AEE$125,MATCH('FY-(26-27)Q3'!$K$2:$L$2,'[2]DEC-2026'!$A$2:$EF$2,0),0),0)</f>
        <v>0</v>
      </c>
      <c r="L48" s="154">
        <f>IFERROR(VLOOKUP($A$3:$A$114,'[2]DEC-2026'!$A$4:$AEE$125,MATCH('FY-(26-27)Q3'!$K$2:$L$2,'[2]DEC-2026'!$A$2:$EF$2,0),0),0)</f>
        <v>0</v>
      </c>
      <c r="M48" s="71">
        <f t="shared" si="0"/>
        <v>418303</v>
      </c>
      <c r="N48" s="165">
        <f t="shared" si="0"/>
        <v>0.643543076923077</v>
      </c>
    </row>
    <row r="49" spans="1:14" x14ac:dyDescent="0.25">
      <c r="A49" s="59" t="s">
        <v>214</v>
      </c>
      <c r="B49" s="62" t="s">
        <v>209</v>
      </c>
      <c r="C49" s="59" t="s">
        <v>211</v>
      </c>
      <c r="D49" s="62" t="s">
        <v>209</v>
      </c>
      <c r="E49" s="162" t="s">
        <v>256</v>
      </c>
      <c r="F49" s="114">
        <v>1</v>
      </c>
      <c r="G49" s="152">
        <f>IFERROR(VLOOKUP($A$3:$A$114,'OCT-2026'!$A$4:$ADC$118,MATCH('FY-(26-27)Q3'!$G$2:$H$2,'OCT-2026'!$A$2:$DD$2,0),0),0)</f>
        <v>0</v>
      </c>
      <c r="H49" s="154">
        <f>IFERROR(VLOOKUP($A$3:$A$114,'OCT-2026'!$A$4:$ADC$118,MATCH('FY-(26-27)Q3'!$G$2:$H$2,'OCT-2026'!$A$2:$DD$2,0),0),0)</f>
        <v>0</v>
      </c>
      <c r="I49" s="152">
        <f>IFERROR(VLOOKUP($A$3:$A$114,'[1]NOV-2026'!$A$4:$ADL$124,MATCH('FY-(26-27)Q3'!$I$2:$J$2,'[1]NOV-2026'!$A$2:$DM$2,0),0),0)</f>
        <v>0</v>
      </c>
      <c r="J49" s="154">
        <f>IFERROR(VLOOKUP($A$3:$A$114,'[1]NOV-2026'!$A$4:$ADL$124,MATCH('FY-(26-27)Q3'!$I$2:$J$2,'[1]NOV-2026'!$A$2:$DM$2,0),0),0)</f>
        <v>0</v>
      </c>
      <c r="K49" s="152">
        <f>IFERROR(VLOOKUP($A$3:$A$114,'[2]DEC-2026'!$A$4:$AEE$125,MATCH('FY-(26-27)Q3'!$K$2:$L$2,'[2]DEC-2026'!$A$2:$EF$2,0),0),0)</f>
        <v>0</v>
      </c>
      <c r="L49" s="154">
        <f>IFERROR(VLOOKUP($A$3:$A$114,'[2]DEC-2026'!$A$4:$AEE$125,MATCH('FY-(26-27)Q3'!$K$2:$L$2,'[2]DEC-2026'!$A$2:$EF$2,0),0),0)</f>
        <v>0</v>
      </c>
      <c r="M49" s="71">
        <f t="shared" si="0"/>
        <v>0</v>
      </c>
      <c r="N49" s="165">
        <f t="shared" si="0"/>
        <v>0</v>
      </c>
    </row>
    <row r="50" spans="1:14" x14ac:dyDescent="0.25">
      <c r="A50" s="59" t="s">
        <v>49</v>
      </c>
      <c r="B50" s="59" t="s">
        <v>99</v>
      </c>
      <c r="C50" s="59" t="s">
        <v>100</v>
      </c>
      <c r="D50" s="59" t="s">
        <v>99</v>
      </c>
      <c r="E50" s="59" t="s">
        <v>256</v>
      </c>
      <c r="F50" s="114">
        <v>2.5</v>
      </c>
      <c r="G50" s="152">
        <f>IFERROR(VLOOKUP($A$3:$A$114,'OCT-2026'!$A$4:$ADC$118,MATCH('FY-(26-27)Q3'!$G$2:$H$2,'OCT-2026'!$A$2:$DD$2,0),0),0)</f>
        <v>284547</v>
      </c>
      <c r="H50" s="154">
        <f>IFERROR(VLOOKUP($A$3:$A$114,'OCT-2026'!$A$4:$ADC$118,MATCH('FY-(26-27)Q3'!$G$2:$H$2,'OCT-2026'!$A$2:$DD$2,0),0),0)</f>
        <v>0.94849000000000006</v>
      </c>
      <c r="I50" s="152">
        <f>IFERROR(VLOOKUP($A$3:$A$114,'[1]NOV-2026'!$A$4:$ADL$124,MATCH('FY-(26-27)Q3'!$I$2:$J$2,'[1]NOV-2026'!$A$2:$DM$2,0),0),0)</f>
        <v>0</v>
      </c>
      <c r="J50" s="154">
        <f>IFERROR(VLOOKUP($A$3:$A$114,'[1]NOV-2026'!$A$4:$ADL$124,MATCH('FY-(26-27)Q3'!$I$2:$J$2,'[1]NOV-2026'!$A$2:$DM$2,0),0),0)</f>
        <v>0</v>
      </c>
      <c r="K50" s="152">
        <f>IFERROR(VLOOKUP($A$3:$A$114,'[2]DEC-2026'!$A$4:$AEE$125,MATCH('FY-(26-27)Q3'!$K$2:$L$2,'[2]DEC-2026'!$A$2:$EF$2,0),0),0)</f>
        <v>0</v>
      </c>
      <c r="L50" s="154">
        <f>IFERROR(VLOOKUP($A$3:$A$114,'[2]DEC-2026'!$A$4:$AEE$125,MATCH('FY-(26-27)Q3'!$K$2:$L$2,'[2]DEC-2026'!$A$2:$EF$2,0),0),0)</f>
        <v>0</v>
      </c>
      <c r="M50" s="71">
        <f t="shared" si="0"/>
        <v>284547</v>
      </c>
      <c r="N50" s="165">
        <f t="shared" si="0"/>
        <v>0.94849000000000006</v>
      </c>
    </row>
    <row r="51" spans="1:14" x14ac:dyDescent="0.25">
      <c r="A51" s="59" t="s">
        <v>300</v>
      </c>
      <c r="B51" s="59" t="s">
        <v>286</v>
      </c>
      <c r="C51" s="59" t="s">
        <v>324</v>
      </c>
      <c r="D51" s="59" t="s">
        <v>286</v>
      </c>
      <c r="E51" s="59" t="s">
        <v>256</v>
      </c>
      <c r="F51" s="114">
        <v>0.25</v>
      </c>
      <c r="G51" s="152">
        <f>IFERROR(VLOOKUP($A$3:$A$114,'OCT-2026'!$A$4:$ADC$118,MATCH('FY-(26-27)Q3'!$G$2:$H$2,'OCT-2026'!$A$2:$DD$2,0),0),0)</f>
        <v>0</v>
      </c>
      <c r="H51" s="154">
        <f>IFERROR(VLOOKUP($A$3:$A$114,'OCT-2026'!$A$4:$ADC$118,MATCH('FY-(26-27)Q3'!$G$2:$H$2,'OCT-2026'!$A$2:$DD$2,0),0),0)</f>
        <v>0</v>
      </c>
      <c r="I51" s="152">
        <f>IFERROR(VLOOKUP($A$3:$A$114,'[1]NOV-2026'!$A$4:$ADL$124,MATCH('FY-(26-27)Q3'!$I$2:$J$2,'[1]NOV-2026'!$A$2:$DM$2,0),0),0)</f>
        <v>0</v>
      </c>
      <c r="J51" s="154">
        <f>IFERROR(VLOOKUP($A$3:$A$114,'[1]NOV-2026'!$A$4:$ADL$124,MATCH('FY-(26-27)Q3'!$I$2:$J$2,'[1]NOV-2026'!$A$2:$DM$2,0),0),0)</f>
        <v>0</v>
      </c>
      <c r="K51" s="152">
        <f>IFERROR(VLOOKUP($A$3:$A$114,'[2]DEC-2026'!$A$4:$AEE$125,MATCH('FY-(26-27)Q3'!$K$2:$L$2,'[2]DEC-2026'!$A$2:$EF$2,0),0),0)</f>
        <v>0</v>
      </c>
      <c r="L51" s="154">
        <f>IFERROR(VLOOKUP($A$3:$A$114,'[2]DEC-2026'!$A$4:$AEE$125,MATCH('FY-(26-27)Q3'!$K$2:$L$2,'[2]DEC-2026'!$A$2:$EF$2,0),0),0)</f>
        <v>0</v>
      </c>
      <c r="M51" s="71">
        <f t="shared" ref="M51:N52" si="3">G51+I51+K51</f>
        <v>0</v>
      </c>
      <c r="N51" s="165">
        <f t="shared" si="3"/>
        <v>0</v>
      </c>
    </row>
    <row r="52" spans="1:14" x14ac:dyDescent="0.25">
      <c r="A52" s="59" t="s">
        <v>288</v>
      </c>
      <c r="B52" s="59" t="s">
        <v>286</v>
      </c>
      <c r="C52" s="59" t="s">
        <v>285</v>
      </c>
      <c r="D52" s="59" t="s">
        <v>286</v>
      </c>
      <c r="E52" s="59" t="s">
        <v>287</v>
      </c>
      <c r="F52" s="114">
        <v>5</v>
      </c>
      <c r="G52" s="152">
        <f>IFERROR(VLOOKUP($A$3:$A$114,'OCT-2026'!$A$4:$ADC$118,MATCH('FY-(26-27)Q3'!$G$2:$H$2,'OCT-2026'!$A$2:$DD$2,0),0),0)</f>
        <v>616456</v>
      </c>
      <c r="H52" s="154">
        <f>IFERROR(VLOOKUP($A$3:$A$114,'OCT-2026'!$A$4:$ADC$118,MATCH('FY-(26-27)Q3'!$G$2:$H$2,'OCT-2026'!$A$2:$DD$2,0),0),0)</f>
        <v>0.616456</v>
      </c>
      <c r="I52" s="152">
        <f>IFERROR(VLOOKUP($A$3:$A$114,'[1]NOV-2026'!$A$4:$ADL$124,MATCH('FY-(26-27)Q3'!$I$2:$J$2,'[1]NOV-2026'!$A$2:$DM$2,0),0),0)</f>
        <v>0</v>
      </c>
      <c r="J52" s="154">
        <f>IFERROR(VLOOKUP($A$3:$A$114,'[1]NOV-2026'!$A$4:$ADL$124,MATCH('FY-(26-27)Q3'!$I$2:$J$2,'[1]NOV-2026'!$A$2:$DM$2,0),0),0)</f>
        <v>0</v>
      </c>
      <c r="K52" s="152">
        <f>IFERROR(VLOOKUP($A$3:$A$114,'[2]DEC-2026'!$A$4:$AEE$125,MATCH('FY-(26-27)Q3'!$K$2:$L$2,'[2]DEC-2026'!$A$2:$EF$2,0),0),0)</f>
        <v>0</v>
      </c>
      <c r="L52" s="154">
        <f>IFERROR(VLOOKUP($A$3:$A$114,'[2]DEC-2026'!$A$4:$AEE$125,MATCH('FY-(26-27)Q3'!$K$2:$L$2,'[2]DEC-2026'!$A$2:$EF$2,0),0),0)</f>
        <v>0</v>
      </c>
      <c r="M52" s="71">
        <f t="shared" si="3"/>
        <v>616456</v>
      </c>
      <c r="N52" s="165">
        <f t="shared" si="3"/>
        <v>0.616456</v>
      </c>
    </row>
    <row r="53" spans="1:14" x14ac:dyDescent="0.25">
      <c r="A53" s="186"/>
      <c r="B53" s="231"/>
      <c r="C53" s="186"/>
      <c r="D53" s="232"/>
      <c r="E53" s="232"/>
      <c r="F53" s="233"/>
      <c r="G53" s="230">
        <f>SUM(G4:G50)</f>
        <v>4378461</v>
      </c>
      <c r="H53" s="90"/>
      <c r="I53" s="99">
        <f>SUM(I4:I50)</f>
        <v>0</v>
      </c>
      <c r="J53" s="100"/>
      <c r="K53" s="109">
        <f>SUM(K4:K50)</f>
        <v>0</v>
      </c>
      <c r="L53" s="109"/>
      <c r="M53" s="153">
        <f>SUM(M4:M50)</f>
        <v>4378461</v>
      </c>
      <c r="N53" s="234"/>
    </row>
    <row r="54" spans="1:14" ht="15.75" thickBot="1" x14ac:dyDescent="0.3">
      <c r="G54" s="91"/>
      <c r="H54" s="92"/>
      <c r="I54" s="101"/>
      <c r="J54" s="102"/>
      <c r="K54" s="110"/>
      <c r="L54" s="111"/>
      <c r="M54" s="111"/>
      <c r="N54" s="111"/>
    </row>
    <row r="55" spans="1:14" ht="15.75" x14ac:dyDescent="0.25">
      <c r="G55" s="84" t="s">
        <v>149</v>
      </c>
      <c r="H55" s="85" t="s">
        <v>150</v>
      </c>
      <c r="I55" s="95" t="s">
        <v>159</v>
      </c>
      <c r="J55" s="96" t="s">
        <v>160</v>
      </c>
      <c r="K55" s="105" t="s">
        <v>161</v>
      </c>
      <c r="L55" s="106" t="s">
        <v>162</v>
      </c>
      <c r="M55" s="126" t="s">
        <v>101</v>
      </c>
      <c r="N55" s="68" t="s">
        <v>127</v>
      </c>
    </row>
    <row r="56" spans="1:14" ht="15.75" x14ac:dyDescent="0.25">
      <c r="G56" s="222"/>
      <c r="H56" s="223"/>
      <c r="I56" s="224"/>
      <c r="J56" s="225"/>
      <c r="K56" s="226"/>
      <c r="L56" s="227"/>
      <c r="M56" s="228"/>
      <c r="N56" s="229"/>
    </row>
    <row r="57" spans="1:14" x14ac:dyDescent="0.25">
      <c r="A57" s="79" t="s">
        <v>241</v>
      </c>
      <c r="B57" s="140" t="s">
        <v>240</v>
      </c>
      <c r="C57" s="140" t="s">
        <v>57</v>
      </c>
      <c r="D57" s="140"/>
      <c r="E57" s="208"/>
      <c r="F57" s="206"/>
      <c r="G57" s="152">
        <f>IFERROR(VLOOKUP($A$3:$A$114,'OCT-2026'!$A$4:$ADC$118,MATCH('FY-(26-27)Q3'!$G$2:$H$2,'OCT-2026'!$A$2:$DD$2,0),0),0)</f>
        <v>-36019</v>
      </c>
      <c r="H57" s="154">
        <f>IFERROR(VLOOKUP($A$3:$A$114,'OCT-2026'!$A$4:$ADC$118,MATCH('FY-(26-27)Q3'!$G$2:$H$2,'OCT-2026'!$A$2:$DD$2,0),0),0)</f>
        <v>-0.12006333333333336</v>
      </c>
      <c r="I57" s="152">
        <f>IFERROR(VLOOKUP($A$3:$A$114,'[1]NOV-2026'!$A$4:$ADL$124,MATCH('FY-(26-27)Q3'!$I$2:$J$2,'[1]NOV-2026'!$A$2:$DM$2,0),0),0)</f>
        <v>0</v>
      </c>
      <c r="J57" s="154">
        <f>IFERROR(VLOOKUP($A$3:$A$114,'[1]NOV-2026'!$A$4:$ADL$124,MATCH('FY-(26-27)Q3'!$I$2:$J$2,'[1]NOV-2026'!$A$2:$DM$2,0),0),0)</f>
        <v>0</v>
      </c>
      <c r="K57" s="152">
        <f>IFERROR(VLOOKUP($A$3:$A$114,'[2]DEC-2026'!$A$4:$AEE$125,MATCH('FY-(26-27)Q3'!$K$2:$L$2,'[2]DEC-2026'!$A$2:$EF$2,0),0),0)</f>
        <v>0</v>
      </c>
      <c r="L57" s="154">
        <f>IFERROR(VLOOKUP($A$3:$A$114,'[2]DEC-2026'!$A$4:$AEE$125,MATCH('FY-(26-27)Q3'!$K$2:$L$2,'[2]DEC-2026'!$A$2:$EF$2,0),0),0)</f>
        <v>0</v>
      </c>
      <c r="M57" s="152">
        <f t="shared" ref="M57:N58" si="4">G57+I57+K57</f>
        <v>-36019</v>
      </c>
      <c r="N57" s="166">
        <f t="shared" si="4"/>
        <v>-0.12006333333333336</v>
      </c>
    </row>
    <row r="58" spans="1:14" x14ac:dyDescent="0.25">
      <c r="A58" s="201" t="s">
        <v>273</v>
      </c>
      <c r="B58" s="202" t="s">
        <v>272</v>
      </c>
      <c r="C58" s="202" t="s">
        <v>57</v>
      </c>
      <c r="D58" s="202" t="s">
        <v>87</v>
      </c>
      <c r="E58" s="202" t="s">
        <v>256</v>
      </c>
      <c r="F58" s="237"/>
      <c r="G58" s="152">
        <f>IFERROR(VLOOKUP($A$3:$A$114,'OCT-2026'!$A$4:$ADC$118,MATCH('FY-(26-27)Q3'!$G$2:$H$2,'OCT-2026'!$A$2:$DD$2,0),0),0)</f>
        <v>-218465</v>
      </c>
      <c r="H58" s="154">
        <f>IFERROR(VLOOKUP($A$3:$A$114,'OCT-2026'!$A$4:$ADC$118,MATCH('FY-(26-27)Q3'!$G$2:$H$2,'OCT-2026'!$A$2:$DD$2,0),0),0)</f>
        <v>0</v>
      </c>
      <c r="I58" s="152">
        <f>IFERROR(VLOOKUP($A$3:$A$114,'[1]NOV-2026'!$A$4:$ADL$124,MATCH('FY-(26-27)Q3'!$I$2:$J$2,'[1]NOV-2026'!$A$2:$DM$2,0),0),0)</f>
        <v>0</v>
      </c>
      <c r="J58" s="154">
        <f>IFERROR(VLOOKUP($A$3:$A$114,'[1]NOV-2026'!$A$4:$ADL$124,MATCH('FY-(26-27)Q3'!$I$2:$J$2,'[1]NOV-2026'!$A$2:$DM$2,0),0),0)</f>
        <v>0</v>
      </c>
      <c r="K58" s="152">
        <f>IFERROR(VLOOKUP($A$3:$A$114,'[2]DEC-2026'!$A$4:$AEE$125,MATCH('FY-(26-27)Q3'!$K$2:$L$2,'[2]DEC-2026'!$A$2:$EF$2,0),0),0)</f>
        <v>0</v>
      </c>
      <c r="L58" s="154">
        <f>IFERROR(VLOOKUP($A$3:$A$114,'[2]DEC-2026'!$A$4:$AEE$125,MATCH('FY-(26-27)Q3'!$K$2:$L$2,'[2]DEC-2026'!$A$2:$EF$2,0),0),0)</f>
        <v>0</v>
      </c>
      <c r="M58" s="152">
        <f t="shared" si="4"/>
        <v>-218465</v>
      </c>
      <c r="N58" s="166">
        <f t="shared" si="4"/>
        <v>0</v>
      </c>
    </row>
    <row r="59" spans="1:14" ht="15.75" thickBot="1" x14ac:dyDescent="0.3">
      <c r="G59" s="93">
        <f>SUM(G57:G58)</f>
        <v>-254484</v>
      </c>
      <c r="H59" s="94"/>
      <c r="I59" s="93">
        <f>SUM(I57:I58)</f>
        <v>0</v>
      </c>
      <c r="J59" s="104"/>
      <c r="K59" s="93">
        <f>SUM(K57:K58)</f>
        <v>0</v>
      </c>
      <c r="L59" s="113"/>
      <c r="M59" s="93">
        <f>SUM(M57:M58)</f>
        <v>-254484</v>
      </c>
      <c r="N59" s="235"/>
    </row>
  </sheetData>
  <conditionalFormatting sqref="A36:C36 A10:C10 A3:F3 L2:L3 A32:C32 A5 F10 F33:F34 F36 A50:C50 E32:F32 A39:F39 A21 A31:F31 A44:F44 F48:F50 E50 G53:N54 A22:F23 A53:E53 C42:F42 M21:N23 A25:F26 A41:F41 F45:F46 M25:N26 M10:N11 C5:F5 M43:N45 A16:F17 M16:N18 M57:N58 G59:N59 M5:N8 A6:F6 A28:F29 D27:F27 M28:N33 M35:N41 A13:F14 M13:N14 G4:L26 M47:N51 G28:L52">
    <cfRule type="expression" dxfId="536" priority="104">
      <formula>MOD(ROW(),2)=0</formula>
    </cfRule>
  </conditionalFormatting>
  <conditionalFormatting sqref="G2:I3">
    <cfRule type="expression" dxfId="535" priority="103">
      <formula>MOD(ROW(),2)=0</formula>
    </cfRule>
  </conditionalFormatting>
  <conditionalFormatting sqref="J2:J3">
    <cfRule type="expression" dxfId="534" priority="102">
      <formula>MOD(ROW(),2)=0</formula>
    </cfRule>
  </conditionalFormatting>
  <conditionalFormatting sqref="K2:K3">
    <cfRule type="expression" dxfId="533" priority="101">
      <formula>MOD(ROW(),2)=0</formula>
    </cfRule>
  </conditionalFormatting>
  <conditionalFormatting sqref="A33:C33 E33 A34">
    <cfRule type="expression" dxfId="532" priority="100">
      <formula>MOD(ROW(),2)=0</formula>
    </cfRule>
  </conditionalFormatting>
  <conditionalFormatting sqref="E36">
    <cfRule type="expression" dxfId="531" priority="99">
      <formula>MOD(ROW(),2)=0</formula>
    </cfRule>
  </conditionalFormatting>
  <conditionalFormatting sqref="A18:F18">
    <cfRule type="expression" dxfId="530" priority="98">
      <formula>MOD(ROW(),2)=0</formula>
    </cfRule>
  </conditionalFormatting>
  <conditionalFormatting sqref="M22:N22">
    <cfRule type="expression" dxfId="529" priority="94">
      <formula>MOD(ROW(),2)=0</formula>
    </cfRule>
  </conditionalFormatting>
  <conditionalFormatting sqref="A11:C11 E11:F11">
    <cfRule type="expression" dxfId="528" priority="96">
      <formula>MOD(ROW(),2)=0</formula>
    </cfRule>
  </conditionalFormatting>
  <conditionalFormatting sqref="N22">
    <cfRule type="expression" dxfId="527" priority="95">
      <formula>MOD(ROW(),2)=0</formula>
    </cfRule>
  </conditionalFormatting>
  <conditionalFormatting sqref="M11:N11">
    <cfRule type="expression" dxfId="526" priority="92">
      <formula>MOD(ROW(),2)=0</formula>
    </cfRule>
  </conditionalFormatting>
  <conditionalFormatting sqref="B21:C21 E21:F21">
    <cfRule type="expression" dxfId="525" priority="91">
      <formula>MOD(ROW(),2)=0</formula>
    </cfRule>
  </conditionalFormatting>
  <conditionalFormatting sqref="N11">
    <cfRule type="expression" dxfId="524" priority="93">
      <formula>MOD(ROW(),2)=0</formula>
    </cfRule>
  </conditionalFormatting>
  <conditionalFormatting sqref="A7:C7 E7:F7 A8:F8 A9:B9 D9:F9">
    <cfRule type="expression" dxfId="523" priority="90">
      <formula>MOD(ROW(),2)=0</formula>
    </cfRule>
  </conditionalFormatting>
  <conditionalFormatting sqref="N7:N8">
    <cfRule type="expression" dxfId="522" priority="89">
      <formula>MOD(ROW(),2)=0</formula>
    </cfRule>
  </conditionalFormatting>
  <conditionalFormatting sqref="M7:N8">
    <cfRule type="expression" dxfId="521" priority="88">
      <formula>MOD(ROW(),2)=0</formula>
    </cfRule>
  </conditionalFormatting>
  <conditionalFormatting sqref="A30:C30 E30:F30">
    <cfRule type="expression" dxfId="520" priority="87">
      <formula>MOD(ROW(),2)=0</formula>
    </cfRule>
  </conditionalFormatting>
  <conditionalFormatting sqref="M30:N30">
    <cfRule type="expression" dxfId="519" priority="85">
      <formula>MOD(ROW(),2)=0</formula>
    </cfRule>
  </conditionalFormatting>
  <conditionalFormatting sqref="N30">
    <cfRule type="expression" dxfId="518" priority="86">
      <formula>MOD(ROW(),2)=0</formula>
    </cfRule>
  </conditionalFormatting>
  <conditionalFormatting sqref="A38:C38 E38:F38">
    <cfRule type="expression" dxfId="517" priority="84">
      <formula>MOD(ROW(),2)=0</formula>
    </cfRule>
  </conditionalFormatting>
  <conditionalFormatting sqref="N21">
    <cfRule type="expression" dxfId="516" priority="83">
      <formula>MOD(ROW(),2)=0</formula>
    </cfRule>
  </conditionalFormatting>
  <conditionalFormatting sqref="M21:N21">
    <cfRule type="expression" dxfId="515" priority="82">
      <formula>MOD(ROW(),2)=0</formula>
    </cfRule>
  </conditionalFormatting>
  <conditionalFormatting sqref="A47:C47 E47:F47">
    <cfRule type="expression" dxfId="514" priority="81">
      <formula>MOD(ROW(),2)=0</formula>
    </cfRule>
  </conditionalFormatting>
  <conditionalFormatting sqref="L55:L56">
    <cfRule type="expression" dxfId="513" priority="80">
      <formula>MOD(ROW(),2)=0</formula>
    </cfRule>
  </conditionalFormatting>
  <conditionalFormatting sqref="G55:I56">
    <cfRule type="expression" dxfId="512" priority="79">
      <formula>MOD(ROW(),2)=0</formula>
    </cfRule>
  </conditionalFormatting>
  <conditionalFormatting sqref="J55:J56">
    <cfRule type="expression" dxfId="511" priority="78">
      <formula>MOD(ROW(),2)=0</formula>
    </cfRule>
  </conditionalFormatting>
  <conditionalFormatting sqref="K55:K56">
    <cfRule type="expression" dxfId="510" priority="77">
      <formula>MOD(ROW(),2)=0</formula>
    </cfRule>
  </conditionalFormatting>
  <conditionalFormatting sqref="D10:E10">
    <cfRule type="expression" dxfId="509" priority="73">
      <formula>MOD(ROW(),2)=0</formula>
    </cfRule>
  </conditionalFormatting>
  <conditionalFormatting sqref="A48:C49 E48:E49">
    <cfRule type="expression" dxfId="508" priority="72">
      <formula>MOD(ROW(),2)=0</formula>
    </cfRule>
  </conditionalFormatting>
  <conditionalFormatting sqref="M48:N49">
    <cfRule type="expression" dxfId="507" priority="71">
      <formula>MOD(ROW(),2)=0</formula>
    </cfRule>
  </conditionalFormatting>
  <conditionalFormatting sqref="A43:B43">
    <cfRule type="expression" dxfId="506" priority="69">
      <formula>MOD(ROW(),2)=0</formula>
    </cfRule>
  </conditionalFormatting>
  <conditionalFormatting sqref="A4:C4 E4:F4">
    <cfRule type="expression" dxfId="505" priority="68">
      <formula>MOD(ROW(),2)=0</formula>
    </cfRule>
  </conditionalFormatting>
  <conditionalFormatting sqref="M4:N4">
    <cfRule type="expression" dxfId="504" priority="67">
      <formula>MOD(ROW(),2)=0</formula>
    </cfRule>
  </conditionalFormatting>
  <conditionalFormatting sqref="M4:N4">
    <cfRule type="expression" dxfId="503" priority="65">
      <formula>MOD(ROW(),2)=0</formula>
    </cfRule>
  </conditionalFormatting>
  <conditionalFormatting sqref="N4">
    <cfRule type="expression" dxfId="502" priority="66">
      <formula>MOD(ROW(),2)=0</formula>
    </cfRule>
  </conditionalFormatting>
  <conditionalFormatting sqref="A35:C35 E35:F35">
    <cfRule type="expression" dxfId="501" priority="64">
      <formula>MOD(ROW(),2)=0</formula>
    </cfRule>
  </conditionalFormatting>
  <conditionalFormatting sqref="A57:F57 F58">
    <cfRule type="expression" dxfId="500" priority="63">
      <formula>MOD(ROW(),2)=0</formula>
    </cfRule>
  </conditionalFormatting>
  <conditionalFormatting sqref="A12:F12">
    <cfRule type="expression" dxfId="499" priority="62">
      <formula>MOD(ROW(),2)=0</formula>
    </cfRule>
  </conditionalFormatting>
  <conditionalFormatting sqref="M12:N12">
    <cfRule type="expression" dxfId="498" priority="61">
      <formula>MOD(ROW(),2)=0</formula>
    </cfRule>
  </conditionalFormatting>
  <conditionalFormatting sqref="M12:N12">
    <cfRule type="expression" dxfId="497" priority="59">
      <formula>MOD(ROW(),2)=0</formula>
    </cfRule>
  </conditionalFormatting>
  <conditionalFormatting sqref="N12">
    <cfRule type="expression" dxfId="496" priority="60">
      <formula>MOD(ROW(),2)=0</formula>
    </cfRule>
  </conditionalFormatting>
  <conditionalFormatting sqref="F43">
    <cfRule type="expression" dxfId="495" priority="58">
      <formula>MOD(ROW(),2)=0</formula>
    </cfRule>
  </conditionalFormatting>
  <conditionalFormatting sqref="D43:E43">
    <cfRule type="expression" dxfId="494" priority="57">
      <formula>MOD(ROW(),2)=0</formula>
    </cfRule>
  </conditionalFormatting>
  <conditionalFormatting sqref="D7">
    <cfRule type="expression" dxfId="493" priority="56">
      <formula>MOD(ROW(),2)=0</formula>
    </cfRule>
  </conditionalFormatting>
  <conditionalFormatting sqref="D4">
    <cfRule type="expression" dxfId="492" priority="55">
      <formula>MOD(ROW(),2)=0</formula>
    </cfRule>
  </conditionalFormatting>
  <conditionalFormatting sqref="D11">
    <cfRule type="expression" dxfId="491" priority="54">
      <formula>MOD(ROW(),2)=0</formula>
    </cfRule>
  </conditionalFormatting>
  <conditionalFormatting sqref="D21">
    <cfRule type="expression" dxfId="490" priority="53">
      <formula>MOD(ROW(),2)=0</formula>
    </cfRule>
  </conditionalFormatting>
  <conditionalFormatting sqref="D48:D49">
    <cfRule type="expression" dxfId="489" priority="43">
      <formula>MOD(ROW(),2)=0</formula>
    </cfRule>
  </conditionalFormatting>
  <conditionalFormatting sqref="D30">
    <cfRule type="expression" dxfId="488" priority="52">
      <formula>MOD(ROW(),2)=0</formula>
    </cfRule>
  </conditionalFormatting>
  <conditionalFormatting sqref="D33 D35">
    <cfRule type="expression" dxfId="487" priority="51">
      <formula>MOD(ROW(),2)=0</formula>
    </cfRule>
  </conditionalFormatting>
  <conditionalFormatting sqref="D32">
    <cfRule type="expression" dxfId="486" priority="50">
      <formula>MOD(ROW(),2)=0</formula>
    </cfRule>
  </conditionalFormatting>
  <conditionalFormatting sqref="D36">
    <cfRule type="expression" dxfId="485" priority="49">
      <formula>MOD(ROW(),2)=0</formula>
    </cfRule>
  </conditionalFormatting>
  <conditionalFormatting sqref="D38">
    <cfRule type="expression" dxfId="484" priority="46">
      <formula>MOD(ROW(),2)=0</formula>
    </cfRule>
  </conditionalFormatting>
  <conditionalFormatting sqref="D50">
    <cfRule type="expression" dxfId="483" priority="45">
      <formula>MOD(ROW(),2)=0</formula>
    </cfRule>
  </conditionalFormatting>
  <conditionalFormatting sqref="D47">
    <cfRule type="expression" dxfId="482" priority="44">
      <formula>MOD(ROW(),2)=0</formula>
    </cfRule>
  </conditionalFormatting>
  <conditionalFormatting sqref="A52:C52 E52:F52">
    <cfRule type="expression" dxfId="481" priority="38">
      <formula>MOD(ROW(),2)=0</formula>
    </cfRule>
  </conditionalFormatting>
  <conditionalFormatting sqref="M52:N52">
    <cfRule type="expression" dxfId="480" priority="37">
      <formula>MOD(ROW(),2)=0</formula>
    </cfRule>
  </conditionalFormatting>
  <conditionalFormatting sqref="A42:B42">
    <cfRule type="expression" dxfId="479" priority="36">
      <formula>MOD(ROW(),2)=0</formula>
    </cfRule>
  </conditionalFormatting>
  <conditionalFormatting sqref="M42:N42">
    <cfRule type="expression" dxfId="478" priority="35">
      <formula>MOD(ROW(),2)=0</formula>
    </cfRule>
  </conditionalFormatting>
  <conditionalFormatting sqref="A37:F37">
    <cfRule type="expression" dxfId="477" priority="32">
      <formula>MOD(ROW(),2)=0</formula>
    </cfRule>
  </conditionalFormatting>
  <conditionalFormatting sqref="A15:F15">
    <cfRule type="expression" dxfId="476" priority="31">
      <formula>MOD(ROW(),2)=0</formula>
    </cfRule>
  </conditionalFormatting>
  <conditionalFormatting sqref="M15:N15">
    <cfRule type="expression" dxfId="475" priority="30">
      <formula>MOD(ROW(),2)=0</formula>
    </cfRule>
  </conditionalFormatting>
  <conditionalFormatting sqref="B20:F20 C19:F19">
    <cfRule type="expression" dxfId="474" priority="29">
      <formula>MOD(ROW(),2)=0</formula>
    </cfRule>
  </conditionalFormatting>
  <conditionalFormatting sqref="M19:N20">
    <cfRule type="expression" dxfId="473" priority="28">
      <formula>MOD(ROW(),2)=0</formula>
    </cfRule>
  </conditionalFormatting>
  <conditionalFormatting sqref="M24:N24">
    <cfRule type="expression" dxfId="472" priority="24">
      <formula>MOD(ROW(),2)=0</formula>
    </cfRule>
  </conditionalFormatting>
  <conditionalFormatting sqref="A24:F24">
    <cfRule type="expression" dxfId="471" priority="27">
      <formula>MOD(ROW(),2)=0</formula>
    </cfRule>
  </conditionalFormatting>
  <conditionalFormatting sqref="A40:F40">
    <cfRule type="expression" dxfId="470" priority="26">
      <formula>MOD(ROW(),2)=0</formula>
    </cfRule>
  </conditionalFormatting>
  <conditionalFormatting sqref="A51:C51 E51:F51">
    <cfRule type="expression" dxfId="469" priority="25">
      <formula>MOD(ROW(),2)=0</formula>
    </cfRule>
  </conditionalFormatting>
  <conditionalFormatting sqref="A58:E58">
    <cfRule type="expression" dxfId="468" priority="23">
      <formula>MOD(ROW(),2)=0</formula>
    </cfRule>
  </conditionalFormatting>
  <conditionalFormatting sqref="A45:E45 A46">
    <cfRule type="expression" dxfId="467" priority="22">
      <formula>MOD(ROW(),2)=0</formula>
    </cfRule>
  </conditionalFormatting>
  <conditionalFormatting sqref="B46:E46">
    <cfRule type="expression" dxfId="466" priority="19">
      <formula>MOD(ROW(),2)=0</formula>
    </cfRule>
  </conditionalFormatting>
  <conditionalFormatting sqref="B5">
    <cfRule type="expression" dxfId="465" priority="18">
      <formula>MOD(ROW(),2)=0</formula>
    </cfRule>
  </conditionalFormatting>
  <conditionalFormatting sqref="C9">
    <cfRule type="expression" dxfId="464" priority="17">
      <formula>MOD(ROW(),2)=0</formula>
    </cfRule>
  </conditionalFormatting>
  <conditionalFormatting sqref="M9:N9">
    <cfRule type="expression" dxfId="463" priority="16">
      <formula>MOD(ROW(),2)=0</formula>
    </cfRule>
  </conditionalFormatting>
  <conditionalFormatting sqref="N9">
    <cfRule type="expression" dxfId="462" priority="15">
      <formula>MOD(ROW(),2)=0</formula>
    </cfRule>
  </conditionalFormatting>
  <conditionalFormatting sqref="M9:N9">
    <cfRule type="expression" dxfId="461" priority="14">
      <formula>MOD(ROW(),2)=0</formula>
    </cfRule>
  </conditionalFormatting>
  <conditionalFormatting sqref="B34">
    <cfRule type="expression" dxfId="460" priority="13">
      <formula>MOD(ROW(),2)=0</formula>
    </cfRule>
  </conditionalFormatting>
  <conditionalFormatting sqref="C34">
    <cfRule type="expression" dxfId="459" priority="12">
      <formula>MOD(ROW(),2)=0</formula>
    </cfRule>
  </conditionalFormatting>
  <conditionalFormatting sqref="D34:E34">
    <cfRule type="expression" dxfId="458" priority="11">
      <formula>MOD(ROW(),2)=0</formula>
    </cfRule>
  </conditionalFormatting>
  <conditionalFormatting sqref="M34:N34">
    <cfRule type="expression" dxfId="457" priority="10">
      <formula>MOD(ROW(),2)=0</formula>
    </cfRule>
  </conditionalFormatting>
  <conditionalFormatting sqref="B19">
    <cfRule type="expression" dxfId="456" priority="9">
      <formula>MOD(ROW(),2)=0</formula>
    </cfRule>
  </conditionalFormatting>
  <conditionalFormatting sqref="A19:A20">
    <cfRule type="expression" dxfId="455" priority="8">
      <formula>MOD(ROW(),2)=0</formula>
    </cfRule>
  </conditionalFormatting>
  <conditionalFormatting sqref="M46:N46">
    <cfRule type="expression" dxfId="454" priority="7">
      <formula>MOD(ROW(),2)=0</formula>
    </cfRule>
  </conditionalFormatting>
  <conditionalFormatting sqref="G57:L58">
    <cfRule type="expression" dxfId="453" priority="5">
      <formula>MOD(ROW(),2)=0</formula>
    </cfRule>
  </conditionalFormatting>
  <conditionalFormatting sqref="D52">
    <cfRule type="expression" dxfId="452" priority="4">
      <formula>MOD(ROW(),2)=0</formula>
    </cfRule>
  </conditionalFormatting>
  <conditionalFormatting sqref="D51">
    <cfRule type="expression" dxfId="451" priority="3">
      <formula>MOD(ROW(),2)=0</formula>
    </cfRule>
  </conditionalFormatting>
  <conditionalFormatting sqref="A27:C27">
    <cfRule type="expression" dxfId="450" priority="2">
      <formula>MOD(ROW(),2)=0</formula>
    </cfRule>
  </conditionalFormatting>
  <conditionalFormatting sqref="G27:N27">
    <cfRule type="expression" dxfId="449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48" priority="21">
      <formula>MOD(ROW(),2)=0</formula>
    </cfRule>
  </conditionalFormatting>
  <conditionalFormatting sqref="AD36">
    <cfRule type="expression" dxfId="447" priority="20">
      <formula>MOD(ROW(),2)=0</formula>
    </cfRule>
  </conditionalFormatting>
  <conditionalFormatting sqref="AD39:AD40">
    <cfRule type="expression" dxfId="446" priority="19">
      <formula>MOD(ROW(),2)=0</formula>
    </cfRule>
  </conditionalFormatting>
  <conditionalFormatting sqref="AC4:AD4">
    <cfRule type="expression" dxfId="445" priority="18">
      <formula>MOD(ROW(),2)=0</formula>
    </cfRule>
  </conditionalFormatting>
  <conditionalFormatting sqref="AD38">
    <cfRule type="expression" dxfId="444" priority="17">
      <formula>MOD(ROW(),2)=0</formula>
    </cfRule>
  </conditionalFormatting>
  <conditionalFormatting sqref="AD22">
    <cfRule type="expression" dxfId="443" priority="14">
      <formula>MOD(ROW(),2)=0</formula>
    </cfRule>
  </conditionalFormatting>
  <conditionalFormatting sqref="AC57">
    <cfRule type="expression" dxfId="442" priority="13">
      <formula>MOD(ROW(),2)=0</formula>
    </cfRule>
  </conditionalFormatting>
  <conditionalFormatting sqref="AD41">
    <cfRule type="expression" dxfId="441" priority="12">
      <formula>MOD(ROW(),2)=0</formula>
    </cfRule>
  </conditionalFormatting>
  <conditionalFormatting sqref="AC26:AD26">
    <cfRule type="expression" dxfId="440" priority="11">
      <formula>MOD(ROW(),2)=0</formula>
    </cfRule>
  </conditionalFormatting>
  <conditionalFormatting sqref="AC54:AD55">
    <cfRule type="expression" dxfId="439" priority="10">
      <formula>MOD(ROW(),2)=0</formula>
    </cfRule>
  </conditionalFormatting>
  <conditionalFormatting sqref="AC44:AD44">
    <cfRule type="expression" dxfId="438" priority="9">
      <formula>MOD(ROW(),2)=0</formula>
    </cfRule>
  </conditionalFormatting>
  <conditionalFormatting sqref="AC61">
    <cfRule type="expression" dxfId="437" priority="8">
      <formula>MOD(ROW(),2)=0</formula>
    </cfRule>
  </conditionalFormatting>
  <conditionalFormatting sqref="AC42:AD42">
    <cfRule type="expression" dxfId="436" priority="6">
      <formula>MOD(ROW(),2)=0</formula>
    </cfRule>
  </conditionalFormatting>
  <conditionalFormatting sqref="AC23">
    <cfRule type="expression" dxfId="435" priority="5">
      <formula>MOD(ROW(),2)=0</formula>
    </cfRule>
  </conditionalFormatting>
  <conditionalFormatting sqref="AD23">
    <cfRule type="expression" dxfId="434" priority="4">
      <formula>MOD(ROW(),2)=0</formula>
    </cfRule>
  </conditionalFormatting>
  <conditionalFormatting sqref="AD37">
    <cfRule type="expression" dxfId="433" priority="2">
      <formula>MOD(ROW(),2)=0</formula>
    </cfRule>
  </conditionalFormatting>
  <conditionalFormatting sqref="A40:F40">
    <cfRule type="expression" dxfId="432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1" priority="22">
      <formula>MOD(ROW(),2)=0</formula>
    </cfRule>
  </conditionalFormatting>
  <conditionalFormatting sqref="AD43">
    <cfRule type="expression" dxfId="430" priority="21">
      <formula>MOD(ROW(),2)=0</formula>
    </cfRule>
  </conditionalFormatting>
  <conditionalFormatting sqref="AD46">
    <cfRule type="expression" dxfId="429" priority="20">
      <formula>MOD(ROW(),2)=0</formula>
    </cfRule>
  </conditionalFormatting>
  <conditionalFormatting sqref="AC4:AD4">
    <cfRule type="expression" dxfId="428" priority="19">
      <formula>MOD(ROW(),2)=0</formula>
    </cfRule>
  </conditionalFormatting>
  <conditionalFormatting sqref="AD45">
    <cfRule type="expression" dxfId="427" priority="18">
      <formula>MOD(ROW(),2)=0</formula>
    </cfRule>
  </conditionalFormatting>
  <conditionalFormatting sqref="AD20">
    <cfRule type="expression" dxfId="426" priority="17">
      <formula>MOD(ROW(),2)=0</formula>
    </cfRule>
  </conditionalFormatting>
  <conditionalFormatting sqref="AD54">
    <cfRule type="expression" dxfId="425" priority="16">
      <formula>MOD(ROW(),2)=0</formula>
    </cfRule>
  </conditionalFormatting>
  <conditionalFormatting sqref="AD24">
    <cfRule type="expression" dxfId="424" priority="15">
      <formula>MOD(ROW(),2)=0</formula>
    </cfRule>
  </conditionalFormatting>
  <conditionalFormatting sqref="AC68">
    <cfRule type="expression" dxfId="423" priority="14">
      <formula>MOD(ROW(),2)=0</formula>
    </cfRule>
  </conditionalFormatting>
  <conditionalFormatting sqref="AD49">
    <cfRule type="expression" dxfId="422" priority="13">
      <formula>MOD(ROW(),2)=0</formula>
    </cfRule>
  </conditionalFormatting>
  <conditionalFormatting sqref="AC28:AD28">
    <cfRule type="expression" dxfId="421" priority="12">
      <formula>MOD(ROW(),2)=0</formula>
    </cfRule>
  </conditionalFormatting>
  <conditionalFormatting sqref="AC65:AD65">
    <cfRule type="expression" dxfId="420" priority="11">
      <formula>MOD(ROW(),2)=0</formula>
    </cfRule>
  </conditionalFormatting>
  <conditionalFormatting sqref="AC53:AD53">
    <cfRule type="expression" dxfId="419" priority="10">
      <formula>MOD(ROW(),2)=0</formula>
    </cfRule>
  </conditionalFormatting>
  <conditionalFormatting sqref="AC73">
    <cfRule type="expression" dxfId="418" priority="9">
      <formula>MOD(ROW(),2)=0</formula>
    </cfRule>
  </conditionalFormatting>
  <conditionalFormatting sqref="H68:AB68">
    <cfRule type="expression" dxfId="417" priority="8">
      <formula>MOD(ROW(),2)=0</formula>
    </cfRule>
  </conditionalFormatting>
  <conditionalFormatting sqref="AC51:AD51">
    <cfRule type="expression" dxfId="416" priority="7">
      <formula>MOD(ROW(),2)=0</formula>
    </cfRule>
  </conditionalFormatting>
  <conditionalFormatting sqref="AC25">
    <cfRule type="expression" dxfId="415" priority="6">
      <formula>MOD(ROW(),2)=0</formula>
    </cfRule>
  </conditionalFormatting>
  <conditionalFormatting sqref="AD25">
    <cfRule type="expression" dxfId="414" priority="5">
      <formula>MOD(ROW(),2)=0</formula>
    </cfRule>
  </conditionalFormatting>
  <conditionalFormatting sqref="T44:AC44">
    <cfRule type="expression" dxfId="413" priority="4">
      <formula>MOD(ROW(),2)=0</formula>
    </cfRule>
  </conditionalFormatting>
  <conditionalFormatting sqref="AD44">
    <cfRule type="expression" dxfId="412" priority="3">
      <formula>MOD(ROW(),2)=0</formula>
    </cfRule>
  </conditionalFormatting>
  <conditionalFormatting sqref="A23:A25">
    <cfRule type="expression" dxfId="411" priority="2">
      <formula>MOD(ROW(),2)=0</formula>
    </cfRule>
  </conditionalFormatting>
  <conditionalFormatting sqref="A51">
    <cfRule type="expression" dxfId="410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9" priority="20">
      <formula>MOD(ROW(),2)=0</formula>
    </cfRule>
  </conditionalFormatting>
  <conditionalFormatting sqref="AF40">
    <cfRule type="expression" dxfId="408" priority="19">
      <formula>MOD(ROW(),2)=0</formula>
    </cfRule>
  </conditionalFormatting>
  <conditionalFormatting sqref="AF42">
    <cfRule type="expression" dxfId="407" priority="18">
      <formula>MOD(ROW(),2)=0</formula>
    </cfRule>
  </conditionalFormatting>
  <conditionalFormatting sqref="AE4:AF4">
    <cfRule type="expression" dxfId="406" priority="16">
      <formula>MOD(ROW(),2)=0</formula>
    </cfRule>
  </conditionalFormatting>
  <conditionalFormatting sqref="AF41">
    <cfRule type="expression" dxfId="405" priority="14">
      <formula>MOD(ROW(),2)=0</formula>
    </cfRule>
  </conditionalFormatting>
  <conditionalFormatting sqref="AF18">
    <cfRule type="expression" dxfId="404" priority="13">
      <formula>MOD(ROW(),2)=0</formula>
    </cfRule>
  </conditionalFormatting>
  <conditionalFormatting sqref="AF49">
    <cfRule type="expression" dxfId="403" priority="12">
      <formula>MOD(ROW(),2)=0</formula>
    </cfRule>
  </conditionalFormatting>
  <conditionalFormatting sqref="AF22">
    <cfRule type="expression" dxfId="402" priority="11">
      <formula>MOD(ROW(),2)=0</formula>
    </cfRule>
  </conditionalFormatting>
  <conditionalFormatting sqref="AE62">
    <cfRule type="expression" dxfId="401" priority="10">
      <formula>MOD(ROW(),2)=0</formula>
    </cfRule>
  </conditionalFormatting>
  <conditionalFormatting sqref="AF45">
    <cfRule type="expression" dxfId="400" priority="9">
      <formula>MOD(ROW(),2)=0</formula>
    </cfRule>
  </conditionalFormatting>
  <conditionalFormatting sqref="AE25:AF25">
    <cfRule type="expression" dxfId="399" priority="6">
      <formula>MOD(ROW(),2)=0</formula>
    </cfRule>
  </conditionalFormatting>
  <conditionalFormatting sqref="AE59:AF59">
    <cfRule type="expression" dxfId="398" priority="5">
      <formula>MOD(ROW(),2)=0</formula>
    </cfRule>
  </conditionalFormatting>
  <conditionalFormatting sqref="AE48:AF48">
    <cfRule type="expression" dxfId="397" priority="4">
      <formula>MOD(ROW(),2)=0</formula>
    </cfRule>
  </conditionalFormatting>
  <conditionalFormatting sqref="AE67">
    <cfRule type="expression" dxfId="396" priority="3">
      <formula>MOD(ROW(),2)=0</formula>
    </cfRule>
  </conditionalFormatting>
  <conditionalFormatting sqref="B21">
    <cfRule type="expression" dxfId="395" priority="2">
      <formula>MOD(ROW(),2)=0</formula>
    </cfRule>
  </conditionalFormatting>
  <conditionalFormatting sqref="A21:A22">
    <cfRule type="expression" dxfId="394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13" workbookViewId="0">
      <selection activeCell="C44" sqref="C44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3" priority="229">
      <formula>MOD(ROW(),2)=0</formula>
    </cfRule>
  </conditionalFormatting>
  <conditionalFormatting sqref="G2:I3">
    <cfRule type="expression" dxfId="392" priority="228">
      <formula>MOD(ROW(),2)=0</formula>
    </cfRule>
  </conditionalFormatting>
  <conditionalFormatting sqref="J2:J3">
    <cfRule type="expression" dxfId="391" priority="227">
      <formula>MOD(ROW(),2)=0</formula>
    </cfRule>
  </conditionalFormatting>
  <conditionalFormatting sqref="K2:K3">
    <cfRule type="expression" dxfId="390" priority="226">
      <formula>MOD(ROW(),2)=0</formula>
    </cfRule>
  </conditionalFormatting>
  <conditionalFormatting sqref="A42:C42 E42 A43">
    <cfRule type="expression" dxfId="389" priority="222">
      <formula>MOD(ROW(),2)=0</formula>
    </cfRule>
  </conditionalFormatting>
  <conditionalFormatting sqref="E45">
    <cfRule type="expression" dxfId="388" priority="220">
      <formula>MOD(ROW(),2)=0</formula>
    </cfRule>
  </conditionalFormatting>
  <conditionalFormatting sqref="A20:F20">
    <cfRule type="expression" dxfId="387" priority="218">
      <formula>MOD(ROW(),2)=0</formula>
    </cfRule>
  </conditionalFormatting>
  <conditionalFormatting sqref="A47:C47 E47:F47">
    <cfRule type="expression" dxfId="386" priority="212">
      <formula>MOD(ROW(),2)=0</formula>
    </cfRule>
  </conditionalFormatting>
  <conditionalFormatting sqref="M25:N25">
    <cfRule type="expression" dxfId="385" priority="202">
      <formula>MOD(ROW(),2)=0</formula>
    </cfRule>
  </conditionalFormatting>
  <conditionalFormatting sqref="A12:C12 E12:F12">
    <cfRule type="expression" dxfId="384" priority="207">
      <formula>MOD(ROW(),2)=0</formula>
    </cfRule>
  </conditionalFormatting>
  <conditionalFormatting sqref="N25">
    <cfRule type="expression" dxfId="383" priority="203">
      <formula>MOD(ROW(),2)=0</formula>
    </cfRule>
  </conditionalFormatting>
  <conditionalFormatting sqref="M12:N12">
    <cfRule type="expression" dxfId="382" priority="188">
      <formula>MOD(ROW(),2)=0</formula>
    </cfRule>
  </conditionalFormatting>
  <conditionalFormatting sqref="B23:C23 E23:F23">
    <cfRule type="expression" dxfId="381" priority="183">
      <formula>MOD(ROW(),2)=0</formula>
    </cfRule>
  </conditionalFormatting>
  <conditionalFormatting sqref="N12">
    <cfRule type="expression" dxfId="380" priority="189">
      <formula>MOD(ROW(),2)=0</formula>
    </cfRule>
  </conditionalFormatting>
  <conditionalFormatting sqref="A8:C8 E8:F8 A9:F9 A10:B10 D10:F10">
    <cfRule type="expression" dxfId="379" priority="174">
      <formula>MOD(ROW(),2)=0</formula>
    </cfRule>
  </conditionalFormatting>
  <conditionalFormatting sqref="N8:N9">
    <cfRule type="expression" dxfId="378" priority="172">
      <formula>MOD(ROW(),2)=0</formula>
    </cfRule>
  </conditionalFormatting>
  <conditionalFormatting sqref="M8:N9">
    <cfRule type="expression" dxfId="377" priority="171">
      <formula>MOD(ROW(),2)=0</formula>
    </cfRule>
  </conditionalFormatting>
  <conditionalFormatting sqref="A37:C37 E37:F37">
    <cfRule type="expression" dxfId="376" priority="166">
      <formula>MOD(ROW(),2)=0</formula>
    </cfRule>
  </conditionalFormatting>
  <conditionalFormatting sqref="M37:N37">
    <cfRule type="expression" dxfId="375" priority="162">
      <formula>MOD(ROW(),2)=0</formula>
    </cfRule>
  </conditionalFormatting>
  <conditionalFormatting sqref="N37">
    <cfRule type="expression" dxfId="374" priority="163">
      <formula>MOD(ROW(),2)=0</formula>
    </cfRule>
  </conditionalFormatting>
  <conditionalFormatting sqref="A49:C49 E49:F49">
    <cfRule type="expression" dxfId="373" priority="157">
      <formula>MOD(ROW(),2)=0</formula>
    </cfRule>
  </conditionalFormatting>
  <conditionalFormatting sqref="N23">
    <cfRule type="expression" dxfId="372" priority="143">
      <formula>MOD(ROW(),2)=0</formula>
    </cfRule>
  </conditionalFormatting>
  <conditionalFormatting sqref="M23:N23">
    <cfRule type="expression" dxfId="371" priority="142">
      <formula>MOD(ROW(),2)=0</formula>
    </cfRule>
  </conditionalFormatting>
  <conditionalFormatting sqref="A58:C58 E58:F58">
    <cfRule type="expression" dxfId="370" priority="132">
      <formula>MOD(ROW(),2)=0</formula>
    </cfRule>
  </conditionalFormatting>
  <conditionalFormatting sqref="L67:L68">
    <cfRule type="expression" dxfId="369" priority="126">
      <formula>MOD(ROW(),2)=0</formula>
    </cfRule>
  </conditionalFormatting>
  <conditionalFormatting sqref="G67:I68">
    <cfRule type="expression" dxfId="368" priority="125">
      <formula>MOD(ROW(),2)=0</formula>
    </cfRule>
  </conditionalFormatting>
  <conditionalFormatting sqref="J67:J68">
    <cfRule type="expression" dxfId="367" priority="124">
      <formula>MOD(ROW(),2)=0</formula>
    </cfRule>
  </conditionalFormatting>
  <conditionalFormatting sqref="K67:K68">
    <cfRule type="expression" dxfId="366" priority="123">
      <formula>MOD(ROW(),2)=0</formula>
    </cfRule>
  </conditionalFormatting>
  <conditionalFormatting sqref="A30:F30">
    <cfRule type="expression" dxfId="365" priority="122">
      <formula>MOD(ROW(),2)=0</formula>
    </cfRule>
  </conditionalFormatting>
  <conditionalFormatting sqref="A31:F31">
    <cfRule type="expression" dxfId="364" priority="121">
      <formula>MOD(ROW(),2)=0</formula>
    </cfRule>
  </conditionalFormatting>
  <conditionalFormatting sqref="A33:F33">
    <cfRule type="expression" dxfId="363" priority="120">
      <formula>MOD(ROW(),2)=0</formula>
    </cfRule>
  </conditionalFormatting>
  <conditionalFormatting sqref="D11:E11">
    <cfRule type="expression" dxfId="362" priority="109">
      <formula>MOD(ROW(),2)=0</formula>
    </cfRule>
  </conditionalFormatting>
  <conditionalFormatting sqref="A59:C60 E59:E60">
    <cfRule type="expression" dxfId="361" priority="105">
      <formula>MOD(ROW(),2)=0</formula>
    </cfRule>
  </conditionalFormatting>
  <conditionalFormatting sqref="M59:N60">
    <cfRule type="expression" dxfId="360" priority="104">
      <formula>MOD(ROW(),2)=0</formula>
    </cfRule>
  </conditionalFormatting>
  <conditionalFormatting sqref="A46:C46 E46:F46">
    <cfRule type="expression" dxfId="359" priority="101">
      <formula>MOD(ROW(),2)=0</formula>
    </cfRule>
  </conditionalFormatting>
  <conditionalFormatting sqref="A54:B54">
    <cfRule type="expression" dxfId="358" priority="97">
      <formula>MOD(ROW(),2)=0</formula>
    </cfRule>
  </conditionalFormatting>
  <conditionalFormatting sqref="A4:C4 E4:F4">
    <cfRule type="expression" dxfId="357" priority="92">
      <formula>MOD(ROW(),2)=0</formula>
    </cfRule>
  </conditionalFormatting>
  <conditionalFormatting sqref="M4:N4">
    <cfRule type="expression" dxfId="356" priority="91">
      <formula>MOD(ROW(),2)=0</formula>
    </cfRule>
  </conditionalFormatting>
  <conditionalFormatting sqref="M4:N4">
    <cfRule type="expression" dxfId="355" priority="88">
      <formula>MOD(ROW(),2)=0</formula>
    </cfRule>
  </conditionalFormatting>
  <conditionalFormatting sqref="N4">
    <cfRule type="expression" dxfId="354" priority="89">
      <formula>MOD(ROW(),2)=0</formula>
    </cfRule>
  </conditionalFormatting>
  <conditionalFormatting sqref="A44:C44 E44:F44">
    <cfRule type="expression" dxfId="353" priority="83">
      <formula>MOD(ROW(),2)=0</formula>
    </cfRule>
  </conditionalFormatting>
  <conditionalFormatting sqref="A69:F69 F70">
    <cfRule type="expression" dxfId="352" priority="82">
      <formula>MOD(ROW(),2)=0</formula>
    </cfRule>
  </conditionalFormatting>
  <conditionalFormatting sqref="A13:F13">
    <cfRule type="expression" dxfId="351" priority="74">
      <formula>MOD(ROW(),2)=0</formula>
    </cfRule>
  </conditionalFormatting>
  <conditionalFormatting sqref="M13:N13">
    <cfRule type="expression" dxfId="350" priority="73">
      <formula>MOD(ROW(),2)=0</formula>
    </cfRule>
  </conditionalFormatting>
  <conditionalFormatting sqref="M13:N13">
    <cfRule type="expression" dxfId="349" priority="70">
      <formula>MOD(ROW(),2)=0</formula>
    </cfRule>
  </conditionalFormatting>
  <conditionalFormatting sqref="N13">
    <cfRule type="expression" dxfId="348" priority="71">
      <formula>MOD(ROW(),2)=0</formula>
    </cfRule>
  </conditionalFormatting>
  <conditionalFormatting sqref="F54">
    <cfRule type="expression" dxfId="347" priority="63">
      <formula>MOD(ROW(),2)=0</formula>
    </cfRule>
  </conditionalFormatting>
  <conditionalFormatting sqref="D54:E54">
    <cfRule type="expression" dxfId="346" priority="62">
      <formula>MOD(ROW(),2)=0</formula>
    </cfRule>
  </conditionalFormatting>
  <conditionalFormatting sqref="D8">
    <cfRule type="expression" dxfId="345" priority="61">
      <formula>MOD(ROW(),2)=0</formula>
    </cfRule>
  </conditionalFormatting>
  <conditionalFormatting sqref="D4">
    <cfRule type="expression" dxfId="344" priority="60">
      <formula>MOD(ROW(),2)=0</formula>
    </cfRule>
  </conditionalFormatting>
  <conditionalFormatting sqref="D12">
    <cfRule type="expression" dxfId="343" priority="59">
      <formula>MOD(ROW(),2)=0</formula>
    </cfRule>
  </conditionalFormatting>
  <conditionalFormatting sqref="D23">
    <cfRule type="expression" dxfId="342" priority="58">
      <formula>MOD(ROW(),2)=0</formula>
    </cfRule>
  </conditionalFormatting>
  <conditionalFormatting sqref="D59:D60">
    <cfRule type="expression" dxfId="341" priority="47">
      <formula>MOD(ROW(),2)=0</formula>
    </cfRule>
  </conditionalFormatting>
  <conditionalFormatting sqref="D37">
    <cfRule type="expression" dxfId="340" priority="57">
      <formula>MOD(ROW(),2)=0</formula>
    </cfRule>
  </conditionalFormatting>
  <conditionalFormatting sqref="D42 D44">
    <cfRule type="expression" dxfId="339" priority="56">
      <formula>MOD(ROW(),2)=0</formula>
    </cfRule>
  </conditionalFormatting>
  <conditionalFormatting sqref="D41">
    <cfRule type="expression" dxfId="338" priority="55">
      <formula>MOD(ROW(),2)=0</formula>
    </cfRule>
  </conditionalFormatting>
  <conditionalFormatting sqref="D45">
    <cfRule type="expression" dxfId="337" priority="54">
      <formula>MOD(ROW(),2)=0</formula>
    </cfRule>
  </conditionalFormatting>
  <conditionalFormatting sqref="D46">
    <cfRule type="expression" dxfId="336" priority="53">
      <formula>MOD(ROW(),2)=0</formula>
    </cfRule>
  </conditionalFormatting>
  <conditionalFormatting sqref="D47">
    <cfRule type="expression" dxfId="335" priority="52">
      <formula>MOD(ROW(),2)=0</formula>
    </cfRule>
  </conditionalFormatting>
  <conditionalFormatting sqref="D49">
    <cfRule type="expression" dxfId="334" priority="51">
      <formula>MOD(ROW(),2)=0</formula>
    </cfRule>
  </conditionalFormatting>
  <conditionalFormatting sqref="D61">
    <cfRule type="expression" dxfId="333" priority="50">
      <formula>MOD(ROW(),2)=0</formula>
    </cfRule>
  </conditionalFormatting>
  <conditionalFormatting sqref="D58">
    <cfRule type="expression" dxfId="332" priority="48">
      <formula>MOD(ROW(),2)=0</formula>
    </cfRule>
  </conditionalFormatting>
  <conditionalFormatting sqref="A24:F24">
    <cfRule type="expression" dxfId="331" priority="46">
      <formula>MOD(ROW(),2)=0</formula>
    </cfRule>
  </conditionalFormatting>
  <conditionalFormatting sqref="M24:N24">
    <cfRule type="expression" dxfId="330" priority="45">
      <formula>MOD(ROW(),2)=0</formula>
    </cfRule>
  </conditionalFormatting>
  <conditionalFormatting sqref="N24">
    <cfRule type="expression" dxfId="329" priority="42">
      <formula>MOD(ROW(),2)=0</formula>
    </cfRule>
  </conditionalFormatting>
  <conditionalFormatting sqref="M24:N24">
    <cfRule type="expression" dxfId="328" priority="41">
      <formula>MOD(ROW(),2)=0</formula>
    </cfRule>
  </conditionalFormatting>
  <conditionalFormatting sqref="A64:F64">
    <cfRule type="expression" dxfId="327" priority="34">
      <formula>MOD(ROW(),2)=0</formula>
    </cfRule>
  </conditionalFormatting>
  <conditionalFormatting sqref="G64:H64 M64:N64">
    <cfRule type="expression" dxfId="326" priority="33">
      <formula>MOD(ROW(),2)=0</formula>
    </cfRule>
  </conditionalFormatting>
  <conditionalFormatting sqref="A53:B53">
    <cfRule type="expression" dxfId="325" priority="32">
      <formula>MOD(ROW(),2)=0</formula>
    </cfRule>
  </conditionalFormatting>
  <conditionalFormatting sqref="G53:H53 M53:N53">
    <cfRule type="expression" dxfId="324" priority="31">
      <formula>MOD(ROW(),2)=0</formula>
    </cfRule>
  </conditionalFormatting>
  <conditionalFormatting sqref="A40:F40">
    <cfRule type="expression" dxfId="323" priority="30">
      <formula>MOD(ROW(),2)=0</formula>
    </cfRule>
  </conditionalFormatting>
  <conditionalFormatting sqref="G40:H40 M40:N40">
    <cfRule type="expression" dxfId="322" priority="29">
      <formula>MOD(ROW(),2)=0</formula>
    </cfRule>
  </conditionalFormatting>
  <conditionalFormatting sqref="A48:F48">
    <cfRule type="expression" dxfId="321" priority="28">
      <formula>MOD(ROW(),2)=0</formula>
    </cfRule>
  </conditionalFormatting>
  <conditionalFormatting sqref="A17:F17">
    <cfRule type="expression" dxfId="320" priority="27">
      <formula>MOD(ROW(),2)=0</formula>
    </cfRule>
  </conditionalFormatting>
  <conditionalFormatting sqref="G17:H17 M17:N17">
    <cfRule type="expression" dxfId="319" priority="26">
      <formula>MOD(ROW(),2)=0</formula>
    </cfRule>
  </conditionalFormatting>
  <conditionalFormatting sqref="B22:F22 C21:F21">
    <cfRule type="expression" dxfId="318" priority="25">
      <formula>MOD(ROW(),2)=0</formula>
    </cfRule>
  </conditionalFormatting>
  <conditionalFormatting sqref="G21:H22 M21:N22">
    <cfRule type="expression" dxfId="317" priority="24">
      <formula>MOD(ROW(),2)=0</formula>
    </cfRule>
  </conditionalFormatting>
  <conditionalFormatting sqref="G27:H27 M27:N27">
    <cfRule type="expression" dxfId="316" priority="20">
      <formula>MOD(ROW(),2)=0</formula>
    </cfRule>
  </conditionalFormatting>
  <conditionalFormatting sqref="A27:F27">
    <cfRule type="expression" dxfId="315" priority="23">
      <formula>MOD(ROW(),2)=0</formula>
    </cfRule>
  </conditionalFormatting>
  <conditionalFormatting sqref="A51:F51">
    <cfRule type="expression" dxfId="314" priority="22">
      <formula>MOD(ROW(),2)=0</formula>
    </cfRule>
  </conditionalFormatting>
  <conditionalFormatting sqref="A63:F63">
    <cfRule type="expression" dxfId="313" priority="21">
      <formula>MOD(ROW(),2)=0</formula>
    </cfRule>
  </conditionalFormatting>
  <conditionalFormatting sqref="A70:E70">
    <cfRule type="expression" dxfId="312" priority="19">
      <formula>MOD(ROW(),2)=0</formula>
    </cfRule>
  </conditionalFormatting>
  <conditionalFormatting sqref="A56:E56 A57">
    <cfRule type="expression" dxfId="311" priority="17">
      <formula>MOD(ROW(),2)=0</formula>
    </cfRule>
  </conditionalFormatting>
  <conditionalFormatting sqref="A6:F7">
    <cfRule type="expression" dxfId="310" priority="16">
      <formula>MOD(ROW(),2)=0</formula>
    </cfRule>
  </conditionalFormatting>
  <conditionalFormatting sqref="G6:J7">
    <cfRule type="expression" dxfId="309" priority="15">
      <formula>MOD(ROW(),2)=0</formula>
    </cfRule>
  </conditionalFormatting>
  <conditionalFormatting sqref="B57:E57">
    <cfRule type="expression" dxfId="308" priority="14">
      <formula>MOD(ROW(),2)=0</formula>
    </cfRule>
  </conditionalFormatting>
  <conditionalFormatting sqref="B5">
    <cfRule type="expression" dxfId="307" priority="13">
      <formula>MOD(ROW(),2)=0</formula>
    </cfRule>
  </conditionalFormatting>
  <conditionalFormatting sqref="C10">
    <cfRule type="expression" dxfId="306" priority="12">
      <formula>MOD(ROW(),2)=0</formula>
    </cfRule>
  </conditionalFormatting>
  <conditionalFormatting sqref="G10:J10 M10:N10">
    <cfRule type="expression" dxfId="305" priority="11">
      <formula>MOD(ROW(),2)=0</formula>
    </cfRule>
  </conditionalFormatting>
  <conditionalFormatting sqref="N10">
    <cfRule type="expression" dxfId="304" priority="10">
      <formula>MOD(ROW(),2)=0</formula>
    </cfRule>
  </conditionalFormatting>
  <conditionalFormatting sqref="M10:N10">
    <cfRule type="expression" dxfId="303" priority="9">
      <formula>MOD(ROW(),2)=0</formula>
    </cfRule>
  </conditionalFormatting>
  <conditionalFormatting sqref="B43">
    <cfRule type="expression" dxfId="302" priority="8">
      <formula>MOD(ROW(),2)=0</formula>
    </cfRule>
  </conditionalFormatting>
  <conditionalFormatting sqref="C43">
    <cfRule type="expression" dxfId="301" priority="7">
      <formula>MOD(ROW(),2)=0</formula>
    </cfRule>
  </conditionalFormatting>
  <conditionalFormatting sqref="D43:E43">
    <cfRule type="expression" dxfId="300" priority="6">
      <formula>MOD(ROW(),2)=0</formula>
    </cfRule>
  </conditionalFormatting>
  <conditionalFormatting sqref="G43:J43 M43:N43">
    <cfRule type="expression" dxfId="299" priority="5">
      <formula>MOD(ROW(),2)=0</formula>
    </cfRule>
  </conditionalFormatting>
  <conditionalFormatting sqref="B21">
    <cfRule type="expression" dxfId="298" priority="4">
      <formula>MOD(ROW(),2)=0</formula>
    </cfRule>
  </conditionalFormatting>
  <conditionalFormatting sqref="A21:A22">
    <cfRule type="expression" dxfId="297" priority="3">
      <formula>MOD(ROW(),2)=0</formula>
    </cfRule>
  </conditionalFormatting>
  <conditionalFormatting sqref="G57:J57 M57:N57">
    <cfRule type="expression" dxfId="296" priority="2">
      <formula>MOD(ROW(),2)=0</formula>
    </cfRule>
  </conditionalFormatting>
  <conditionalFormatting sqref="I69:L70">
    <cfRule type="expression" dxfId="295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94" priority="13">
      <formula>MOD(ROW(),2)=0</formula>
    </cfRule>
  </conditionalFormatting>
  <conditionalFormatting sqref="AE40">
    <cfRule type="expression" dxfId="293" priority="12">
      <formula>MOD(ROW(),2)=0</formula>
    </cfRule>
  </conditionalFormatting>
  <conditionalFormatting sqref="AE42">
    <cfRule type="expression" dxfId="292" priority="11">
      <formula>MOD(ROW(),2)=0</formula>
    </cfRule>
  </conditionalFormatting>
  <conditionalFormatting sqref="B48:B49">
    <cfRule type="expression" dxfId="291" priority="5">
      <formula>MOD(ROW(),2)=0</formula>
    </cfRule>
  </conditionalFormatting>
  <conditionalFormatting sqref="AD5:AE5">
    <cfRule type="expression" dxfId="290" priority="4">
      <formula>MOD(ROW(),2)=0</formula>
    </cfRule>
  </conditionalFormatting>
  <conditionalFormatting sqref="AD41">
    <cfRule type="expression" dxfId="289" priority="3">
      <formula>MOD(ROW(),2)=0</formula>
    </cfRule>
  </conditionalFormatting>
  <conditionalFormatting sqref="AE41">
    <cfRule type="expression" dxfId="288" priority="2">
      <formula>MOD(ROW(),2)=0</formula>
    </cfRule>
  </conditionalFormatting>
  <conditionalFormatting sqref="AD20:AE20">
    <cfRule type="expression" dxfId="287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6" priority="28">
      <formula>MOD(ROW(),2)=0</formula>
    </cfRule>
  </conditionalFormatting>
  <conditionalFormatting sqref="AC47">
    <cfRule type="expression" dxfId="285" priority="27">
      <formula>MOD(ROW(),2)=0</formula>
    </cfRule>
  </conditionalFormatting>
  <conditionalFormatting sqref="AC49">
    <cfRule type="expression" dxfId="284" priority="26">
      <formula>MOD(ROW(),2)=0</formula>
    </cfRule>
  </conditionalFormatting>
  <conditionalFormatting sqref="A30:C30 F30">
    <cfRule type="expression" dxfId="283" priority="25">
      <formula>MOD(ROW(),2)=0</formula>
    </cfRule>
  </conditionalFormatting>
  <conditionalFormatting sqref="A14:F14 A15:C15 E15:F15">
    <cfRule type="expression" dxfId="282" priority="23">
      <formula>MOD(ROW(),2)=0</formula>
    </cfRule>
  </conditionalFormatting>
  <conditionalFormatting sqref="D30:E30">
    <cfRule type="expression" dxfId="281" priority="22">
      <formula>MOD(ROW(),2)=0</formula>
    </cfRule>
  </conditionalFormatting>
  <conditionalFormatting sqref="A58:F58">
    <cfRule type="expression" dxfId="280" priority="20">
      <formula>MOD(ROW(),2)=0</formula>
    </cfRule>
  </conditionalFormatting>
  <conditionalFormatting sqref="B55:B56">
    <cfRule type="expression" dxfId="279" priority="19">
      <formula>MOD(ROW(),2)=0</formula>
    </cfRule>
  </conditionalFormatting>
  <conditionalFormatting sqref="AB6:AC6">
    <cfRule type="expression" dxfId="278" priority="15">
      <formula>MOD(ROW(),2)=0</formula>
    </cfRule>
  </conditionalFormatting>
  <conditionalFormatting sqref="AB48">
    <cfRule type="expression" dxfId="277" priority="14">
      <formula>MOD(ROW(),2)=0</formula>
    </cfRule>
  </conditionalFormatting>
  <conditionalFormatting sqref="AC48">
    <cfRule type="expression" dxfId="276" priority="13">
      <formula>MOD(ROW(),2)=0</formula>
    </cfRule>
  </conditionalFormatting>
  <conditionalFormatting sqref="D6">
    <cfRule type="expression" dxfId="275" priority="12">
      <formula>MOD(ROW(),2)=0</formula>
    </cfRule>
  </conditionalFormatting>
  <conditionalFormatting sqref="D9">
    <cfRule type="expression" dxfId="274" priority="11">
      <formula>MOD(ROW(),2)=0</formula>
    </cfRule>
  </conditionalFormatting>
  <conditionalFormatting sqref="D15">
    <cfRule type="expression" dxfId="273" priority="10">
      <formula>MOD(ROW(),2)=0</formula>
    </cfRule>
  </conditionalFormatting>
  <conditionalFormatting sqref="D28">
    <cfRule type="expression" dxfId="272" priority="9">
      <formula>MOD(ROW(),2)=0</formula>
    </cfRule>
  </conditionalFormatting>
  <conditionalFormatting sqref="D41">
    <cfRule type="expression" dxfId="271" priority="8">
      <formula>MOD(ROW(),2)=0</formula>
    </cfRule>
  </conditionalFormatting>
  <conditionalFormatting sqref="D46">
    <cfRule type="expression" dxfId="270" priority="7">
      <formula>MOD(ROW(),2)=0</formula>
    </cfRule>
  </conditionalFormatting>
  <conditionalFormatting sqref="D49">
    <cfRule type="expression" dxfId="269" priority="6">
      <formula>MOD(ROW(),2)=0</formula>
    </cfRule>
  </conditionalFormatting>
  <conditionalFormatting sqref="D60:D63">
    <cfRule type="expression" dxfId="268" priority="1">
      <formula>MOD(ROW(),2)=0</formula>
    </cfRule>
  </conditionalFormatting>
  <conditionalFormatting sqref="D50:D51">
    <cfRule type="expression" dxfId="267" priority="5">
      <formula>MOD(ROW(),2)=0</formula>
    </cfRule>
  </conditionalFormatting>
  <conditionalFormatting sqref="D52">
    <cfRule type="expression" dxfId="266" priority="4">
      <formula>MOD(ROW(),2)=0</formula>
    </cfRule>
  </conditionalFormatting>
  <conditionalFormatting sqref="D59">
    <cfRule type="expression" dxfId="265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4" priority="24">
      <formula>MOD(ROW(),2)=0</formula>
    </cfRule>
  </conditionalFormatting>
  <conditionalFormatting sqref="AC47">
    <cfRule type="expression" dxfId="263" priority="23">
      <formula>MOD(ROW(),2)=0</formula>
    </cfRule>
  </conditionalFormatting>
  <conditionalFormatting sqref="AC48">
    <cfRule type="expression" dxfId="262" priority="22">
      <formula>MOD(ROW(),2)=0</formula>
    </cfRule>
  </conditionalFormatting>
  <conditionalFormatting sqref="A29:C29 F29">
    <cfRule type="expression" dxfId="261" priority="21">
      <formula>MOD(ROW(),2)=0</formula>
    </cfRule>
  </conditionalFormatting>
  <conditionalFormatting sqref="AC59">
    <cfRule type="expression" dxfId="260" priority="20">
      <formula>MOD(ROW(),2)=0</formula>
    </cfRule>
  </conditionalFormatting>
  <conditionalFormatting sqref="A13:F13 A14:C14 E14:F14">
    <cfRule type="expression" dxfId="259" priority="19">
      <formula>MOD(ROW(),2)=0</formula>
    </cfRule>
  </conditionalFormatting>
  <conditionalFormatting sqref="D29:E29">
    <cfRule type="expression" dxfId="258" priority="18">
      <formula>MOD(ROW(),2)=0</formula>
    </cfRule>
  </conditionalFormatting>
  <conditionalFormatting sqref="A53:B53 F53">
    <cfRule type="expression" dxfId="257" priority="15">
      <formula>MOD(ROW(),2)=0</formula>
    </cfRule>
  </conditionalFormatting>
  <conditionalFormatting sqref="A57:F57">
    <cfRule type="expression" dxfId="256" priority="14">
      <formula>MOD(ROW(),2)=0</formula>
    </cfRule>
  </conditionalFormatting>
  <conditionalFormatting sqref="B54:B55">
    <cfRule type="expression" dxfId="255" priority="13">
      <formula>MOD(ROW(),2)=0</formula>
    </cfRule>
  </conditionalFormatting>
  <conditionalFormatting sqref="D53:E53 C54:E55">
    <cfRule type="expression" dxfId="254" priority="12">
      <formula>MOD(ROW(),2)=0</formula>
    </cfRule>
  </conditionalFormatting>
  <conditionalFormatting sqref="D58:D61">
    <cfRule type="expression" dxfId="253" priority="1">
      <formula>MOD(ROW(),2)=0</formula>
    </cfRule>
  </conditionalFormatting>
  <conditionalFormatting sqref="D8">
    <cfRule type="expression" dxfId="252" priority="10">
      <formula>MOD(ROW(),2)=0</formula>
    </cfRule>
  </conditionalFormatting>
  <conditionalFormatting sqref="D14">
    <cfRule type="expression" dxfId="251" priority="9">
      <formula>MOD(ROW(),2)=0</formula>
    </cfRule>
  </conditionalFormatting>
  <conditionalFormatting sqref="D27">
    <cfRule type="expression" dxfId="250" priority="8">
      <formula>MOD(ROW(),2)=0</formula>
    </cfRule>
  </conditionalFormatting>
  <conditionalFormatting sqref="D41">
    <cfRule type="expression" dxfId="249" priority="7">
      <formula>MOD(ROW(),2)=0</formula>
    </cfRule>
  </conditionalFormatting>
  <conditionalFormatting sqref="D47:D48">
    <cfRule type="expression" dxfId="248" priority="6">
      <formula>MOD(ROW(),2)=0</formula>
    </cfRule>
  </conditionalFormatting>
  <conditionalFormatting sqref="D46">
    <cfRule type="expression" dxfId="247" priority="5">
      <formula>MOD(ROW(),2)=0</formula>
    </cfRule>
  </conditionalFormatting>
  <conditionalFormatting sqref="D49">
    <cfRule type="expression" dxfId="246" priority="4">
      <formula>MOD(ROW(),2)=0</formula>
    </cfRule>
  </conditionalFormatting>
  <conditionalFormatting sqref="D50">
    <cfRule type="expression" dxfId="245" priority="3">
      <formula>MOD(ROW(),2)=0</formula>
    </cfRule>
  </conditionalFormatting>
  <conditionalFormatting sqref="D51">
    <cfRule type="expression" dxfId="244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13" zoomScaleNormal="100" workbookViewId="0">
      <selection activeCell="AE27" sqref="AE2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1" customWidth="1" collapsed="1"/>
    <col min="16" max="16" width="12.140625" style="1" hidden="1" customWidth="1" outlineLevel="1"/>
    <col min="17" max="17" width="10.5703125" style="1" hidden="1" customWidth="1" outlineLevel="1"/>
    <col min="18" max="18" width="10.5703125" style="131" customWidth="1" collapsed="1"/>
    <col min="19" max="20" width="10.5703125" style="1" hidden="1" customWidth="1" outlineLevel="1"/>
    <col min="21" max="21" width="10.5703125" style="131" customWidth="1" collapsed="1"/>
    <col min="22" max="22" width="10.5703125" hidden="1" customWidth="1" outlineLevel="1"/>
    <col min="23" max="23" width="9.140625" hidden="1" customWidth="1" outlineLevel="1"/>
    <col min="24" max="24" width="8.5703125" customWidth="1" collapsed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4">
        <f>IFERROR(VLOOKUP($A$3:$A$139,'APR-2026'!$A$4:$ABX$112,MATCH('FY-(26-27)Q1'!$G$2:$H$2,'APR-2026'!$A$2:$BY$2,0),0),0)</f>
        <v>1.1000000000000001</v>
      </c>
      <c r="I4" s="152">
        <f>IFERROR(VLOOKUP($A$3:$A$139,'MAY-2026'!$A$4:$ACP$113,MATCH('FY-(26-27)Q1'!$I$2:$J$2,'MAY-2026'!$A$2:$CQ$2,0),0),0)</f>
        <v>-198725</v>
      </c>
      <c r="J4" s="154">
        <f>IFERROR(VLOOKUP($A$3:$A$139,'MAY-2026'!$A$4:$ACP$113,MATCH('FY-(26-27)Q1'!$I$2:$J$2,'MAY-2026'!$A$2:$CQ$2,0),0),0)</f>
        <v>-0.66241666666666665</v>
      </c>
      <c r="K4" s="152">
        <f>IFERROR(VLOOKUP($A$3:$A$139,'JUNE-2026'!$A$4:$ADJ$113,MATCH('FY-(26-27)Q1'!$K$2:$L$2,'JUNE-2026'!$A$2:$DK$2,0),0),0)</f>
        <v>50000</v>
      </c>
      <c r="L4" s="154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IFERROR(VLOOKUP($A$3:$A$139,'FY-(26-27)Q2'!$A$4:$ABW$124,MATCH('FY-(26-27)Q1'!$P$2:$Q$2,'FY-(26-27)Q2'!$A$2:$BX$2,0),0),0)</f>
        <v>0</v>
      </c>
      <c r="Q4" s="154">
        <f>IFERROR(VLOOKUP($A$3:$A$139,'FY-(26-27)Q2'!$A$4:$ABW$124,MATCH('FY-(26-27)Q1'!$P$2:$Q$2,'FY-(26-27)Q2'!$A$2:$BX$2,0),0),0)</f>
        <v>0</v>
      </c>
      <c r="R4" s="158"/>
      <c r="S4" s="152">
        <f>IFERROR(VLOOKUP($A$3:$A$139,'FY-(26-27)Q3'!$A$4:$ABW$115,MATCH('FY-(26-27)Q1'!$S$2:$T$2,'FY-(26-27)Q3'!$A$2:$BX$2,0),0),0)</f>
        <v>0</v>
      </c>
      <c r="T4" s="154">
        <f>IFERROR(VLOOKUP($A$3:$A$139,'FY-(26-27)Q3'!$A$4:$ABW$115,MATCH('FY-(26-27)Q1'!$S$2:$T$3,'FY-(26-27)Q3'!$A$2:$BX$2,0),0),0)</f>
        <v>0</v>
      </c>
      <c r="U4" s="216"/>
      <c r="V4" s="71"/>
      <c r="W4" s="72"/>
      <c r="Y4" s="89">
        <f t="shared" ref="Y4:Y38" si="0">M4+P4+S4+V4</f>
        <v>181275</v>
      </c>
      <c r="Z4" s="167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IFERROR(VLOOKUP($A$3:$A$139,'APR-2026'!$A$4:$ABX$112,MATCH('FY-(26-27)Q1'!$G$2:$H$2,'APR-2026'!$A$2:$BY$2,0),0),0)</f>
        <v>-21500</v>
      </c>
      <c r="H5" s="154">
        <f>IFERROR(VLOOKUP($A$3:$A$139,'APR-2026'!$A$4:$ABX$112,MATCH('FY-(26-27)Q1'!$G$2:$H$2,'APR-2026'!$A$2:$BY$2,0),0),0)</f>
        <v>-7.166666666666667E-2</v>
      </c>
      <c r="I5" s="152">
        <f>IFERROR(VLOOKUP($A$3:$A$139,'MAY-2026'!$A$4:$ACP$113,MATCH('FY-(26-27)Q1'!$I$2:$J$2,'MAY-2026'!$A$2:$CQ$2,0),0),0)</f>
        <v>2411</v>
      </c>
      <c r="J5" s="154">
        <f>IFERROR(VLOOKUP($A$3:$A$139,'MAY-2026'!$A$4:$ACP$113,MATCH('FY-(26-27)Q1'!$I$2:$J$2,'MAY-2026'!$A$2:$CQ$2,0),0),0)</f>
        <v>8.0366666666666659E-3</v>
      </c>
      <c r="K5" s="152">
        <f>IFERROR(VLOOKUP($A$3:$A$139,'JUNE-2026'!$A$4:$ADJ$113,MATCH('FY-(26-27)Q1'!$K$2:$L$2,'JUNE-2026'!$A$2:$DK$2,0),0),0)</f>
        <v>0</v>
      </c>
      <c r="L5" s="154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5">
        <f t="shared" ref="N5:N74" si="3">H5+J5+L5</f>
        <v>-6.3630000000000006E-2</v>
      </c>
      <c r="O5" s="214"/>
      <c r="P5" s="152">
        <f>IFERROR(VLOOKUP($A$3:$A$139,'FY-(26-27)Q2'!$A$4:$ABW$124,MATCH('FY-(26-27)Q1'!$P$2:$Q$2,'FY-(26-27)Q2'!$A$2:$BX$2,0),0),0)</f>
        <v>0</v>
      </c>
      <c r="Q5" s="154">
        <f>IFERROR(VLOOKUP($A$3:$A$139,'FY-(26-27)Q2'!$A$4:$ABW$124,MATCH('FY-(26-27)Q1'!$P$2:$Q$2,'FY-(26-27)Q2'!$A$2:$BX$2,0),0),0)</f>
        <v>0</v>
      </c>
      <c r="R5" s="158"/>
      <c r="S5" s="152">
        <f>IFERROR(VLOOKUP($A$3:$A$139,'FY-(26-27)Q3'!$A$4:$ABW$115,MATCH('FY-(26-27)Q1'!$S$2:$T$2,'FY-(26-27)Q3'!$A$2:$BX$2,0),0),0)</f>
        <v>0</v>
      </c>
      <c r="T5" s="154">
        <f>IFERROR(VLOOKUP($A$3:$A$139,'FY-(26-27)Q3'!$A$4:$ABW$115,MATCH('FY-(26-27)Q1'!$S$2:$T$3,'FY-(26-27)Q3'!$A$2:$BX$2,0),0),0)</f>
        <v>0</v>
      </c>
      <c r="U5" s="216"/>
      <c r="V5" s="71"/>
      <c r="W5" s="72"/>
      <c r="Y5" s="153">
        <f t="shared" si="0"/>
        <v>-19089</v>
      </c>
      <c r="Z5" s="167">
        <f t="shared" si="1"/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IFERROR(VLOOKUP($A$3:$A$139,'APR-2026'!$A$4:$ABX$112,MATCH('FY-(26-27)Q1'!$G$2:$H$2,'APR-2026'!$A$2:$BY$2,0),0),0)</f>
        <v>0</v>
      </c>
      <c r="H6" s="154">
        <f>IFERROR(VLOOKUP($A$3:$A$139,'APR-2026'!$A$4:$ABX$112,MATCH('FY-(26-27)Q1'!$G$2:$H$2,'APR-2026'!$A$2:$BY$2,0),0),0)</f>
        <v>0</v>
      </c>
      <c r="I6" s="152">
        <f>IFERROR(VLOOKUP($A$3:$A$139,'MAY-2026'!$A$4:$ACP$113,MATCH('FY-(26-27)Q1'!$I$2:$J$2,'MAY-2026'!$A$2:$CQ$2,0),0),0)</f>
        <v>-44821</v>
      </c>
      <c r="J6" s="154">
        <f>IFERROR(VLOOKUP($A$3:$A$139,'MAY-2026'!$A$4:$ACP$113,MATCH('FY-(26-27)Q1'!$I$2:$J$2,'MAY-2026'!$A$2:$CQ$2,0),0),0)</f>
        <v>-0.89641999999999999</v>
      </c>
      <c r="K6" s="152">
        <f>IFERROR(VLOOKUP($A$3:$A$139,'JUNE-2026'!$A$4:$ADJ$113,MATCH('FY-(26-27)Q1'!$K$2:$L$2,'JUNE-2026'!$A$2:$DK$2,0),0),0)</f>
        <v>-3515</v>
      </c>
      <c r="L6" s="154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5">
        <f t="shared" ref="N6" si="5">H6+J6+L6</f>
        <v>-0.96672000000000002</v>
      </c>
      <c r="O6" s="214"/>
      <c r="P6" s="152">
        <f>IFERROR(VLOOKUP($A$3:$A$139,'FY-(26-27)Q2'!$A$4:$ABW$124,MATCH('FY-(26-27)Q1'!$P$2:$Q$2,'FY-(26-27)Q2'!$A$2:$BX$2,0),0),0)</f>
        <v>-504138</v>
      </c>
      <c r="Q6" s="154">
        <f>IFERROR(VLOOKUP($A$3:$A$139,'FY-(26-27)Q2'!$A$4:$ABW$124,MATCH('FY-(26-27)Q1'!$P$2:$Q$2,'FY-(26-27)Q2'!$A$2:$BX$2,0),0),0)</f>
        <v>-10.08276</v>
      </c>
      <c r="R6" s="158"/>
      <c r="S6" s="152">
        <f>IFERROR(VLOOKUP($A$3:$A$139,'FY-(26-27)Q3'!$A$4:$ABW$115,MATCH('FY-(26-27)Q1'!$S$2:$T$2,'FY-(26-27)Q3'!$A$2:$BX$2,0),0),0)</f>
        <v>124251</v>
      </c>
      <c r="T6" s="154">
        <f>IFERROR(VLOOKUP($A$3:$A$139,'FY-(26-27)Q3'!$A$4:$ABW$115,MATCH('FY-(26-27)Q1'!$S$2:$T$3,'FY-(26-27)Q3'!$A$2:$BX$2,0),0),0)</f>
        <v>0</v>
      </c>
      <c r="U6" s="216"/>
      <c r="V6" s="71"/>
      <c r="W6" s="149"/>
      <c r="X6" s="131"/>
      <c r="Y6" s="153">
        <f t="shared" si="0"/>
        <v>-428223</v>
      </c>
      <c r="Z6" s="167">
        <f t="shared" si="1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IFERROR(VLOOKUP($A$3:$A$139,'APR-2026'!$A$4:$ABX$112,MATCH('FY-(26-27)Q1'!$G$2:$H$2,'APR-2026'!$A$2:$BY$2,0),0),0)</f>
        <v>602695</v>
      </c>
      <c r="H7" s="154">
        <f>IFERROR(VLOOKUP($A$3:$A$139,'APR-2026'!$A$4:$ABX$112,MATCH('FY-(26-27)Q1'!$G$2:$H$2,'APR-2026'!$A$2:$BY$2,0),0),0)</f>
        <v>2.0089833333333336</v>
      </c>
      <c r="I7" s="152">
        <f>IFERROR(VLOOKUP($A$3:$A$139,'MAY-2026'!$A$4:$ACP$113,MATCH('FY-(26-27)Q1'!$I$2:$J$2,'MAY-2026'!$A$2:$CQ$2,0),0),0)</f>
        <v>-40749</v>
      </c>
      <c r="J7" s="154">
        <f>IFERROR(VLOOKUP($A$3:$A$139,'MAY-2026'!$A$4:$ACP$113,MATCH('FY-(26-27)Q1'!$I$2:$J$2,'MAY-2026'!$A$2:$CQ$2,0),0),0)</f>
        <v>-0.13583000000000001</v>
      </c>
      <c r="K7" s="152">
        <f>IFERROR(VLOOKUP($A$3:$A$139,'JUNE-2026'!$A$4:$ADJ$113,MATCH('FY-(26-27)Q1'!$K$2:$L$2,'JUNE-2026'!$A$2:$DK$2,0),0),0)</f>
        <v>772328</v>
      </c>
      <c r="L7" s="154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IFERROR(VLOOKUP($A$3:$A$139,'FY-(26-27)Q2'!$A$4:$ABW$124,MATCH('FY-(26-27)Q1'!$P$2:$Q$2,'FY-(26-27)Q2'!$A$2:$BX$2,0),0),0)</f>
        <v>-92060</v>
      </c>
      <c r="Q7" s="154">
        <f>IFERROR(VLOOKUP($A$3:$A$139,'FY-(26-27)Q2'!$A$4:$ABW$124,MATCH('FY-(26-27)Q1'!$P$2:$Q$2,'FY-(26-27)Q2'!$A$2:$BX$2,0),0),0)</f>
        <v>-0.30686666666666662</v>
      </c>
      <c r="R7" s="158"/>
      <c r="S7" s="152">
        <f>IFERROR(VLOOKUP($A$3:$A$139,'FY-(26-27)Q3'!$A$4:$ABW$115,MATCH('FY-(26-27)Q1'!$S$2:$T$2,'FY-(26-27)Q3'!$A$2:$BX$2,0),0),0)</f>
        <v>373921</v>
      </c>
      <c r="T7" s="154">
        <f>IFERROR(VLOOKUP($A$3:$A$139,'FY-(26-27)Q3'!$A$4:$ABW$115,MATCH('FY-(26-27)Q1'!$S$2:$T$3,'FY-(26-27)Q3'!$A$2:$BX$2,0),0),0)</f>
        <v>0</v>
      </c>
      <c r="U7" s="158"/>
      <c r="V7" s="45"/>
      <c r="W7" s="72"/>
      <c r="X7"/>
      <c r="Y7" s="153">
        <f t="shared" si="0"/>
        <v>1616135</v>
      </c>
      <c r="Z7" s="167">
        <f t="shared" si="1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IFERROR(VLOOKUP($A$3:$A$139,'APR-2026'!$A$4:$ABX$112,MATCH('FY-(26-27)Q1'!$G$2:$H$2,'APR-2026'!$A$2:$BY$2,0),0),0)</f>
        <v>-115177</v>
      </c>
      <c r="H8" s="154">
        <f>IFERROR(VLOOKUP($A$3:$A$139,'APR-2026'!$A$4:$ABX$112,MATCH('FY-(26-27)Q1'!$G$2:$H$2,'APR-2026'!$A$2:$BY$2,0),0),0)</f>
        <v>-1.15177</v>
      </c>
      <c r="I8" s="152">
        <f>IFERROR(VLOOKUP($A$3:$A$139,'MAY-2026'!$A$4:$ACP$113,MATCH('FY-(26-27)Q1'!$I$2:$J$2,'MAY-2026'!$A$2:$CQ$2,0),0),0)</f>
        <v>-270250</v>
      </c>
      <c r="J8" s="154">
        <f>IFERROR(VLOOKUP($A$3:$A$139,'MAY-2026'!$A$4:$ACP$113,MATCH('FY-(26-27)Q1'!$I$2:$J$2,'MAY-2026'!$A$2:$CQ$2,0),0),0)</f>
        <v>-2.7025000000000001</v>
      </c>
      <c r="K8" s="152">
        <f>IFERROR(VLOOKUP($A$3:$A$139,'JUNE-2026'!$A$4:$ADJ$113,MATCH('FY-(26-27)Q1'!$K$2:$L$2,'JUNE-2026'!$A$2:$DK$2,0),0),0)</f>
        <v>0</v>
      </c>
      <c r="L8" s="154">
        <f>IFERROR(VLOOKUP($A$3:$A$139,'JUNE-2026'!$A$4:$ADJ$113,MATCH('FY-(26-27)Q1'!$K$2:$L$2,'JUNE-2026'!$A$2:$DK$2,0),0),0)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IFERROR(VLOOKUP($A$3:$A$139,'FY-(26-27)Q2'!$A$4:$ABW$124,MATCH('FY-(26-27)Q1'!$P$2:$Q$2,'FY-(26-27)Q2'!$A$2:$BX$2,0),0),0)</f>
        <v>109355</v>
      </c>
      <c r="Q8" s="154">
        <f>IFERROR(VLOOKUP($A$3:$A$139,'FY-(26-27)Q2'!$A$4:$ABW$124,MATCH('FY-(26-27)Q1'!$P$2:$Q$2,'FY-(26-27)Q2'!$A$2:$BX$2,0),0),0)</f>
        <v>1.09355</v>
      </c>
      <c r="R8" s="158"/>
      <c r="S8" s="152">
        <f>IFERROR(VLOOKUP($A$3:$A$139,'FY-(26-27)Q3'!$A$4:$ABW$115,MATCH('FY-(26-27)Q1'!$S$2:$T$2,'FY-(26-27)Q3'!$A$2:$BX$2,0),0),0)</f>
        <v>0</v>
      </c>
      <c r="T8" s="154">
        <f>IFERROR(VLOOKUP($A$3:$A$139,'FY-(26-27)Q3'!$A$4:$ABW$115,MATCH('FY-(26-27)Q1'!$S$2:$T$3,'FY-(26-27)Q3'!$A$2:$BX$2,0),0),0)</f>
        <v>0</v>
      </c>
      <c r="U8" s="158"/>
      <c r="V8" s="143"/>
      <c r="W8" s="149"/>
      <c r="X8" s="1"/>
      <c r="Y8" s="153">
        <f t="shared" si="0"/>
        <v>-276072</v>
      </c>
      <c r="Z8" s="167">
        <f t="shared" si="1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/>
      <c r="H9" s="154"/>
      <c r="I9" s="152"/>
      <c r="J9" s="154"/>
      <c r="K9" s="152"/>
      <c r="L9" s="154"/>
      <c r="M9" s="71"/>
      <c r="N9" s="165"/>
      <c r="O9" s="214"/>
      <c r="P9" s="152">
        <f>IFERROR(VLOOKUP($A$3:$A$139,'FY-(26-27)Q2'!$A$4:$ABW$124,MATCH('FY-(26-27)Q1'!$P$2:$Q$2,'FY-(26-27)Q2'!$A$2:$BX$2,0),0),0)</f>
        <v>-136386</v>
      </c>
      <c r="Q9" s="154">
        <f>IFERROR(VLOOKUP($A$3:$A$139,'FY-(26-27)Q2'!$A$4:$ABW$124,MATCH('FY-(26-27)Q1'!$P$2:$Q$2,'FY-(26-27)Q2'!$A$2:$BX$2,0),0),0)</f>
        <v>-1.07396</v>
      </c>
      <c r="R9" s="158"/>
      <c r="S9" s="152">
        <f>IFERROR(VLOOKUP($A$3:$A$139,'FY-(26-27)Q3'!$A$4:$ABW$115,MATCH('FY-(26-27)Q1'!$S$2:$T$2,'FY-(26-27)Q3'!$A$2:$BX$2,0),0),0)</f>
        <v>247837</v>
      </c>
      <c r="T9" s="154">
        <f>IFERROR(VLOOKUP($A$3:$A$139,'FY-(26-27)Q3'!$A$4:$ABW$115,MATCH('FY-(26-27)Q1'!$S$2:$T$3,'FY-(26-27)Q3'!$A$2:$BX$2,0),0),0)</f>
        <v>0</v>
      </c>
      <c r="U9" s="158"/>
      <c r="V9" s="143"/>
      <c r="W9" s="149"/>
      <c r="Y9" s="153">
        <f t="shared" ref="Y9" si="6">M9+P9+S9+V9</f>
        <v>111451</v>
      </c>
      <c r="Z9" s="167">
        <f t="shared" ref="Z9" si="7">(N9+Q9+T9+W9)</f>
        <v>-1.07396</v>
      </c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59" t="s">
        <v>258</v>
      </c>
      <c r="E10" s="38" t="s">
        <v>256</v>
      </c>
      <c r="F10" s="116">
        <v>3</v>
      </c>
      <c r="G10" s="152">
        <f>IFERROR(VLOOKUP($A$3:$A$139,'APR-2026'!$A$4:$ABX$112,MATCH('FY-(26-27)Q1'!$G$2:$H$2,'APR-2026'!$A$2:$BY$2,0),0),0)</f>
        <v>-86659</v>
      </c>
      <c r="H10" s="154">
        <f>IFERROR(VLOOKUP($A$3:$A$139,'APR-2026'!$A$4:$ABX$112,MATCH('FY-(26-27)Q1'!$G$2:$H$2,'APR-2026'!$A$2:$BY$2,0),0),0)</f>
        <v>-1.7331799999999999</v>
      </c>
      <c r="I10" s="152">
        <f>IFERROR(VLOOKUP($A$3:$A$139,'MAY-2026'!$A$4:$ACP$113,MATCH('FY-(26-27)Q1'!$I$2:$J$2,'MAY-2026'!$A$2:$CQ$2,0),0),0)</f>
        <v>165574</v>
      </c>
      <c r="J10" s="154">
        <f>IFERROR(VLOOKUP($A$3:$A$139,'MAY-2026'!$A$4:$ACP$113,MATCH('FY-(26-27)Q1'!$I$2:$J$2,'MAY-2026'!$A$2:$CQ$2,0),0),0)</f>
        <v>0.55191333333333337</v>
      </c>
      <c r="K10" s="152">
        <f>IFERROR(VLOOKUP($A$3:$A$139,'JUNE-2026'!$A$4:$ADJ$113,MATCH('FY-(26-27)Q1'!$K$2:$L$2,'JUNE-2026'!$A$2:$DK$2,0),0),0)</f>
        <v>-437824</v>
      </c>
      <c r="L10" s="154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5">
        <f t="shared" si="3"/>
        <v>-2.6406800000000001</v>
      </c>
      <c r="O10" s="214"/>
      <c r="P10" s="152">
        <f>IFERROR(VLOOKUP($A$3:$A$139,'FY-(26-27)Q2'!$A$4:$ABW$124,MATCH('FY-(26-27)Q1'!$P$2:$Q$2,'FY-(26-27)Q2'!$A$2:$BX$2,0),0),0)</f>
        <v>-817158</v>
      </c>
      <c r="Q10" s="154">
        <f>IFERROR(VLOOKUP($A$3:$A$139,'FY-(26-27)Q2'!$A$4:$ABW$124,MATCH('FY-(26-27)Q1'!$P$2:$Q$2,'FY-(26-27)Q2'!$A$2:$BX$2,0),0),0)</f>
        <v>-2.7238600000000002</v>
      </c>
      <c r="R10" s="158"/>
      <c r="S10" s="152">
        <f>IFERROR(VLOOKUP($A$3:$A$139,'FY-(26-27)Q3'!$A$4:$ABW$115,MATCH('FY-(26-27)Q1'!$S$2:$T$2,'FY-(26-27)Q3'!$A$2:$BX$2,0),0),0)</f>
        <v>-4882</v>
      </c>
      <c r="T10" s="154">
        <f>IFERROR(VLOOKUP($A$3:$A$139,'FY-(26-27)Q3'!$A$4:$ABW$115,MATCH('FY-(26-27)Q1'!$S$2:$T$3,'FY-(26-27)Q3'!$A$2:$BX$2,0),0),0)</f>
        <v>0</v>
      </c>
      <c r="U10" s="158"/>
      <c r="V10" s="45"/>
      <c r="W10" s="72"/>
      <c r="Y10" s="153">
        <f t="shared" si="0"/>
        <v>-1180949</v>
      </c>
      <c r="Z10" s="167">
        <f t="shared" si="1"/>
        <v>-5.3645399999999999</v>
      </c>
    </row>
    <row r="11" spans="1:26" s="131" customFormat="1" ht="15" customHeight="1" x14ac:dyDescent="0.25">
      <c r="A11" s="141" t="s">
        <v>217</v>
      </c>
      <c r="B11" s="140" t="s">
        <v>133</v>
      </c>
      <c r="C11" s="140" t="s">
        <v>96</v>
      </c>
      <c r="D11" s="38" t="s">
        <v>116</v>
      </c>
      <c r="E11" s="38" t="s">
        <v>256</v>
      </c>
      <c r="F11" s="155">
        <v>1.5</v>
      </c>
      <c r="G11" s="152">
        <f>IFERROR(VLOOKUP($A$3:$A$139,'APR-2026'!$A$4:$ABX$112,MATCH('FY-(26-27)Q1'!$G$2:$H$2,'APR-2026'!$A$2:$BY$2,0),0),0)</f>
        <v>0</v>
      </c>
      <c r="H11" s="154">
        <f>IFERROR(VLOOKUP($A$3:$A$139,'APR-2026'!$A$4:$ABX$112,MATCH('FY-(26-27)Q1'!$G$2:$H$2,'APR-2026'!$A$2:$BY$2,0),0),0)</f>
        <v>0</v>
      </c>
      <c r="I11" s="152">
        <f>IFERROR(VLOOKUP($A$3:$A$139,'MAY-2026'!$A$4:$ACP$113,MATCH('FY-(26-27)Q1'!$I$2:$J$2,'MAY-2026'!$A$2:$CQ$2,0),0),0)</f>
        <v>-175097</v>
      </c>
      <c r="J11" s="154">
        <f>IFERROR(VLOOKUP($A$3:$A$139,'MAY-2026'!$A$4:$ACP$113,MATCH('FY-(26-27)Q1'!$I$2:$J$2,'MAY-2026'!$A$2:$CQ$2,0),0),0)</f>
        <v>-1.1673133333333332</v>
      </c>
      <c r="K11" s="152">
        <f>IFERROR(VLOOKUP($A$3:$A$139,'JUNE-2026'!$A$4:$ADJ$113,MATCH('FY-(26-27)Q1'!$K$2:$L$2,'JUNE-2026'!$A$2:$DK$2,0),0),0)</f>
        <v>135</v>
      </c>
      <c r="L11" s="154">
        <f>IFERROR(VLOOKUP($A$3:$A$139,'JUNE-2026'!$A$4:$ADJ$113,MATCH('FY-(26-27)Q1'!$K$2:$L$2,'JUNE-2026'!$A$2:$DK$2,0),0),0)</f>
        <v>8.9999999999999998E-4</v>
      </c>
      <c r="M11" s="71">
        <f t="shared" ref="M11" si="8">G11+I11+K11</f>
        <v>-174962</v>
      </c>
      <c r="N11" s="165">
        <f t="shared" ref="N11" si="9">H11+J11+L11</f>
        <v>-1.1664133333333333</v>
      </c>
      <c r="O11" s="214"/>
      <c r="P11" s="152">
        <f>IFERROR(VLOOKUP($A$3:$A$139,'FY-(26-27)Q2'!$A$4:$ABW$124,MATCH('FY-(26-27)Q1'!$P$2:$Q$2,'FY-(26-27)Q2'!$A$2:$BX$2,0),0),0)</f>
        <v>-226913</v>
      </c>
      <c r="Q11" s="154">
        <f>IFERROR(VLOOKUP($A$3:$A$139,'FY-(26-27)Q2'!$A$4:$ABW$124,MATCH('FY-(26-27)Q1'!$P$2:$Q$2,'FY-(26-27)Q2'!$A$2:$BX$2,0),0),0)</f>
        <v>-1.5127533333333336</v>
      </c>
      <c r="R11" s="158"/>
      <c r="S11" s="152">
        <f>IFERROR(VLOOKUP($A$3:$A$139,'FY-(26-27)Q3'!$A$4:$ABW$115,MATCH('FY-(26-27)Q1'!$S$2:$T$2,'FY-(26-27)Q3'!$A$2:$BX$2,0),0),0)</f>
        <v>264612</v>
      </c>
      <c r="T11" s="154">
        <f>IFERROR(VLOOKUP($A$3:$A$139,'FY-(26-27)Q3'!$A$4:$ABW$115,MATCH('FY-(26-27)Q1'!$S$2:$T$3,'FY-(26-27)Q3'!$A$2:$BX$2,0),0),0)</f>
        <v>0</v>
      </c>
      <c r="U11" s="158"/>
      <c r="V11" s="143"/>
      <c r="W11" s="149"/>
      <c r="Y11" s="153">
        <f t="shared" si="0"/>
        <v>-137263</v>
      </c>
      <c r="Z11" s="167">
        <f t="shared" si="1"/>
        <v>-2.6791666666666671</v>
      </c>
    </row>
    <row r="12" spans="1:26" s="131" customFormat="1" ht="15" customHeight="1" x14ac:dyDescent="0.25">
      <c r="A12" s="141" t="s">
        <v>313</v>
      </c>
      <c r="B12" s="140" t="s">
        <v>133</v>
      </c>
      <c r="C12" s="140" t="s">
        <v>294</v>
      </c>
      <c r="D12" s="38" t="s">
        <v>116</v>
      </c>
      <c r="E12" s="38" t="s">
        <v>256</v>
      </c>
      <c r="F12" s="155">
        <v>0.6</v>
      </c>
      <c r="G12" s="152">
        <f>IFERROR(VLOOKUP($A$3:$A$139,'APR-2026'!$A$4:$ABX$112,MATCH('FY-(26-27)Q1'!$G$2:$H$2,'APR-2026'!$A$2:$BY$2,0),0),0)</f>
        <v>0</v>
      </c>
      <c r="H12" s="154">
        <f>IFERROR(VLOOKUP($A$3:$A$139,'APR-2026'!$A$4:$ABX$112,MATCH('FY-(26-27)Q1'!$G$2:$H$2,'APR-2026'!$A$2:$BY$2,0),0),0)</f>
        <v>0</v>
      </c>
      <c r="I12" s="152">
        <f>IFERROR(VLOOKUP($A$3:$A$139,'MAY-2026'!$A$4:$ACP$113,MATCH('FY-(26-27)Q1'!$I$2:$J$2,'MAY-2026'!$A$2:$CQ$2,0),0),0)</f>
        <v>0</v>
      </c>
      <c r="J12" s="154">
        <f>IFERROR(VLOOKUP($A$3:$A$139,'MAY-2026'!$A$4:$ACP$113,MATCH('FY-(26-27)Q1'!$I$2:$J$2,'MAY-2026'!$A$2:$CQ$2,0),0),0)</f>
        <v>0</v>
      </c>
      <c r="K12" s="152">
        <f>IFERROR(VLOOKUP($A$3:$A$139,'JUNE-2026'!$A$4:$ADJ$113,MATCH('FY-(26-27)Q1'!$K$2:$L$2,'JUNE-2026'!$A$2:$DK$2,0),0),0)</f>
        <v>0</v>
      </c>
      <c r="L12" s="154">
        <f>IFERROR(VLOOKUP($A$3:$A$139,'JUNE-2026'!$A$4:$ADJ$113,MATCH('FY-(26-27)Q1'!$K$2:$L$2,'JUNE-2026'!$A$2:$DK$2,0),0),0)</f>
        <v>0</v>
      </c>
      <c r="M12" s="71">
        <f t="shared" ref="M12" si="10">G12+I12+K12</f>
        <v>0</v>
      </c>
      <c r="N12" s="165">
        <f t="shared" ref="N12" si="11">H12+J12+L12</f>
        <v>0</v>
      </c>
      <c r="O12" s="214"/>
      <c r="P12" s="152">
        <f>IFERROR(VLOOKUP($A$3:$A$139,'FY-(26-27)Q2'!$A$4:$ABW$124,MATCH('FY-(26-27)Q1'!$P$2:$Q$2,'FY-(26-27)Q2'!$A$2:$BX$2,0),0),0)</f>
        <v>-89929</v>
      </c>
      <c r="Q12" s="154">
        <f>IFERROR(VLOOKUP($A$3:$A$139,'FY-(26-27)Q2'!$A$4:$ABW$124,MATCH('FY-(26-27)Q1'!$P$2:$Q$2,'FY-(26-27)Q2'!$A$2:$BX$2,0),0),0)</f>
        <v>-1.4988166666666667</v>
      </c>
      <c r="R12" s="158"/>
      <c r="S12" s="152">
        <f>IFERROR(VLOOKUP($A$3:$A$139,'FY-(26-27)Q3'!$A$4:$ABW$115,MATCH('FY-(26-27)Q1'!$S$2:$T$2,'FY-(26-27)Q3'!$A$2:$BX$2,0),0),0)</f>
        <v>96324</v>
      </c>
      <c r="T12" s="154">
        <f>IFERROR(VLOOKUP($A$3:$A$139,'FY-(26-27)Q3'!$A$4:$ABW$115,MATCH('FY-(26-27)Q1'!$S$2:$T$3,'FY-(26-27)Q3'!$A$2:$BX$2,0),0),0)</f>
        <v>0</v>
      </c>
      <c r="U12" s="158"/>
      <c r="V12" s="143"/>
      <c r="W12" s="149"/>
      <c r="Y12" s="153">
        <f t="shared" ref="Y12" si="12">M12+P12+S12+V12</f>
        <v>6395</v>
      </c>
      <c r="Z12" s="167">
        <f t="shared" ref="Z12" si="13">(N12+Q12+T12+W12)</f>
        <v>-1.4988166666666667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2" t="s">
        <v>112</v>
      </c>
      <c r="E13" s="142" t="s">
        <v>256</v>
      </c>
      <c r="F13" s="117">
        <v>15</v>
      </c>
      <c r="G13" s="152">
        <f>IFERROR(VLOOKUP($A$3:$A$139,'APR-2026'!$A$4:$ABX$112,MATCH('FY-(26-27)Q1'!$G$2:$H$2,'APR-2026'!$A$2:$BY$2,0),0),0)</f>
        <v>194000</v>
      </c>
      <c r="H13" s="154">
        <f>IFERROR(VLOOKUP($A$3:$A$139,'APR-2026'!$A$4:$ABX$112,MATCH('FY-(26-27)Q1'!$G$2:$H$2,'APR-2026'!$A$2:$BY$2,0),0),0)</f>
        <v>0.12933333333333336</v>
      </c>
      <c r="I13" s="152">
        <f>IFERROR(VLOOKUP($A$3:$A$139,'MAY-2026'!$A$4:$ACP$113,MATCH('FY-(26-27)Q1'!$I$2:$J$2,'MAY-2026'!$A$2:$CQ$2,0),0),0)</f>
        <v>-774466</v>
      </c>
      <c r="J13" s="154">
        <f>IFERROR(VLOOKUP($A$3:$A$139,'MAY-2026'!$A$4:$ACP$113,MATCH('FY-(26-27)Q1'!$I$2:$J$2,'MAY-2026'!$A$2:$CQ$2,0),0),0)</f>
        <v>-0.5163106666666667</v>
      </c>
      <c r="K13" s="152">
        <f>IFERROR(VLOOKUP($A$3:$A$139,'JUNE-2026'!$A$4:$ADJ$113,MATCH('FY-(26-27)Q1'!$K$2:$L$2,'JUNE-2026'!$A$2:$DK$2,0),0),0)</f>
        <v>-787733</v>
      </c>
      <c r="L13" s="154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5">
        <f t="shared" si="3"/>
        <v>-0.9121326666666667</v>
      </c>
      <c r="O13" s="214"/>
      <c r="P13" s="152">
        <f>IFERROR(VLOOKUP($A$3:$A$139,'FY-(26-27)Q2'!$A$4:$ABW$124,MATCH('FY-(26-27)Q1'!$P$2:$Q$2,'FY-(26-27)Q2'!$A$2:$BX$2,0),0),0)</f>
        <v>383931</v>
      </c>
      <c r="Q13" s="154">
        <f>IFERROR(VLOOKUP($A$3:$A$139,'FY-(26-27)Q2'!$A$4:$ABW$124,MATCH('FY-(26-27)Q1'!$P$2:$Q$2,'FY-(26-27)Q2'!$A$2:$BX$2,0),0),0)</f>
        <v>0.25595400000000007</v>
      </c>
      <c r="R13" s="158"/>
      <c r="S13" s="152">
        <f>IFERROR(VLOOKUP($A$3:$A$139,'FY-(26-27)Q3'!$A$4:$ABW$115,MATCH('FY-(26-27)Q1'!$S$2:$T$2,'FY-(26-27)Q3'!$A$2:$BX$2,0),0),0)</f>
        <v>-137320</v>
      </c>
      <c r="T13" s="154">
        <f>IFERROR(VLOOKUP($A$3:$A$139,'FY-(26-27)Q3'!$A$4:$ABW$115,MATCH('FY-(26-27)Q1'!$S$2:$T$3,'FY-(26-27)Q3'!$A$2:$BX$2,0),0),0)</f>
        <v>0</v>
      </c>
      <c r="U13" s="158"/>
      <c r="V13" s="45"/>
      <c r="W13" s="72"/>
      <c r="X13"/>
      <c r="Y13" s="153">
        <f t="shared" si="0"/>
        <v>-1121588</v>
      </c>
      <c r="Z13" s="167">
        <f t="shared" si="1"/>
        <v>-0.65617866666666669</v>
      </c>
    </row>
    <row r="14" spans="1:26" s="131" customFormat="1" ht="15" customHeight="1" x14ac:dyDescent="0.25">
      <c r="A14" s="142" t="s">
        <v>81</v>
      </c>
      <c r="B14" s="140" t="s">
        <v>55</v>
      </c>
      <c r="C14" s="140" t="s">
        <v>80</v>
      </c>
      <c r="D14" s="142" t="s">
        <v>107</v>
      </c>
      <c r="E14" s="142" t="s">
        <v>107</v>
      </c>
      <c r="F14" s="156">
        <v>2</v>
      </c>
      <c r="G14" s="152">
        <f>IFERROR(VLOOKUP($A$3:$A$139,'APR-2026'!$A$4:$ABX$112,MATCH('FY-(26-27)Q1'!$G$2:$H$2,'APR-2026'!$A$2:$BY$2,0),0),0)</f>
        <v>803317</v>
      </c>
      <c r="H14" s="154">
        <f>IFERROR(VLOOKUP($A$3:$A$139,'APR-2026'!$A$4:$ABX$112,MATCH('FY-(26-27)Q1'!$G$2:$H$2,'APR-2026'!$A$2:$BY$2,0),0),0)</f>
        <v>4.0165850000000001</v>
      </c>
      <c r="I14" s="152">
        <f>IFERROR(VLOOKUP($A$3:$A$139,'MAY-2026'!$A$4:$ACP$113,MATCH('FY-(26-27)Q1'!$I$2:$J$2,'MAY-2026'!$A$2:$CQ$2,0),0),0)</f>
        <v>0</v>
      </c>
      <c r="J14" s="154">
        <f>IFERROR(VLOOKUP($A$3:$A$139,'MAY-2026'!$A$4:$ACP$113,MATCH('FY-(26-27)Q1'!$I$2:$J$2,'MAY-2026'!$A$2:$CQ$2,0),0),0)</f>
        <v>0</v>
      </c>
      <c r="K14" s="152">
        <f>IFERROR(VLOOKUP($A$3:$A$139,'JUNE-2026'!$A$4:$ADJ$113,MATCH('FY-(26-27)Q1'!$K$2:$L$2,'JUNE-2026'!$A$2:$DK$2,0),0),0)</f>
        <v>0</v>
      </c>
      <c r="L14" s="154">
        <f>IFERROR(VLOOKUP($A$3:$A$139,'JUNE-2026'!$A$4:$ADJ$113,MATCH('FY-(26-27)Q1'!$K$2:$L$2,'JUNE-2026'!$A$2:$DK$2,0),0),0)</f>
        <v>0</v>
      </c>
      <c r="M14" s="71">
        <f t="shared" si="2"/>
        <v>803317</v>
      </c>
      <c r="N14" s="165">
        <f t="shared" si="3"/>
        <v>4.0165850000000001</v>
      </c>
      <c r="O14" s="214"/>
      <c r="P14" s="152">
        <f>IFERROR(VLOOKUP($A$3:$A$139,'FY-(26-27)Q2'!$A$4:$ABW$124,MATCH('FY-(26-27)Q1'!$P$2:$Q$2,'FY-(26-27)Q2'!$A$2:$BX$2,0),0),0)</f>
        <v>0</v>
      </c>
      <c r="Q14" s="154">
        <f>IFERROR(VLOOKUP($A$3:$A$139,'FY-(26-27)Q2'!$A$4:$ABW$124,MATCH('FY-(26-27)Q1'!$P$2:$Q$2,'FY-(26-27)Q2'!$A$2:$BX$2,0),0),0)</f>
        <v>0</v>
      </c>
      <c r="R14" s="158"/>
      <c r="S14" s="152">
        <f>IFERROR(VLOOKUP($A$3:$A$139,'FY-(26-27)Q3'!$A$4:$ABW$115,MATCH('FY-(26-27)Q1'!$S$2:$T$2,'FY-(26-27)Q3'!$A$2:$BX$2,0),0),0)</f>
        <v>0</v>
      </c>
      <c r="T14" s="154">
        <f>IFERROR(VLOOKUP($A$3:$A$139,'FY-(26-27)Q3'!$A$4:$ABW$115,MATCH('FY-(26-27)Q1'!$S$2:$T$3,'FY-(26-27)Q3'!$A$2:$BX$2,0),0),0)</f>
        <v>0</v>
      </c>
      <c r="U14" s="158"/>
      <c r="V14" s="143"/>
      <c r="W14" s="149"/>
      <c r="X14" s="1"/>
      <c r="Y14" s="153">
        <f t="shared" si="0"/>
        <v>803317</v>
      </c>
      <c r="Z14" s="167">
        <f t="shared" si="1"/>
        <v>4.0165850000000001</v>
      </c>
    </row>
    <row r="15" spans="1:26" s="1" customFormat="1" ht="15" customHeight="1" x14ac:dyDescent="0.25">
      <c r="A15" s="142" t="s">
        <v>190</v>
      </c>
      <c r="B15" s="140" t="s">
        <v>182</v>
      </c>
      <c r="C15" s="140" t="s">
        <v>181</v>
      </c>
      <c r="D15" s="142" t="s">
        <v>112</v>
      </c>
      <c r="E15" s="142" t="s">
        <v>256</v>
      </c>
      <c r="F15" s="156">
        <v>3</v>
      </c>
      <c r="G15" s="152">
        <f>IFERROR(VLOOKUP($A$3:$A$139,'APR-2026'!$A$4:$ABX$112,MATCH('FY-(26-27)Q1'!$G$2:$H$2,'APR-2026'!$A$2:$BY$2,0),0),0)</f>
        <v>88900</v>
      </c>
      <c r="H15" s="154">
        <f>IFERROR(VLOOKUP($A$3:$A$139,'APR-2026'!$A$4:$ABX$112,MATCH('FY-(26-27)Q1'!$G$2:$H$2,'APR-2026'!$A$2:$BY$2,0),0),0)</f>
        <v>0.29633333333333328</v>
      </c>
      <c r="I15" s="152">
        <f>IFERROR(VLOOKUP($A$3:$A$139,'MAY-2026'!$A$4:$ACP$113,MATCH('FY-(26-27)Q1'!$I$2:$J$2,'MAY-2026'!$A$2:$CQ$2,0),0),0)</f>
        <v>-191000</v>
      </c>
      <c r="J15" s="154">
        <f>IFERROR(VLOOKUP($A$3:$A$139,'MAY-2026'!$A$4:$ACP$113,MATCH('FY-(26-27)Q1'!$I$2:$J$2,'MAY-2026'!$A$2:$CQ$2,0),0),0)</f>
        <v>-0.6366666666666666</v>
      </c>
      <c r="K15" s="152">
        <f>IFERROR(VLOOKUP($A$3:$A$139,'JUNE-2026'!$A$4:$ADJ$113,MATCH('FY-(26-27)Q1'!$K$2:$L$2,'JUNE-2026'!$A$2:$DK$2,0),0),0)</f>
        <v>0</v>
      </c>
      <c r="L15" s="154">
        <f>IFERROR(VLOOKUP($A$3:$A$139,'JUNE-2026'!$A$4:$ADJ$113,MATCH('FY-(26-27)Q1'!$K$2:$L$2,'JUNE-2026'!$A$2:$DK$2,0),0),0)</f>
        <v>0</v>
      </c>
      <c r="M15" s="71">
        <f t="shared" ref="M15" si="14">G15+I15+K15</f>
        <v>-102100</v>
      </c>
      <c r="N15" s="165">
        <f t="shared" ref="N15" si="15">H15+J15+L15</f>
        <v>-0.34033333333333332</v>
      </c>
      <c r="O15" s="214"/>
      <c r="P15" s="152">
        <f>IFERROR(VLOOKUP($A$3:$A$139,'FY-(26-27)Q2'!$A$4:$ABW$124,MATCH('FY-(26-27)Q1'!$P$2:$Q$2,'FY-(26-27)Q2'!$A$2:$BX$2,0),0),0)</f>
        <v>0</v>
      </c>
      <c r="Q15" s="154">
        <f>IFERROR(VLOOKUP($A$3:$A$139,'FY-(26-27)Q2'!$A$4:$ABW$124,MATCH('FY-(26-27)Q1'!$P$2:$Q$2,'FY-(26-27)Q2'!$A$2:$BX$2,0),0),0)</f>
        <v>0</v>
      </c>
      <c r="R15" s="158"/>
      <c r="S15" s="152">
        <f>IFERROR(VLOOKUP($A$3:$A$139,'FY-(26-27)Q3'!$A$4:$ABW$115,MATCH('FY-(26-27)Q1'!$S$2:$T$2,'FY-(26-27)Q3'!$A$2:$BX$2,0),0),0)</f>
        <v>0</v>
      </c>
      <c r="T15" s="154">
        <f>IFERROR(VLOOKUP($A$3:$A$139,'FY-(26-27)Q3'!$A$4:$ABW$115,MATCH('FY-(26-27)Q1'!$S$2:$T$3,'FY-(26-27)Q3'!$A$2:$BX$2,0),0),0)</f>
        <v>0</v>
      </c>
      <c r="U15" s="158"/>
      <c r="V15" s="143"/>
      <c r="W15" s="149"/>
      <c r="X15" s="131"/>
      <c r="Y15" s="153">
        <f t="shared" si="0"/>
        <v>-102100</v>
      </c>
      <c r="Z15" s="167">
        <f t="shared" si="1"/>
        <v>-0.34033333333333332</v>
      </c>
    </row>
    <row r="16" spans="1:26" ht="15" customHeight="1" x14ac:dyDescent="0.25">
      <c r="A16" s="142" t="s">
        <v>189</v>
      </c>
      <c r="B16" s="140" t="s">
        <v>183</v>
      </c>
      <c r="C16" s="140" t="s">
        <v>179</v>
      </c>
      <c r="D16" s="142" t="s">
        <v>112</v>
      </c>
      <c r="E16" s="142" t="s">
        <v>256</v>
      </c>
      <c r="F16" s="156">
        <v>3</v>
      </c>
      <c r="G16" s="152">
        <f>IFERROR(VLOOKUP($A$3:$A$139,'APR-2026'!$A$4:$ABX$112,MATCH('FY-(26-27)Q1'!$G$2:$H$2,'APR-2026'!$A$2:$BY$2,0),0),0)</f>
        <v>63500</v>
      </c>
      <c r="H16" s="154">
        <f>IFERROR(VLOOKUP($A$3:$A$139,'APR-2026'!$A$4:$ABX$112,MATCH('FY-(26-27)Q1'!$G$2:$H$2,'APR-2026'!$A$2:$BY$2,0),0),0)</f>
        <v>0.2116666666666667</v>
      </c>
      <c r="I16" s="152">
        <f>IFERROR(VLOOKUP($A$3:$A$139,'MAY-2026'!$A$4:$ACP$113,MATCH('FY-(26-27)Q1'!$I$2:$J$2,'MAY-2026'!$A$2:$CQ$2,0),0),0)</f>
        <v>-244500</v>
      </c>
      <c r="J16" s="154">
        <f>IFERROR(VLOOKUP($A$3:$A$139,'MAY-2026'!$A$4:$ACP$113,MATCH('FY-(26-27)Q1'!$I$2:$J$2,'MAY-2026'!$A$2:$CQ$2,0),0),0)</f>
        <v>-0.81499999999999995</v>
      </c>
      <c r="K16" s="152">
        <f>IFERROR(VLOOKUP($A$3:$A$139,'JUNE-2026'!$A$4:$ADJ$113,MATCH('FY-(26-27)Q1'!$K$2:$L$2,'JUNE-2026'!$A$2:$DK$2,0),0),0)</f>
        <v>0</v>
      </c>
      <c r="L16" s="154">
        <f>IFERROR(VLOOKUP($A$3:$A$139,'JUNE-2026'!$A$4:$ADJ$113,MATCH('FY-(26-27)Q1'!$K$2:$L$2,'JUNE-2026'!$A$2:$DK$2,0),0),0)</f>
        <v>0</v>
      </c>
      <c r="M16" s="71">
        <f t="shared" si="2"/>
        <v>-181000</v>
      </c>
      <c r="N16" s="165">
        <f t="shared" si="3"/>
        <v>-0.60333333333333328</v>
      </c>
      <c r="O16" s="214"/>
      <c r="P16" s="152">
        <f>IFERROR(VLOOKUP($A$3:$A$139,'FY-(26-27)Q2'!$A$4:$ABW$124,MATCH('FY-(26-27)Q1'!$P$2:$Q$2,'FY-(26-27)Q2'!$A$2:$BX$2,0),0),0)</f>
        <v>0</v>
      </c>
      <c r="Q16" s="154">
        <f>IFERROR(VLOOKUP($A$3:$A$139,'FY-(26-27)Q2'!$A$4:$ABW$124,MATCH('FY-(26-27)Q1'!$P$2:$Q$2,'FY-(26-27)Q2'!$A$2:$BX$2,0),0),0)</f>
        <v>0</v>
      </c>
      <c r="R16" s="158"/>
      <c r="S16" s="152">
        <f>IFERROR(VLOOKUP($A$3:$A$139,'FY-(26-27)Q3'!$A$4:$ABW$115,MATCH('FY-(26-27)Q1'!$S$2:$T$2,'FY-(26-27)Q3'!$A$2:$BX$2,0),0),0)</f>
        <v>0</v>
      </c>
      <c r="T16" s="154">
        <f>IFERROR(VLOOKUP($A$3:$A$139,'FY-(26-27)Q3'!$A$4:$ABW$115,MATCH('FY-(26-27)Q1'!$S$2:$T$3,'FY-(26-27)Q3'!$A$2:$BX$2,0),0),0)</f>
        <v>0</v>
      </c>
      <c r="U16" s="158"/>
      <c r="V16" s="143"/>
      <c r="W16" s="149"/>
      <c r="X16" s="1"/>
      <c r="Y16" s="153">
        <f t="shared" si="0"/>
        <v>-181000</v>
      </c>
      <c r="Z16" s="167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2">
        <f>IFERROR(VLOOKUP($A$3:$A$139,'APR-2026'!$A$4:$ABX$112,MATCH('FY-(26-27)Q1'!$G$2:$H$2,'APR-2026'!$A$2:$BY$2,0),0),0)</f>
        <v>460500</v>
      </c>
      <c r="H17" s="154">
        <f>IFERROR(VLOOKUP($A$3:$A$139,'APR-2026'!$A$4:$ABX$112,MATCH('FY-(26-27)Q1'!$G$2:$H$2,'APR-2026'!$A$2:$BY$2,0),0),0)</f>
        <v>1.5349999999999999</v>
      </c>
      <c r="I17" s="152">
        <f>IFERROR(VLOOKUP($A$3:$A$139,'MAY-2026'!$A$4:$ACP$113,MATCH('FY-(26-27)Q1'!$I$2:$J$2,'MAY-2026'!$A$2:$CQ$2,0),0),0)</f>
        <v>-255000</v>
      </c>
      <c r="J17" s="154">
        <f>IFERROR(VLOOKUP($A$3:$A$139,'MAY-2026'!$A$4:$ACP$113,MATCH('FY-(26-27)Q1'!$I$2:$J$2,'MAY-2026'!$A$2:$CQ$2,0),0),0)</f>
        <v>-0.63749999999999996</v>
      </c>
      <c r="K17" s="152">
        <f>IFERROR(VLOOKUP($A$3:$A$139,'JUNE-2026'!$A$4:$ADJ$113,MATCH('FY-(26-27)Q1'!$K$2:$L$2,'JUNE-2026'!$A$2:$DK$2,0),0),0)</f>
        <v>0</v>
      </c>
      <c r="L17" s="154">
        <f>IFERROR(VLOOKUP($A$3:$A$139,'JUNE-2026'!$A$4:$ADJ$113,MATCH('FY-(26-27)Q1'!$K$2:$L$2,'JUNE-2026'!$A$2:$DK$2,0),0),0)</f>
        <v>0</v>
      </c>
      <c r="M17" s="71">
        <f t="shared" si="2"/>
        <v>205500</v>
      </c>
      <c r="N17" s="165">
        <f t="shared" si="3"/>
        <v>0.89749999999999996</v>
      </c>
      <c r="O17" s="214"/>
      <c r="P17" s="152">
        <f>IFERROR(VLOOKUP($A$3:$A$139,'FY-(26-27)Q2'!$A$4:$ABW$124,MATCH('FY-(26-27)Q1'!$P$2:$Q$2,'FY-(26-27)Q2'!$A$2:$BX$2,0),0),0)</f>
        <v>0</v>
      </c>
      <c r="Q17" s="154">
        <f>IFERROR(VLOOKUP($A$3:$A$139,'FY-(26-27)Q2'!$A$4:$ABW$124,MATCH('FY-(26-27)Q1'!$P$2:$Q$2,'FY-(26-27)Q2'!$A$2:$BX$2,0),0),0)</f>
        <v>0</v>
      </c>
      <c r="R17" s="158"/>
      <c r="S17" s="152">
        <f>IFERROR(VLOOKUP($A$3:$A$139,'FY-(26-27)Q3'!$A$4:$ABW$115,MATCH('FY-(26-27)Q1'!$S$2:$T$2,'FY-(26-27)Q3'!$A$2:$BX$2,0),0),0)</f>
        <v>0</v>
      </c>
      <c r="T17" s="154">
        <f>IFERROR(VLOOKUP($A$3:$A$139,'FY-(26-27)Q3'!$A$4:$ABW$115,MATCH('FY-(26-27)Q1'!$S$2:$T$3,'FY-(26-27)Q3'!$A$2:$BX$2,0),0),0)</f>
        <v>0</v>
      </c>
      <c r="U17" s="158"/>
      <c r="V17" s="45"/>
      <c r="W17" s="72"/>
      <c r="Y17" s="153">
        <f t="shared" si="0"/>
        <v>205500</v>
      </c>
      <c r="Z17" s="167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2" t="s">
        <v>259</v>
      </c>
      <c r="E18" s="39" t="s">
        <v>256</v>
      </c>
      <c r="F18" s="117">
        <v>6</v>
      </c>
      <c r="G18" s="152">
        <f>IFERROR(VLOOKUP($A$3:$A$139,'APR-2026'!$A$4:$ABX$112,MATCH('FY-(26-27)Q1'!$G$2:$H$2,'APR-2026'!$A$2:$BY$2,0),0),0)</f>
        <v>-168658</v>
      </c>
      <c r="H18" s="154">
        <f>IFERROR(VLOOKUP($A$3:$A$139,'APR-2026'!$A$4:$ABX$112,MATCH('FY-(26-27)Q1'!$G$2:$H$2,'APR-2026'!$A$2:$BY$2,0),0),0)</f>
        <v>-3.3731599999999999</v>
      </c>
      <c r="I18" s="152">
        <f>IFERROR(VLOOKUP($A$3:$A$139,'MAY-2026'!$A$4:$ACP$113,MATCH('FY-(26-27)Q1'!$I$2:$J$2,'MAY-2026'!$A$2:$CQ$2,0),0),0)</f>
        <v>-103041</v>
      </c>
      <c r="J18" s="154">
        <f>IFERROR(VLOOKUP($A$3:$A$139,'MAY-2026'!$A$4:$ACP$113,MATCH('FY-(26-27)Q1'!$I$2:$J$2,'MAY-2026'!$A$2:$CQ$2,0),0),0)</f>
        <v>-0.171735</v>
      </c>
      <c r="K18" s="152">
        <f>IFERROR(VLOOKUP($A$3:$A$139,'JUNE-2026'!$A$4:$ADJ$113,MATCH('FY-(26-27)Q1'!$K$2:$L$2,'JUNE-2026'!$A$2:$DK$2,0),0),0)</f>
        <v>76365</v>
      </c>
      <c r="L18" s="154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5">
        <f t="shared" si="3"/>
        <v>-3.4176199999999999</v>
      </c>
      <c r="O18" s="214"/>
      <c r="P18" s="152">
        <f>IFERROR(VLOOKUP($A$3:$A$139,'FY-(26-27)Q2'!$A$4:$ABW$124,MATCH('FY-(26-27)Q1'!$P$2:$Q$2,'FY-(26-27)Q2'!$A$2:$BX$2,0),0),0)</f>
        <v>395386</v>
      </c>
      <c r="Q18" s="154">
        <f>IFERROR(VLOOKUP($A$3:$A$139,'FY-(26-27)Q2'!$A$4:$ABW$124,MATCH('FY-(26-27)Q1'!$P$2:$Q$2,'FY-(26-27)Q2'!$A$2:$BX$2,0),0),0)</f>
        <v>0.65897666666666677</v>
      </c>
      <c r="R18" s="158"/>
      <c r="S18" s="152">
        <f>IFERROR(VLOOKUP($A$3:$A$139,'FY-(26-27)Q3'!$A$4:$ABW$115,MATCH('FY-(26-27)Q1'!$S$2:$T$2,'FY-(26-27)Q3'!$A$2:$BX$2,0),0),0)</f>
        <v>611713</v>
      </c>
      <c r="T18" s="154">
        <f>IFERROR(VLOOKUP($A$3:$A$139,'FY-(26-27)Q3'!$A$4:$ABW$115,MATCH('FY-(26-27)Q1'!$S$2:$T$3,'FY-(26-27)Q3'!$A$2:$BX$2,0),0),0)</f>
        <v>0</v>
      </c>
      <c r="U18" s="158"/>
      <c r="V18" s="45"/>
      <c r="W18" s="72"/>
      <c r="Y18" s="153">
        <f t="shared" si="0"/>
        <v>811765</v>
      </c>
      <c r="Z18" s="167">
        <f t="shared" si="1"/>
        <v>-2.7586433333333331</v>
      </c>
    </row>
    <row r="19" spans="1:34" s="131" customFormat="1" ht="15" customHeight="1" x14ac:dyDescent="0.25">
      <c r="A19" s="142" t="s">
        <v>42</v>
      </c>
      <c r="B19" s="140" t="s">
        <v>230</v>
      </c>
      <c r="C19" s="140" t="s">
        <v>85</v>
      </c>
      <c r="D19" s="142" t="s">
        <v>107</v>
      </c>
      <c r="E19" s="142" t="s">
        <v>107</v>
      </c>
      <c r="F19" s="156">
        <v>1</v>
      </c>
      <c r="G19" s="152">
        <f>IFERROR(VLOOKUP($A$3:$A$139,'APR-2026'!$A$4:$ABX$112,MATCH('FY-(26-27)Q1'!$G$2:$H$2,'APR-2026'!$A$2:$BY$2,0),0),0)</f>
        <v>4927</v>
      </c>
      <c r="H19" s="154">
        <f>IFERROR(VLOOKUP($A$3:$A$139,'APR-2026'!$A$4:$ABX$112,MATCH('FY-(26-27)Q1'!$G$2:$H$2,'APR-2026'!$A$2:$BY$2,0),0),0)</f>
        <v>4.9270000000000001E-2</v>
      </c>
      <c r="I19" s="152">
        <f>IFERROR(VLOOKUP($A$3:$A$139,'MAY-2026'!$A$4:$ACP$113,MATCH('FY-(26-27)Q1'!$I$2:$J$2,'MAY-2026'!$A$2:$CQ$2,0),0),0)</f>
        <v>1404</v>
      </c>
      <c r="J19" s="154">
        <f>IFERROR(VLOOKUP($A$3:$A$139,'MAY-2026'!$A$4:$ACP$113,MATCH('FY-(26-27)Q1'!$I$2:$J$2,'MAY-2026'!$A$2:$CQ$2,0),0),0)</f>
        <v>1.404E-2</v>
      </c>
      <c r="K19" s="152">
        <f>IFERROR(VLOOKUP($A$3:$A$139,'JUNE-2026'!$A$4:$ADJ$113,MATCH('FY-(26-27)Q1'!$K$2:$L$2,'JUNE-2026'!$A$2:$DK$2,0),0),0)</f>
        <v>-2652</v>
      </c>
      <c r="L19" s="154">
        <f>IFERROR(VLOOKUP($A$3:$A$139,'JUNE-2026'!$A$4:$ADJ$113,MATCH('FY-(26-27)Q1'!$K$2:$L$2,'JUNE-2026'!$A$2:$DK$2,0),0),0)</f>
        <v>-2.6519999999999998E-2</v>
      </c>
      <c r="M19" s="71">
        <f t="shared" ref="M19" si="16">G19+I19+K19</f>
        <v>3679</v>
      </c>
      <c r="N19" s="165">
        <f t="shared" ref="N19" si="17">H19+J19+L19</f>
        <v>3.6790000000000003E-2</v>
      </c>
      <c r="O19" s="214"/>
      <c r="P19" s="152">
        <f>IFERROR(VLOOKUP($A$3:$A$139,'FY-(26-27)Q2'!$A$4:$ABW$124,MATCH('FY-(26-27)Q1'!$P$2:$Q$2,'FY-(26-27)Q2'!$A$2:$BX$2,0),0),0)</f>
        <v>-1104</v>
      </c>
      <c r="Q19" s="154">
        <f>IFERROR(VLOOKUP($A$3:$A$139,'FY-(26-27)Q2'!$A$4:$ABW$124,MATCH('FY-(26-27)Q1'!$P$2:$Q$2,'FY-(26-27)Q2'!$A$2:$BX$2,0),0),0)</f>
        <v>-1.1039999999999994E-2</v>
      </c>
      <c r="R19" s="158"/>
      <c r="S19" s="152">
        <f>IFERROR(VLOOKUP($A$3:$A$139,'FY-(26-27)Q3'!$A$4:$ABW$115,MATCH('FY-(26-27)Q1'!$S$2:$T$2,'FY-(26-27)Q3'!$A$2:$BX$2,0),0),0)</f>
        <v>-4680</v>
      </c>
      <c r="T19" s="154">
        <f>IFERROR(VLOOKUP($A$3:$A$139,'FY-(26-27)Q3'!$A$4:$ABW$115,MATCH('FY-(26-27)Q1'!$S$2:$T$3,'FY-(26-27)Q3'!$A$2:$BX$2,0),0),0)</f>
        <v>0</v>
      </c>
      <c r="U19" s="158"/>
      <c r="V19" s="143"/>
      <c r="W19" s="149"/>
      <c r="Y19" s="153">
        <f t="shared" si="0"/>
        <v>-2105</v>
      </c>
      <c r="Z19" s="167">
        <f t="shared" si="1"/>
        <v>2.5750000000000009E-2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2">
        <f>IFERROR(VLOOKUP($A$3:$A$139,'APR-2026'!$A$4:$ABX$112,MATCH('FY-(26-27)Q1'!$G$2:$H$2,'APR-2026'!$A$2:$BY$2,0),0),0)</f>
        <v>1240967</v>
      </c>
      <c r="H20" s="154">
        <f>IFERROR(VLOOKUP($A$3:$A$139,'APR-2026'!$A$4:$ABX$112,MATCH('FY-(26-27)Q1'!$G$2:$H$2,'APR-2026'!$A$2:$BY$2,0),0),0)</f>
        <v>12.40967</v>
      </c>
      <c r="I20" s="152">
        <f>IFERROR(VLOOKUP($A$3:$A$139,'MAY-2026'!$A$4:$ACP$113,MATCH('FY-(26-27)Q1'!$I$2:$J$2,'MAY-2026'!$A$2:$CQ$2,0),0),0)</f>
        <v>0</v>
      </c>
      <c r="J20" s="154">
        <f>IFERROR(VLOOKUP($A$3:$A$139,'MAY-2026'!$A$4:$ACP$113,MATCH('FY-(26-27)Q1'!$I$2:$J$2,'MAY-2026'!$A$2:$CQ$2,0),0),0)</f>
        <v>0</v>
      </c>
      <c r="K20" s="152">
        <f>IFERROR(VLOOKUP($A$3:$A$139,'JUNE-2026'!$A$4:$ADJ$113,MATCH('FY-(26-27)Q1'!$K$2:$L$2,'JUNE-2026'!$A$2:$DK$2,0),0),0)</f>
        <v>0</v>
      </c>
      <c r="L20" s="154">
        <f>IFERROR(VLOOKUP($A$3:$A$139,'JUNE-2026'!$A$4:$ADJ$113,MATCH('FY-(26-27)Q1'!$K$2:$L$2,'JUNE-2026'!$A$2:$DK$2,0),0),0)</f>
        <v>0</v>
      </c>
      <c r="M20" s="71">
        <f t="shared" si="2"/>
        <v>1240967</v>
      </c>
      <c r="N20" s="165">
        <f t="shared" si="3"/>
        <v>12.40967</v>
      </c>
      <c r="O20" s="214"/>
      <c r="P20" s="152">
        <f>IFERROR(VLOOKUP($A$3:$A$139,'FY-(26-27)Q2'!$A$4:$ABW$124,MATCH('FY-(26-27)Q1'!$P$2:$Q$2,'FY-(26-27)Q2'!$A$2:$BX$2,0),0),0)</f>
        <v>0</v>
      </c>
      <c r="Q20" s="154">
        <f>IFERROR(VLOOKUP($A$3:$A$139,'FY-(26-27)Q2'!$A$4:$ABW$124,MATCH('FY-(26-27)Q1'!$P$2:$Q$2,'FY-(26-27)Q2'!$A$2:$BX$2,0),0),0)</f>
        <v>0</v>
      </c>
      <c r="R20" s="158"/>
      <c r="S20" s="152">
        <f>IFERROR(VLOOKUP($A$3:$A$139,'FY-(26-27)Q3'!$A$4:$ABW$115,MATCH('FY-(26-27)Q1'!$S$2:$T$2,'FY-(26-27)Q3'!$A$2:$BX$2,0),0),0)</f>
        <v>0</v>
      </c>
      <c r="T20" s="154">
        <f>IFERROR(VLOOKUP($A$3:$A$139,'FY-(26-27)Q3'!$A$4:$ABW$115,MATCH('FY-(26-27)Q1'!$S$2:$T$3,'FY-(26-27)Q3'!$A$2:$BX$2,0),0),0)</f>
        <v>0</v>
      </c>
      <c r="U20" s="158"/>
      <c r="V20" s="45"/>
      <c r="W20" s="72"/>
      <c r="X20" s="131"/>
      <c r="Y20" s="153">
        <f t="shared" si="0"/>
        <v>1240967</v>
      </c>
      <c r="Z20" s="167">
        <f t="shared" si="1"/>
        <v>12.40967</v>
      </c>
      <c r="AA20" s="131"/>
      <c r="AB20" s="131"/>
      <c r="AC20" s="131"/>
      <c r="AD20" s="131"/>
      <c r="AE20" s="131"/>
      <c r="AF20" s="131"/>
      <c r="AG20" s="131"/>
      <c r="AH20" s="131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2">
        <f>IFERROR(VLOOKUP($A$3:$A$139,'APR-2026'!$A$4:$ABX$112,MATCH('FY-(26-27)Q1'!$G$2:$H$2,'APR-2026'!$A$2:$BY$2,0),0),0)</f>
        <v>0</v>
      </c>
      <c r="H21" s="154">
        <f>IFERROR(VLOOKUP($A$3:$A$139,'APR-2026'!$A$4:$ABX$112,MATCH('FY-(26-27)Q1'!$G$2:$H$2,'APR-2026'!$A$2:$BY$2,0),0),0)</f>
        <v>0</v>
      </c>
      <c r="I21" s="152">
        <f>IFERROR(VLOOKUP($A$3:$A$139,'MAY-2026'!$A$4:$ACP$113,MATCH('FY-(26-27)Q1'!$I$2:$J$2,'MAY-2026'!$A$2:$CQ$2,0),0),0)</f>
        <v>-35229</v>
      </c>
      <c r="J21" s="154">
        <f>IFERROR(VLOOKUP($A$3:$A$139,'MAY-2026'!$A$4:$ACP$113,MATCH('FY-(26-27)Q1'!$I$2:$J$2,'MAY-2026'!$A$2:$CQ$2,0),0),0)</f>
        <v>-0.35228999999999999</v>
      </c>
      <c r="K21" s="152">
        <f>IFERROR(VLOOKUP($A$3:$A$139,'JUNE-2026'!$A$4:$ADJ$113,MATCH('FY-(26-27)Q1'!$K$2:$L$2,'JUNE-2026'!$A$2:$DK$2,0),0),0)</f>
        <v>-232187</v>
      </c>
      <c r="L21" s="154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5">
        <f t="shared" si="3"/>
        <v>-2.6741600000000001</v>
      </c>
      <c r="O21" s="214"/>
      <c r="P21" s="152">
        <f>IFERROR(VLOOKUP($A$3:$A$139,'FY-(26-27)Q2'!$A$4:$ABW$124,MATCH('FY-(26-27)Q1'!$P$2:$Q$2,'FY-(26-27)Q2'!$A$2:$BX$2,0),0),0)</f>
        <v>16234</v>
      </c>
      <c r="Q21" s="154">
        <f>IFERROR(VLOOKUP($A$3:$A$139,'FY-(26-27)Q2'!$A$4:$ABW$124,MATCH('FY-(26-27)Q1'!$P$2:$Q$2,'FY-(26-27)Q2'!$A$2:$BX$2,0),0),0)</f>
        <v>6.4935999999999952E-2</v>
      </c>
      <c r="R21" s="158"/>
      <c r="S21" s="152">
        <f>IFERROR(VLOOKUP($A$3:$A$139,'FY-(26-27)Q3'!$A$4:$ABW$115,MATCH('FY-(26-27)Q1'!$S$2:$T$2,'FY-(26-27)Q3'!$A$2:$BX$2,0),0),0)</f>
        <v>155276</v>
      </c>
      <c r="T21" s="154">
        <f>IFERROR(VLOOKUP($A$3:$A$139,'FY-(26-27)Q3'!$A$4:$ABW$115,MATCH('FY-(26-27)Q1'!$S$2:$T$3,'FY-(26-27)Q3'!$A$2:$BX$2,0),0),0)</f>
        <v>0</v>
      </c>
      <c r="U21" s="158"/>
      <c r="V21" s="45"/>
      <c r="W21" s="72"/>
      <c r="Y21" s="153">
        <f t="shared" si="0"/>
        <v>-95906</v>
      </c>
      <c r="Z21" s="167">
        <f t="shared" si="1"/>
        <v>-2.6092240000000002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2">
        <f>IFERROR(VLOOKUP($A$3:$A$139,'APR-2026'!$A$4:$ABX$112,MATCH('FY-(26-27)Q1'!$G$2:$H$2,'APR-2026'!$A$2:$BY$2,0),0),0)</f>
        <v>0</v>
      </c>
      <c r="H22" s="154">
        <f>IFERROR(VLOOKUP($A$3:$A$139,'APR-2026'!$A$4:$ABX$112,MATCH('FY-(26-27)Q1'!$G$2:$H$2,'APR-2026'!$A$2:$BY$2,0),0),0)</f>
        <v>0</v>
      </c>
      <c r="I22" s="152">
        <f>IFERROR(VLOOKUP($A$3:$A$139,'MAY-2026'!$A$4:$ACP$113,MATCH('FY-(26-27)Q1'!$I$2:$J$2,'MAY-2026'!$A$2:$CQ$2,0),0),0)</f>
        <v>-88900</v>
      </c>
      <c r="J22" s="154">
        <f>IFERROR(VLOOKUP($A$3:$A$139,'MAY-2026'!$A$4:$ACP$113,MATCH('FY-(26-27)Q1'!$I$2:$J$2,'MAY-2026'!$A$2:$CQ$2,0),0),0)</f>
        <v>-0.88900000000000001</v>
      </c>
      <c r="K22" s="152">
        <f>IFERROR(VLOOKUP($A$3:$A$139,'JUNE-2026'!$A$4:$ADJ$113,MATCH('FY-(26-27)Q1'!$K$2:$L$2,'JUNE-2026'!$A$2:$DK$2,0),0),0)</f>
        <v>0</v>
      </c>
      <c r="L22" s="154">
        <f>IFERROR(VLOOKUP($A$3:$A$139,'JUNE-2026'!$A$4:$ADJ$113,MATCH('FY-(26-27)Q1'!$K$2:$L$2,'JUNE-2026'!$A$2:$DK$2,0),0),0)</f>
        <v>0</v>
      </c>
      <c r="M22" s="71">
        <f t="shared" si="2"/>
        <v>-88900</v>
      </c>
      <c r="N22" s="165">
        <f t="shared" si="3"/>
        <v>-0.88900000000000001</v>
      </c>
      <c r="O22" s="214"/>
      <c r="P22" s="152">
        <f>IFERROR(VLOOKUP($A$3:$A$139,'FY-(26-27)Q2'!$A$4:$ABW$124,MATCH('FY-(26-27)Q1'!$P$2:$Q$2,'FY-(26-27)Q2'!$A$2:$BX$2,0),0),0)</f>
        <v>-114723</v>
      </c>
      <c r="Q22" s="154">
        <f>IFERROR(VLOOKUP($A$3:$A$139,'FY-(26-27)Q2'!$A$4:$ABW$124,MATCH('FY-(26-27)Q1'!$P$2:$Q$2,'FY-(26-27)Q2'!$A$2:$BX$2,0),0),0)</f>
        <v>-0.52146818181818178</v>
      </c>
      <c r="R22" s="158"/>
      <c r="S22" s="152">
        <f>IFERROR(VLOOKUP($A$3:$A$139,'FY-(26-27)Q3'!$A$4:$ABW$115,MATCH('FY-(26-27)Q1'!$S$2:$T$2,'FY-(26-27)Q3'!$A$2:$BX$2,0),0),0)</f>
        <v>175779</v>
      </c>
      <c r="T22" s="154">
        <f>IFERROR(VLOOKUP($A$3:$A$139,'FY-(26-27)Q3'!$A$4:$ABW$115,MATCH('FY-(26-27)Q1'!$S$2:$T$3,'FY-(26-27)Q3'!$A$2:$BX$2,0),0),0)</f>
        <v>0</v>
      </c>
      <c r="U22" s="158"/>
      <c r="V22" s="45"/>
      <c r="W22" s="72"/>
      <c r="Y22" s="153">
        <f t="shared" si="0"/>
        <v>-27844</v>
      </c>
      <c r="Z22" s="167">
        <f t="shared" si="1"/>
        <v>-1.4104681818181817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2">
        <f>IFERROR(VLOOKUP($A$3:$A$139,'APR-2026'!$A$4:$ABX$112,MATCH('FY-(26-27)Q1'!$G$2:$H$2,'APR-2026'!$A$2:$BY$2,0),0),0)</f>
        <v>141000</v>
      </c>
      <c r="H23" s="154">
        <f>IFERROR(VLOOKUP($A$3:$A$139,'APR-2026'!$A$4:$ABX$112,MATCH('FY-(26-27)Q1'!$G$2:$H$2,'APR-2026'!$A$2:$BY$2,0),0),0)</f>
        <v>1.41</v>
      </c>
      <c r="I23" s="152">
        <f>IFERROR(VLOOKUP($A$3:$A$139,'MAY-2026'!$A$4:$ACP$113,MATCH('FY-(26-27)Q1'!$I$2:$J$2,'MAY-2026'!$A$2:$CQ$2,0),0),0)</f>
        <v>-66086</v>
      </c>
      <c r="J23" s="154">
        <f>IFERROR(VLOOKUP($A$3:$A$139,'MAY-2026'!$A$4:$ACP$113,MATCH('FY-(26-27)Q1'!$I$2:$J$2,'MAY-2026'!$A$2:$CQ$2,0),0),0)</f>
        <v>-0.66086</v>
      </c>
      <c r="K23" s="152">
        <f>IFERROR(VLOOKUP($A$3:$A$139,'JUNE-2026'!$A$4:$ADJ$113,MATCH('FY-(26-27)Q1'!$K$2:$L$2,'JUNE-2026'!$A$2:$DK$2,0),0),0)</f>
        <v>-8863</v>
      </c>
      <c r="L23" s="154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5">
        <f t="shared" si="3"/>
        <v>0.66050999999999993</v>
      </c>
      <c r="O23" s="214"/>
      <c r="P23" s="152">
        <f>IFERROR(VLOOKUP($A$3:$A$139,'FY-(26-27)Q2'!$A$4:$ABW$124,MATCH('FY-(26-27)Q1'!$P$2:$Q$2,'FY-(26-27)Q2'!$A$2:$BX$2,0),0),0)</f>
        <v>7426</v>
      </c>
      <c r="Q23" s="154">
        <f>IFERROR(VLOOKUP($A$3:$A$139,'FY-(26-27)Q2'!$A$4:$ABW$124,MATCH('FY-(26-27)Q1'!$P$2:$Q$2,'FY-(26-27)Q2'!$A$2:$BX$2,0),0),0)</f>
        <v>7.4260000000000007E-2</v>
      </c>
      <c r="R23" s="158"/>
      <c r="S23" s="152">
        <f>IFERROR(VLOOKUP($A$3:$A$139,'FY-(26-27)Q3'!$A$4:$ABW$115,MATCH('FY-(26-27)Q1'!$S$2:$T$2,'FY-(26-27)Q3'!$A$2:$BX$2,0),0),0)</f>
        <v>0</v>
      </c>
      <c r="T23" s="154">
        <f>IFERROR(VLOOKUP($A$3:$A$139,'FY-(26-27)Q3'!$A$4:$ABW$115,MATCH('FY-(26-27)Q1'!$S$2:$T$3,'FY-(26-27)Q3'!$A$2:$BX$2,0),0),0)</f>
        <v>0</v>
      </c>
      <c r="U23" s="158"/>
      <c r="V23" s="45"/>
      <c r="W23" s="72"/>
      <c r="Y23" s="153">
        <f t="shared" si="0"/>
        <v>73477</v>
      </c>
      <c r="Z23" s="167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2">
        <f>IFERROR(VLOOKUP($A$3:$A$139,'APR-2026'!$A$4:$ABX$112,MATCH('FY-(26-27)Q1'!$G$2:$H$2,'APR-2026'!$A$2:$BY$2,0),0),0)</f>
        <v>1642522</v>
      </c>
      <c r="H24" s="154">
        <f>IFERROR(VLOOKUP($A$3:$A$139,'APR-2026'!$A$4:$ABX$112,MATCH('FY-(26-27)Q1'!$G$2:$H$2,'APR-2026'!$A$2:$BY$2,0),0),0)</f>
        <v>16.425219999999999</v>
      </c>
      <c r="I24" s="152">
        <f>IFERROR(VLOOKUP($A$3:$A$139,'MAY-2026'!$A$4:$ACP$113,MATCH('FY-(26-27)Q1'!$I$2:$J$2,'MAY-2026'!$A$2:$CQ$2,0),0),0)</f>
        <v>42324</v>
      </c>
      <c r="J24" s="154">
        <f>IFERROR(VLOOKUP($A$3:$A$139,'MAY-2026'!$A$4:$ACP$113,MATCH('FY-(26-27)Q1'!$I$2:$J$2,'MAY-2026'!$A$2:$CQ$2,0),0),0)</f>
        <v>0.42324000000000001</v>
      </c>
      <c r="K24" s="152">
        <f>IFERROR(VLOOKUP($A$3:$A$139,'JUNE-2026'!$A$4:$ADJ$113,MATCH('FY-(26-27)Q1'!$K$2:$L$2,'JUNE-2026'!$A$2:$DK$2,0),0),0)</f>
        <v>30499</v>
      </c>
      <c r="L24" s="154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5">
        <f t="shared" si="3"/>
        <v>17.153449999999999</v>
      </c>
      <c r="O24" s="214"/>
      <c r="P24" s="152">
        <f>IFERROR(VLOOKUP($A$3:$A$139,'FY-(26-27)Q2'!$A$4:$ABW$124,MATCH('FY-(26-27)Q1'!$P$2:$Q$2,'FY-(26-27)Q2'!$A$2:$BX$2,0),0),0)</f>
        <v>30836</v>
      </c>
      <c r="Q24" s="154">
        <f>IFERROR(VLOOKUP($A$3:$A$139,'FY-(26-27)Q2'!$A$4:$ABW$124,MATCH('FY-(26-27)Q1'!$P$2:$Q$2,'FY-(26-27)Q2'!$A$2:$BX$2,0),0),0)</f>
        <v>0.30836000000000002</v>
      </c>
      <c r="R24" s="158"/>
      <c r="S24" s="152">
        <f>IFERROR(VLOOKUP($A$3:$A$139,'FY-(26-27)Q3'!$A$4:$ABW$115,MATCH('FY-(26-27)Q1'!$S$2:$T$2,'FY-(26-27)Q3'!$A$2:$BX$2,0),0),0)</f>
        <v>9974</v>
      </c>
      <c r="T24" s="154">
        <f>IFERROR(VLOOKUP($A$3:$A$139,'FY-(26-27)Q3'!$A$4:$ABW$115,MATCH('FY-(26-27)Q1'!$S$2:$T$3,'FY-(26-27)Q3'!$A$2:$BX$2,0),0),0)</f>
        <v>0</v>
      </c>
      <c r="U24" s="158"/>
      <c r="V24" s="45"/>
      <c r="W24" s="72"/>
      <c r="Y24" s="153">
        <f t="shared" si="0"/>
        <v>1756155</v>
      </c>
      <c r="Z24" s="167">
        <f t="shared" si="1"/>
        <v>17.46181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2">
        <f>IFERROR(VLOOKUP($A$3:$A$139,'APR-2026'!$A$4:$ABX$112,MATCH('FY-(26-27)Q1'!$G$2:$H$2,'APR-2026'!$A$2:$BY$2,0),0),0)</f>
        <v>10517</v>
      </c>
      <c r="H25" s="154">
        <f>IFERROR(VLOOKUP($A$3:$A$139,'APR-2026'!$A$4:$ABX$112,MATCH('FY-(26-27)Q1'!$G$2:$H$2,'APR-2026'!$A$2:$BY$2,0),0),0)</f>
        <v>0.10517</v>
      </c>
      <c r="I25" s="152">
        <f>IFERROR(VLOOKUP($A$3:$A$139,'MAY-2026'!$A$4:$ACP$113,MATCH('FY-(26-27)Q1'!$I$2:$J$2,'MAY-2026'!$A$2:$CQ$2,0),0),0)</f>
        <v>25727</v>
      </c>
      <c r="J25" s="154">
        <f>IFERROR(VLOOKUP($A$3:$A$139,'MAY-2026'!$A$4:$ACP$113,MATCH('FY-(26-27)Q1'!$I$2:$J$2,'MAY-2026'!$A$2:$CQ$2,0),0),0)</f>
        <v>0.25727</v>
      </c>
      <c r="K25" s="152">
        <f>IFERROR(VLOOKUP($A$3:$A$139,'JUNE-2026'!$A$4:$ADJ$113,MATCH('FY-(26-27)Q1'!$K$2:$L$2,'JUNE-2026'!$A$2:$DK$2,0),0),0)</f>
        <v>-71637</v>
      </c>
      <c r="L25" s="154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5">
        <f t="shared" si="3"/>
        <v>-0.35392999999999997</v>
      </c>
      <c r="O25" s="214"/>
      <c r="P25" s="152">
        <f>IFERROR(VLOOKUP($A$3:$A$139,'FY-(26-27)Q2'!$A$4:$ABW$124,MATCH('FY-(26-27)Q1'!$P$2:$Q$2,'FY-(26-27)Q2'!$A$2:$BX$2,0),0),0)</f>
        <v>0</v>
      </c>
      <c r="Q25" s="154">
        <f>IFERROR(VLOOKUP($A$3:$A$139,'FY-(26-27)Q2'!$A$4:$ABW$124,MATCH('FY-(26-27)Q1'!$P$2:$Q$2,'FY-(26-27)Q2'!$A$2:$BX$2,0),0),0)</f>
        <v>0</v>
      </c>
      <c r="R25" s="158"/>
      <c r="S25" s="152">
        <f>IFERROR(VLOOKUP($A$3:$A$139,'FY-(26-27)Q3'!$A$4:$ABW$115,MATCH('FY-(26-27)Q1'!$S$2:$T$2,'FY-(26-27)Q3'!$A$2:$BX$2,0),0),0)</f>
        <v>0</v>
      </c>
      <c r="T25" s="154">
        <f>IFERROR(VLOOKUP($A$3:$A$139,'FY-(26-27)Q3'!$A$4:$ABW$115,MATCH('FY-(26-27)Q1'!$S$2:$T$3,'FY-(26-27)Q3'!$A$2:$BX$2,0),0),0)</f>
        <v>0</v>
      </c>
      <c r="U25" s="158"/>
      <c r="V25" s="45"/>
      <c r="W25" s="72"/>
      <c r="Y25" s="153">
        <f t="shared" si="0"/>
        <v>-35393</v>
      </c>
      <c r="Z25" s="167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2">
        <f>IFERROR(VLOOKUP($A$3:$A$139,'APR-2026'!$A$4:$ABX$112,MATCH('FY-(26-27)Q1'!$G$2:$H$2,'APR-2026'!$A$2:$BY$2,0),0),0)</f>
        <v>-45133</v>
      </c>
      <c r="H26" s="154">
        <f>IFERROR(VLOOKUP($A$3:$A$139,'APR-2026'!$A$4:$ABX$112,MATCH('FY-(26-27)Q1'!$G$2:$H$2,'APR-2026'!$A$2:$BY$2,0),0),0)</f>
        <v>-0.45133000000000001</v>
      </c>
      <c r="I26" s="152">
        <f>IFERROR(VLOOKUP($A$3:$A$139,'MAY-2026'!$A$4:$ACP$113,MATCH('FY-(26-27)Q1'!$I$2:$J$2,'MAY-2026'!$A$2:$CQ$2,0),0),0)</f>
        <v>-98600</v>
      </c>
      <c r="J26" s="154">
        <f>IFERROR(VLOOKUP($A$3:$A$139,'MAY-2026'!$A$4:$ACP$113,MATCH('FY-(26-27)Q1'!$I$2:$J$2,'MAY-2026'!$A$2:$CQ$2,0),0),0)</f>
        <v>-0.98599999999999999</v>
      </c>
      <c r="K26" s="152">
        <f>IFERROR(VLOOKUP($A$3:$A$139,'JUNE-2026'!$A$4:$ADJ$113,MATCH('FY-(26-27)Q1'!$K$2:$L$2,'JUNE-2026'!$A$2:$DK$2,0),0),0)</f>
        <v>-26270</v>
      </c>
      <c r="L26" s="154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5">
        <f t="shared" si="3"/>
        <v>-1.7000299999999999</v>
      </c>
      <c r="O26" s="214"/>
      <c r="P26" s="152">
        <f>IFERROR(VLOOKUP($A$3:$A$139,'FY-(26-27)Q2'!$A$4:$ABW$124,MATCH('FY-(26-27)Q1'!$P$2:$Q$2,'FY-(26-27)Q2'!$A$2:$BX$2,0),0),0)</f>
        <v>0</v>
      </c>
      <c r="Q26" s="154">
        <f>IFERROR(VLOOKUP($A$3:$A$139,'FY-(26-27)Q2'!$A$4:$ABW$124,MATCH('FY-(26-27)Q1'!$P$2:$Q$2,'FY-(26-27)Q2'!$A$2:$BX$2,0),0),0)</f>
        <v>0</v>
      </c>
      <c r="R26" s="158"/>
      <c r="S26" s="152">
        <f>IFERROR(VLOOKUP($A$3:$A$139,'FY-(26-27)Q3'!$A$4:$ABW$115,MATCH('FY-(26-27)Q1'!$S$2:$T$2,'FY-(26-27)Q3'!$A$2:$BX$2,0),0),0)</f>
        <v>0</v>
      </c>
      <c r="T26" s="154">
        <f>IFERROR(VLOOKUP($A$3:$A$139,'FY-(26-27)Q3'!$A$4:$ABW$115,MATCH('FY-(26-27)Q1'!$S$2:$T$3,'FY-(26-27)Q3'!$A$2:$BX$2,0),0),0)</f>
        <v>0</v>
      </c>
      <c r="U26" s="158"/>
      <c r="V26" s="45"/>
      <c r="W26" s="72"/>
      <c r="Y26" s="153">
        <f t="shared" si="0"/>
        <v>-170003</v>
      </c>
      <c r="Z26" s="167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2">
        <f>IFERROR(VLOOKUP($A$3:$A$139,'APR-2026'!$A$4:$ABX$112,MATCH('FY-(26-27)Q1'!$G$2:$H$2,'APR-2026'!$A$2:$BY$2,0),0),0)</f>
        <v>100262</v>
      </c>
      <c r="H27" s="154">
        <f>IFERROR(VLOOKUP($A$3:$A$139,'APR-2026'!$A$4:$ABX$112,MATCH('FY-(26-27)Q1'!$G$2:$H$2,'APR-2026'!$A$2:$BY$2,0),0),0)</f>
        <v>1.0026200000000001</v>
      </c>
      <c r="I27" s="152">
        <f>IFERROR(VLOOKUP($A$3:$A$139,'MAY-2026'!$A$4:$ACP$113,MATCH('FY-(26-27)Q1'!$I$2:$J$2,'MAY-2026'!$A$2:$CQ$2,0),0),0)</f>
        <v>-159139</v>
      </c>
      <c r="J27" s="154">
        <f>IFERROR(VLOOKUP($A$3:$A$139,'MAY-2026'!$A$4:$ACP$113,MATCH('FY-(26-27)Q1'!$I$2:$J$2,'MAY-2026'!$A$2:$CQ$2,0),0),0)</f>
        <v>-1.5913900000000001</v>
      </c>
      <c r="K27" s="152">
        <f>IFERROR(VLOOKUP($A$3:$A$139,'JUNE-2026'!$A$4:$ADJ$113,MATCH('FY-(26-27)Q1'!$K$2:$L$2,'JUNE-2026'!$A$2:$DK$2,0),0),0)</f>
        <v>5762</v>
      </c>
      <c r="L27" s="154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5">
        <f t="shared" si="3"/>
        <v>-0.53115000000000001</v>
      </c>
      <c r="O27" s="214"/>
      <c r="P27" s="152">
        <f>IFERROR(VLOOKUP($A$3:$A$139,'FY-(26-27)Q2'!$A$4:$ABW$124,MATCH('FY-(26-27)Q1'!$P$2:$Q$2,'FY-(26-27)Q2'!$A$2:$BX$2,0),0),0)</f>
        <v>0</v>
      </c>
      <c r="Q27" s="154">
        <f>IFERROR(VLOOKUP($A$3:$A$139,'FY-(26-27)Q2'!$A$4:$ABW$124,MATCH('FY-(26-27)Q1'!$P$2:$Q$2,'FY-(26-27)Q2'!$A$2:$BX$2,0),0),0)</f>
        <v>0</v>
      </c>
      <c r="R27" s="158"/>
      <c r="S27" s="152">
        <f>IFERROR(VLOOKUP($A$3:$A$139,'FY-(26-27)Q3'!$A$4:$ABW$115,MATCH('FY-(26-27)Q1'!$S$2:$T$2,'FY-(26-27)Q3'!$A$2:$BX$2,0),0),0)</f>
        <v>0</v>
      </c>
      <c r="T27" s="154">
        <f>IFERROR(VLOOKUP($A$3:$A$139,'FY-(26-27)Q3'!$A$4:$ABW$115,MATCH('FY-(26-27)Q1'!$S$2:$T$3,'FY-(26-27)Q3'!$A$2:$BX$2,0),0),0)</f>
        <v>0</v>
      </c>
      <c r="U27" s="158"/>
      <c r="V27" s="45"/>
      <c r="W27" s="72"/>
      <c r="Y27" s="153">
        <f t="shared" si="0"/>
        <v>-53115</v>
      </c>
      <c r="Z27" s="167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2">
        <f>IFERROR(VLOOKUP($A$3:$A$139,'APR-2026'!$A$4:$ABX$112,MATCH('FY-(26-27)Q1'!$G$2:$H$2,'APR-2026'!$A$2:$BY$2,0),0),0)</f>
        <v>308939</v>
      </c>
      <c r="H28" s="154">
        <f>IFERROR(VLOOKUP($A$3:$A$139,'APR-2026'!$A$4:$ABX$112,MATCH('FY-(26-27)Q1'!$G$2:$H$2,'APR-2026'!$A$2:$BY$2,0),0),0)</f>
        <v>1.2357560000000001</v>
      </c>
      <c r="I28" s="152">
        <f>IFERROR(VLOOKUP($A$3:$A$139,'MAY-2026'!$A$4:$ACP$113,MATCH('FY-(26-27)Q1'!$I$2:$J$2,'MAY-2026'!$A$2:$CQ$2,0),0),0)</f>
        <v>79409</v>
      </c>
      <c r="J28" s="154">
        <f>IFERROR(VLOOKUP($A$3:$A$139,'MAY-2026'!$A$4:$ACP$113,MATCH('FY-(26-27)Q1'!$I$2:$J$2,'MAY-2026'!$A$2:$CQ$2,0),0),0)</f>
        <v>0.31763599999999997</v>
      </c>
      <c r="K28" s="152">
        <f>IFERROR(VLOOKUP($A$3:$A$139,'JUNE-2026'!$A$4:$ADJ$113,MATCH('FY-(26-27)Q1'!$K$2:$L$2,'JUNE-2026'!$A$2:$DK$2,0),0),0)</f>
        <v>-30135</v>
      </c>
      <c r="L28" s="154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5">
        <f t="shared" si="3"/>
        <v>1.432852</v>
      </c>
      <c r="O28" s="214"/>
      <c r="P28" s="152">
        <f>IFERROR(VLOOKUP($A$3:$A$139,'FY-(26-27)Q2'!$A$4:$ABW$124,MATCH('FY-(26-27)Q1'!$P$2:$Q$2,'FY-(26-27)Q2'!$A$2:$BX$2,0),0),0)</f>
        <v>20055</v>
      </c>
      <c r="Q28" s="154">
        <f>IFERROR(VLOOKUP($A$3:$A$139,'FY-(26-27)Q2'!$A$4:$ABW$124,MATCH('FY-(26-27)Q1'!$P$2:$Q$2,'FY-(26-27)Q2'!$A$2:$BX$2,0),0),0)</f>
        <v>8.0220000000000014E-2</v>
      </c>
      <c r="R28" s="158"/>
      <c r="S28" s="152">
        <f>IFERROR(VLOOKUP($A$3:$A$139,'FY-(26-27)Q3'!$A$4:$ABW$115,MATCH('FY-(26-27)Q1'!$S$2:$T$2,'FY-(26-27)Q3'!$A$2:$BX$2,0),0),0)</f>
        <v>13764</v>
      </c>
      <c r="T28" s="154">
        <f>IFERROR(VLOOKUP($A$3:$A$139,'FY-(26-27)Q3'!$A$4:$ABW$115,MATCH('FY-(26-27)Q1'!$S$2:$T$3,'FY-(26-27)Q3'!$A$2:$BX$2,0),0),0)</f>
        <v>0</v>
      </c>
      <c r="U28" s="158"/>
      <c r="V28" s="45"/>
      <c r="W28" s="72"/>
      <c r="Y28" s="153">
        <f t="shared" si="0"/>
        <v>392032</v>
      </c>
      <c r="Z28" s="167">
        <f t="shared" si="1"/>
        <v>1.513072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2">
        <f>IFERROR(VLOOKUP($A$3:$A$139,'APR-2026'!$A$4:$ABX$112,MATCH('FY-(26-27)Q1'!$G$2:$H$2,'APR-2026'!$A$2:$BY$2,0),0),0)</f>
        <v>405124</v>
      </c>
      <c r="H29" s="154">
        <f>IFERROR(VLOOKUP($A$3:$A$139,'APR-2026'!$A$4:$ABX$112,MATCH('FY-(26-27)Q1'!$G$2:$H$2,'APR-2026'!$A$2:$BY$2,0),0),0)</f>
        <v>1.01281</v>
      </c>
      <c r="I29" s="152">
        <f>IFERROR(VLOOKUP($A$3:$A$139,'MAY-2026'!$A$4:$ACP$113,MATCH('FY-(26-27)Q1'!$I$2:$J$2,'MAY-2026'!$A$2:$CQ$2,0),0),0)</f>
        <v>-290952</v>
      </c>
      <c r="J29" s="154">
        <f>IFERROR(VLOOKUP($A$3:$A$139,'MAY-2026'!$A$4:$ACP$113,MATCH('FY-(26-27)Q1'!$I$2:$J$2,'MAY-2026'!$A$2:$CQ$2,0),0),0)</f>
        <v>-0.72738000000000003</v>
      </c>
      <c r="K29" s="152">
        <f>IFERROR(VLOOKUP($A$3:$A$139,'JUNE-2026'!$A$4:$ADJ$113,MATCH('FY-(26-27)Q1'!$K$2:$L$2,'JUNE-2026'!$A$2:$DK$2,0),0),0)</f>
        <v>556291</v>
      </c>
      <c r="L29" s="154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5">
        <f t="shared" si="3"/>
        <v>1.6761575</v>
      </c>
      <c r="O29" s="214"/>
      <c r="P29" s="152">
        <f>IFERROR(VLOOKUP($A$3:$A$139,'FY-(26-27)Q2'!$A$4:$ABW$124,MATCH('FY-(26-27)Q1'!$P$2:$Q$2,'FY-(26-27)Q2'!$A$2:$BX$2,0),0),0)</f>
        <v>208990</v>
      </c>
      <c r="Q29" s="154">
        <f>IFERROR(VLOOKUP($A$3:$A$139,'FY-(26-27)Q2'!$A$4:$ABW$124,MATCH('FY-(26-27)Q1'!$P$2:$Q$2,'FY-(26-27)Q2'!$A$2:$BX$2,0),0),0)</f>
        <v>0.52247499999999991</v>
      </c>
      <c r="R29" s="158"/>
      <c r="S29" s="152">
        <f>IFERROR(VLOOKUP($A$3:$A$139,'FY-(26-27)Q3'!$A$4:$ABW$115,MATCH('FY-(26-27)Q1'!$S$2:$T$2,'FY-(26-27)Q3'!$A$2:$BX$2,0),0),0)</f>
        <v>49601</v>
      </c>
      <c r="T29" s="154">
        <f>IFERROR(VLOOKUP($A$3:$A$139,'FY-(26-27)Q3'!$A$4:$ABW$115,MATCH('FY-(26-27)Q1'!$S$2:$T$3,'FY-(26-27)Q3'!$A$2:$BX$2,0),0),0)</f>
        <v>0</v>
      </c>
      <c r="U29" s="158"/>
      <c r="V29" s="45"/>
      <c r="W29" s="72"/>
      <c r="X29" s="1"/>
      <c r="Y29" s="153">
        <f t="shared" si="0"/>
        <v>929054</v>
      </c>
      <c r="Z29" s="167">
        <f t="shared" si="1"/>
        <v>2.1986325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2">
        <f>IFERROR(VLOOKUP($A$3:$A$139,'APR-2026'!$A$4:$ABX$112,MATCH('FY-(26-27)Q1'!$G$2:$H$2,'APR-2026'!$A$2:$BY$2,0),0),0)</f>
        <v>35922</v>
      </c>
      <c r="H30" s="154">
        <f>IFERROR(VLOOKUP($A$3:$A$139,'APR-2026'!$A$4:$ABX$112,MATCH('FY-(26-27)Q1'!$G$2:$H$2,'APR-2026'!$A$2:$BY$2,0),0),0)</f>
        <v>0.32656363636363633</v>
      </c>
      <c r="I30" s="152">
        <f>IFERROR(VLOOKUP($A$3:$A$139,'MAY-2026'!$A$4:$ACP$113,MATCH('FY-(26-27)Q1'!$I$2:$J$2,'MAY-2026'!$A$2:$CQ$2,0),0),0)</f>
        <v>-178282</v>
      </c>
      <c r="J30" s="154">
        <f>IFERROR(VLOOKUP($A$3:$A$139,'MAY-2026'!$A$4:$ACP$113,MATCH('FY-(26-27)Q1'!$I$2:$J$2,'MAY-2026'!$A$2:$CQ$2,0),0),0)</f>
        <v>-1.6207454545454545</v>
      </c>
      <c r="K30" s="152">
        <f>IFERROR(VLOOKUP($A$3:$A$139,'JUNE-2026'!$A$4:$ADJ$113,MATCH('FY-(26-27)Q1'!$K$2:$L$2,'JUNE-2026'!$A$2:$DK$2,0),0),0)</f>
        <v>142078</v>
      </c>
      <c r="L30" s="154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5">
        <f t="shared" si="3"/>
        <v>-2.5636363636363235E-3</v>
      </c>
      <c r="O30" s="214"/>
      <c r="P30" s="152">
        <f>IFERROR(VLOOKUP($A$3:$A$139,'FY-(26-27)Q2'!$A$4:$ABW$124,MATCH('FY-(26-27)Q1'!$P$2:$Q$2,'FY-(26-27)Q2'!$A$2:$BX$2,0),0),0)</f>
        <v>57913</v>
      </c>
      <c r="Q30" s="154">
        <f>IFERROR(VLOOKUP($A$3:$A$139,'FY-(26-27)Q2'!$A$4:$ABW$124,MATCH('FY-(26-27)Q1'!$P$2:$Q$2,'FY-(26-27)Q2'!$A$2:$BX$2,0),0),0)</f>
        <v>0.52648181818181805</v>
      </c>
      <c r="R30" s="158"/>
      <c r="S30" s="152">
        <f>IFERROR(VLOOKUP($A$3:$A$139,'FY-(26-27)Q3'!$A$4:$ABW$115,MATCH('FY-(26-27)Q1'!$S$2:$T$2,'FY-(26-27)Q3'!$A$2:$BX$2,0),0),0)</f>
        <v>-150688</v>
      </c>
      <c r="T30" s="154">
        <f>IFERROR(VLOOKUP($A$3:$A$139,'FY-(26-27)Q3'!$A$4:$ABW$115,MATCH('FY-(26-27)Q1'!$S$2:$T$3,'FY-(26-27)Q3'!$A$2:$BX$2,0),0),0)</f>
        <v>0</v>
      </c>
      <c r="U30" s="158"/>
      <c r="V30" s="45"/>
      <c r="W30" s="72"/>
      <c r="X30" s="1"/>
      <c r="Y30" s="153">
        <f t="shared" si="0"/>
        <v>-93057</v>
      </c>
      <c r="Z30" s="167">
        <f t="shared" si="1"/>
        <v>0.52391818181818173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2">
        <f>IFERROR(VLOOKUP($A$3:$A$139,'APR-2026'!$A$4:$ABX$112,MATCH('FY-(26-27)Q1'!$G$2:$H$2,'APR-2026'!$A$2:$BY$2,0),0),0)</f>
        <v>10003</v>
      </c>
      <c r="H31" s="154">
        <f>IFERROR(VLOOKUP($A$3:$A$139,'APR-2026'!$A$4:$ABX$112,MATCH('FY-(26-27)Q1'!$G$2:$H$2,'APR-2026'!$A$2:$BY$2,0),0),0)</f>
        <v>0.40011999999999998</v>
      </c>
      <c r="I31" s="152">
        <f>IFERROR(VLOOKUP($A$3:$A$139,'MAY-2026'!$A$4:$ACP$113,MATCH('FY-(26-27)Q1'!$I$2:$J$2,'MAY-2026'!$A$2:$CQ$2,0),0),0)</f>
        <v>-76253</v>
      </c>
      <c r="J31" s="154">
        <f>IFERROR(VLOOKUP($A$3:$A$139,'MAY-2026'!$A$4:$ACP$113,MATCH('FY-(26-27)Q1'!$I$2:$J$2,'MAY-2026'!$A$2:$CQ$2,0),0),0)</f>
        <v>-3.0501200000000002</v>
      </c>
      <c r="K31" s="152">
        <f>IFERROR(VLOOKUP($A$3:$A$139,'JUNE-2026'!$A$4:$ADJ$113,MATCH('FY-(26-27)Q1'!$K$2:$L$2,'JUNE-2026'!$A$2:$DK$2,0),0),0)</f>
        <v>0</v>
      </c>
      <c r="L31" s="154">
        <f>IFERROR(VLOOKUP($A$3:$A$139,'JUNE-2026'!$A$4:$ADJ$113,MATCH('FY-(26-27)Q1'!$K$2:$L$2,'JUNE-2026'!$A$2:$DK$2,0),0),0)</f>
        <v>0</v>
      </c>
      <c r="M31" s="71">
        <f t="shared" si="2"/>
        <v>-66250</v>
      </c>
      <c r="N31" s="165">
        <f t="shared" si="3"/>
        <v>-2.6500000000000004</v>
      </c>
      <c r="O31" s="214"/>
      <c r="P31" s="152">
        <f>IFERROR(VLOOKUP($A$3:$A$139,'FY-(26-27)Q2'!$A$4:$ABW$124,MATCH('FY-(26-27)Q1'!$P$2:$Q$2,'FY-(26-27)Q2'!$A$2:$BX$2,0),0),0)</f>
        <v>0</v>
      </c>
      <c r="Q31" s="154">
        <f>IFERROR(VLOOKUP($A$3:$A$139,'FY-(26-27)Q2'!$A$4:$ABW$124,MATCH('FY-(26-27)Q1'!$P$2:$Q$2,'FY-(26-27)Q2'!$A$2:$BX$2,0),0),0)</f>
        <v>0</v>
      </c>
      <c r="R31" s="158"/>
      <c r="S31" s="152">
        <f>IFERROR(VLOOKUP($A$3:$A$139,'FY-(26-27)Q3'!$A$4:$ABW$115,MATCH('FY-(26-27)Q1'!$S$2:$T$2,'FY-(26-27)Q3'!$A$2:$BX$2,0),0),0)</f>
        <v>0</v>
      </c>
      <c r="T31" s="154">
        <f>IFERROR(VLOOKUP($A$3:$A$139,'FY-(26-27)Q3'!$A$4:$ABW$115,MATCH('FY-(26-27)Q1'!$S$2:$T$3,'FY-(26-27)Q3'!$A$2:$BX$2,0),0),0)</f>
        <v>0</v>
      </c>
      <c r="U31" s="158"/>
      <c r="V31" s="45"/>
      <c r="W31" s="72"/>
      <c r="X31"/>
      <c r="Y31" s="153">
        <f t="shared" si="0"/>
        <v>-66250</v>
      </c>
      <c r="Z31" s="167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1" t="s">
        <v>261</v>
      </c>
      <c r="E32" s="37" t="s">
        <v>256</v>
      </c>
      <c r="F32" s="116">
        <v>0.5</v>
      </c>
      <c r="G32" s="152">
        <f>IFERROR(VLOOKUP($A$3:$A$139,'APR-2026'!$A$4:$ABX$112,MATCH('FY-(26-27)Q1'!$G$2:$H$2,'APR-2026'!$A$2:$BY$2,0),0),0)</f>
        <v>202276</v>
      </c>
      <c r="H32" s="154">
        <f>IFERROR(VLOOKUP($A$3:$A$139,'APR-2026'!$A$4:$ABX$112,MATCH('FY-(26-27)Q1'!$G$2:$H$2,'APR-2026'!$A$2:$BY$2,0),0),0)</f>
        <v>1.3485066666666665</v>
      </c>
      <c r="I32" s="152">
        <f>IFERROR(VLOOKUP($A$3:$A$139,'MAY-2026'!$A$4:$ACP$113,MATCH('FY-(26-27)Q1'!$I$2:$J$2,'MAY-2026'!$A$2:$CQ$2,0),0),0)</f>
        <v>-2293</v>
      </c>
      <c r="J32" s="154">
        <f>IFERROR(VLOOKUP($A$3:$A$139,'MAY-2026'!$A$4:$ACP$113,MATCH('FY-(26-27)Q1'!$I$2:$J$2,'MAY-2026'!$A$2:$CQ$2,0),0),0)</f>
        <v>-1.5286666666666669E-2</v>
      </c>
      <c r="K32" s="152">
        <f>IFERROR(VLOOKUP($A$3:$A$139,'JUNE-2026'!$A$4:$ADJ$113,MATCH('FY-(26-27)Q1'!$K$2:$L$2,'JUNE-2026'!$A$2:$DK$2,0),0),0)</f>
        <v>-705052</v>
      </c>
      <c r="L32" s="154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5">
        <f t="shared" si="3"/>
        <v>-3.3671266666666675</v>
      </c>
      <c r="O32" s="214"/>
      <c r="P32" s="152">
        <f>IFERROR(VLOOKUP($A$3:$A$139,'FY-(26-27)Q2'!$A$4:$ABW$124,MATCH('FY-(26-27)Q1'!$P$2:$Q$2,'FY-(26-27)Q2'!$A$2:$BX$2,0),0),0)</f>
        <v>19064</v>
      </c>
      <c r="Q32" s="154">
        <f>IFERROR(VLOOKUP($A$3:$A$139,'FY-(26-27)Q2'!$A$4:$ABW$124,MATCH('FY-(26-27)Q1'!$P$2:$Q$2,'FY-(26-27)Q2'!$A$2:$BX$2,0),0),0)</f>
        <v>0.12709333333333339</v>
      </c>
      <c r="R32" s="158"/>
      <c r="S32" s="152">
        <f>IFERROR(VLOOKUP($A$3:$A$139,'FY-(26-27)Q3'!$A$4:$ABW$115,MATCH('FY-(26-27)Q1'!$S$2:$T$2,'FY-(26-27)Q3'!$A$2:$BX$2,0),0),0)</f>
        <v>450473</v>
      </c>
      <c r="T32" s="154">
        <f>IFERROR(VLOOKUP($A$3:$A$139,'FY-(26-27)Q3'!$A$4:$ABW$115,MATCH('FY-(26-27)Q1'!$S$2:$T$3,'FY-(26-27)Q3'!$A$2:$BX$2,0),0),0)</f>
        <v>0</v>
      </c>
      <c r="U32" s="158"/>
      <c r="V32" s="45"/>
      <c r="W32" s="72"/>
      <c r="X32"/>
      <c r="Y32" s="153">
        <f t="shared" si="0"/>
        <v>-35532</v>
      </c>
      <c r="Z32" s="167">
        <f t="shared" si="1"/>
        <v>-3.2400333333333342</v>
      </c>
    </row>
    <row r="33" spans="1:34" s="131" customFormat="1" ht="15" customHeight="1" x14ac:dyDescent="0.25">
      <c r="A33" s="141" t="s">
        <v>275</v>
      </c>
      <c r="B33" s="140" t="s">
        <v>164</v>
      </c>
      <c r="C33" s="140" t="s">
        <v>274</v>
      </c>
      <c r="D33" s="141" t="s">
        <v>152</v>
      </c>
      <c r="E33" s="141" t="s">
        <v>256</v>
      </c>
      <c r="F33" s="155">
        <v>0.1</v>
      </c>
      <c r="G33" s="152">
        <f>IFERROR(VLOOKUP($A$3:$A$139,'APR-2026'!$A$4:$ABX$112,MATCH('FY-(26-27)Q1'!$G$2:$H$2,'APR-2026'!$A$2:$BY$2,0),0),0)</f>
        <v>0</v>
      </c>
      <c r="H33" s="154">
        <f>IFERROR(VLOOKUP($A$3:$A$139,'APR-2026'!$A$4:$ABX$112,MATCH('FY-(26-27)Q1'!$G$2:$H$2,'APR-2026'!$A$2:$BY$2,0),0),0)</f>
        <v>0</v>
      </c>
      <c r="I33" s="152">
        <f>IFERROR(VLOOKUP($A$3:$A$139,'MAY-2026'!$A$4:$ACP$113,MATCH('FY-(26-27)Q1'!$I$2:$J$2,'MAY-2026'!$A$2:$CQ$2,0),0),0)</f>
        <v>0</v>
      </c>
      <c r="J33" s="154">
        <f>IFERROR(VLOOKUP($A$3:$A$139,'MAY-2026'!$A$4:$ACP$113,MATCH('FY-(26-27)Q1'!$I$2:$J$2,'MAY-2026'!$A$2:$CQ$2,0),0),0)</f>
        <v>0</v>
      </c>
      <c r="K33" s="152">
        <f>IFERROR(VLOOKUP($A$3:$A$139,'JUNE-2026'!$A$4:$ADJ$113,MATCH('FY-(26-27)Q1'!$K$2:$L$2,'JUNE-2026'!$A$2:$DK$2,0),0),0)</f>
        <v>-33738</v>
      </c>
      <c r="L33" s="154">
        <f>IFERROR(VLOOKUP($A$3:$A$139,'JUNE-2026'!$A$4:$ADJ$113,MATCH('FY-(26-27)Q1'!$K$2:$L$2,'JUNE-2026'!$A$2:$DK$2,0),0),0)</f>
        <v>-0.67476000000000003</v>
      </c>
      <c r="M33" s="71">
        <f t="shared" ref="M33" si="18">G33+I33+K33</f>
        <v>-33738</v>
      </c>
      <c r="N33" s="165">
        <f t="shared" ref="N33" si="19">H33+J33+L33</f>
        <v>-0.67476000000000003</v>
      </c>
      <c r="O33" s="214"/>
      <c r="P33" s="152">
        <f>IFERROR(VLOOKUP($A$3:$A$139,'FY-(26-27)Q2'!$A$4:$ABW$124,MATCH('FY-(26-27)Q1'!$P$2:$Q$2,'FY-(26-27)Q2'!$A$2:$BX$2,0),0),0)</f>
        <v>-18550</v>
      </c>
      <c r="Q33" s="154">
        <f>IFERROR(VLOOKUP($A$3:$A$139,'FY-(26-27)Q2'!$A$4:$ABW$124,MATCH('FY-(26-27)Q1'!$P$2:$Q$2,'FY-(26-27)Q2'!$A$2:$BX$2,0),0),0)</f>
        <v>-0.1855</v>
      </c>
      <c r="R33" s="158"/>
      <c r="S33" s="152">
        <f>IFERROR(VLOOKUP($A$3:$A$139,'FY-(26-27)Q3'!$A$4:$ABW$115,MATCH('FY-(26-27)Q1'!$S$2:$T$2,'FY-(26-27)Q3'!$A$2:$BX$2,0),0),0)</f>
        <v>0</v>
      </c>
      <c r="T33" s="154">
        <f>IFERROR(VLOOKUP($A$3:$A$139,'FY-(26-27)Q3'!$A$4:$ABW$115,MATCH('FY-(26-27)Q1'!$S$2:$T$3,'FY-(26-27)Q3'!$A$2:$BX$2,0),0),0)</f>
        <v>0</v>
      </c>
      <c r="U33" s="158"/>
      <c r="V33" s="143"/>
      <c r="W33" s="149"/>
      <c r="Y33" s="153">
        <f t="shared" si="0"/>
        <v>-52288</v>
      </c>
      <c r="Z33" s="167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2">
        <f>IFERROR(VLOOKUP($A$3:$A$139,'APR-2026'!$A$4:$ABX$112,MATCH('FY-(26-27)Q1'!$G$2:$H$2,'APR-2026'!$A$2:$BY$2,0),0),0)</f>
        <v>16344</v>
      </c>
      <c r="H34" s="154">
        <f>IFERROR(VLOOKUP($A$3:$A$139,'APR-2026'!$A$4:$ABX$112,MATCH('FY-(26-27)Q1'!$G$2:$H$2,'APR-2026'!$A$2:$BY$2,0),0),0)</f>
        <v>0.14858181818181818</v>
      </c>
      <c r="I34" s="152">
        <f>IFERROR(VLOOKUP($A$3:$A$139,'MAY-2026'!$A$4:$ACP$113,MATCH('FY-(26-27)Q1'!$I$2:$J$2,'MAY-2026'!$A$2:$CQ$2,0),0),0)</f>
        <v>-99601</v>
      </c>
      <c r="J34" s="154">
        <f>IFERROR(VLOOKUP($A$3:$A$139,'MAY-2026'!$A$4:$ACP$113,MATCH('FY-(26-27)Q1'!$I$2:$J$2,'MAY-2026'!$A$2:$CQ$2,0),0),0)</f>
        <v>-0.90546363636363636</v>
      </c>
      <c r="K34" s="152">
        <f>IFERROR(VLOOKUP($A$3:$A$139,'JUNE-2026'!$A$4:$ADJ$113,MATCH('FY-(26-27)Q1'!$K$2:$L$2,'JUNE-2026'!$A$2:$DK$2,0),0),0)</f>
        <v>-235683</v>
      </c>
      <c r="L34" s="154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5">
        <f t="shared" si="3"/>
        <v>-2.8994545454545451</v>
      </c>
      <c r="O34" s="214"/>
      <c r="P34" s="152">
        <f>IFERROR(VLOOKUP($A$3:$A$139,'FY-(26-27)Q2'!$A$4:$ABW$124,MATCH('FY-(26-27)Q1'!$P$2:$Q$2,'FY-(26-27)Q2'!$A$2:$BX$2,0),0),0)</f>
        <v>171313</v>
      </c>
      <c r="Q34" s="154">
        <f>IFERROR(VLOOKUP($A$3:$A$139,'FY-(26-27)Q2'!$A$4:$ABW$124,MATCH('FY-(26-27)Q1'!$P$2:$Q$2,'FY-(26-27)Q2'!$A$2:$BX$2,0),0),0)</f>
        <v>1.5573909090909086</v>
      </c>
      <c r="R34" s="158"/>
      <c r="S34" s="152">
        <f>IFERROR(VLOOKUP($A$3:$A$139,'FY-(26-27)Q3'!$A$4:$ABW$115,MATCH('FY-(26-27)Q1'!$S$2:$T$2,'FY-(26-27)Q3'!$A$2:$BX$2,0),0),0)</f>
        <v>3279</v>
      </c>
      <c r="T34" s="154">
        <f>IFERROR(VLOOKUP($A$3:$A$139,'FY-(26-27)Q3'!$A$4:$ABW$115,MATCH('FY-(26-27)Q1'!$S$2:$T$3,'FY-(26-27)Q3'!$A$2:$BX$2,0),0),0)</f>
        <v>0</v>
      </c>
      <c r="U34" s="158"/>
      <c r="V34" s="45"/>
      <c r="W34" s="72"/>
      <c r="Y34" s="153">
        <f t="shared" si="0"/>
        <v>-144348</v>
      </c>
      <c r="Z34" s="167">
        <f t="shared" si="1"/>
        <v>-1.3420636363636365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2">
        <f>IFERROR(VLOOKUP($A$3:$A$139,'APR-2026'!$A$4:$ABX$112,MATCH('FY-(26-27)Q1'!$G$2:$H$2,'APR-2026'!$A$2:$BY$2,0),0),0)</f>
        <v>-203101</v>
      </c>
      <c r="H35" s="154">
        <f>IFERROR(VLOOKUP($A$3:$A$139,'APR-2026'!$A$4:$ABX$112,MATCH('FY-(26-27)Q1'!$G$2:$H$2,'APR-2026'!$A$2:$BY$2,0),0),0)</f>
        <v>-4.0620200000000004</v>
      </c>
      <c r="I35" s="152">
        <f>IFERROR(VLOOKUP($A$3:$A$139,'MAY-2026'!$A$4:$ACP$113,MATCH('FY-(26-27)Q1'!$I$2:$J$2,'MAY-2026'!$A$2:$CQ$2,0),0),0)</f>
        <v>-128306</v>
      </c>
      <c r="J35" s="154">
        <f>IFERROR(VLOOKUP($A$3:$A$139,'MAY-2026'!$A$4:$ACP$113,MATCH('FY-(26-27)Q1'!$I$2:$J$2,'MAY-2026'!$A$2:$CQ$2,0),0),0)</f>
        <v>-2.5661200000000002</v>
      </c>
      <c r="K35" s="152">
        <f>IFERROR(VLOOKUP($A$3:$A$139,'JUNE-2026'!$A$4:$ADJ$113,MATCH('FY-(26-27)Q1'!$K$2:$L$2,'JUNE-2026'!$A$2:$DK$2,0),0),0)</f>
        <v>0</v>
      </c>
      <c r="L35" s="154">
        <f>IFERROR(VLOOKUP($A$3:$A$139,'JUNE-2026'!$A$4:$ADJ$113,MATCH('FY-(26-27)Q1'!$K$2:$L$2,'JUNE-2026'!$A$2:$DK$2,0),0),0)</f>
        <v>0</v>
      </c>
      <c r="M35" s="71">
        <f t="shared" si="2"/>
        <v>-331407</v>
      </c>
      <c r="N35" s="165">
        <f t="shared" si="3"/>
        <v>-6.6281400000000001</v>
      </c>
      <c r="O35" s="214"/>
      <c r="P35" s="152">
        <f>IFERROR(VLOOKUP($A$3:$A$139,'FY-(26-27)Q2'!$A$4:$ABW$124,MATCH('FY-(26-27)Q1'!$P$2:$Q$2,'FY-(26-27)Q2'!$A$2:$BX$2,0),0),0)</f>
        <v>0</v>
      </c>
      <c r="Q35" s="154">
        <f>IFERROR(VLOOKUP($A$3:$A$139,'FY-(26-27)Q2'!$A$4:$ABW$124,MATCH('FY-(26-27)Q1'!$P$2:$Q$2,'FY-(26-27)Q2'!$A$2:$BX$2,0),0),0)</f>
        <v>0</v>
      </c>
      <c r="R35" s="158"/>
      <c r="S35" s="152">
        <f>IFERROR(VLOOKUP($A$3:$A$139,'FY-(26-27)Q3'!$A$4:$ABW$115,MATCH('FY-(26-27)Q1'!$S$2:$T$2,'FY-(26-27)Q3'!$A$2:$BX$2,0),0),0)</f>
        <v>0</v>
      </c>
      <c r="T35" s="154">
        <f>IFERROR(VLOOKUP($A$3:$A$139,'FY-(26-27)Q3'!$A$4:$ABW$115,MATCH('FY-(26-27)Q1'!$S$2:$T$3,'FY-(26-27)Q3'!$A$2:$BX$2,0),0),0)</f>
        <v>0</v>
      </c>
      <c r="U35" s="158"/>
      <c r="V35" s="45"/>
      <c r="W35" s="72"/>
      <c r="Y35" s="153">
        <f t="shared" si="0"/>
        <v>-331407</v>
      </c>
      <c r="Z35" s="167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2">
        <f>IFERROR(VLOOKUP($A$3:$A$139,'APR-2026'!$A$4:$ABX$112,MATCH('FY-(26-27)Q1'!$G$2:$H$2,'APR-2026'!$A$2:$BY$2,0),0),0)</f>
        <v>3190697</v>
      </c>
      <c r="H36" s="154">
        <f>IFERROR(VLOOKUP($A$3:$A$139,'APR-2026'!$A$4:$ABX$112,MATCH('FY-(26-27)Q1'!$G$2:$H$2,'APR-2026'!$A$2:$BY$2,0),0),0)</f>
        <v>13.872595652173912</v>
      </c>
      <c r="I36" s="152">
        <f>IFERROR(VLOOKUP($A$3:$A$139,'MAY-2026'!$A$4:$ACP$113,MATCH('FY-(26-27)Q1'!$I$2:$J$2,'MAY-2026'!$A$2:$CQ$2,0),0),0)</f>
        <v>688029</v>
      </c>
      <c r="J36" s="154">
        <f>IFERROR(VLOOKUP($A$3:$A$139,'MAY-2026'!$A$4:$ACP$113,MATCH('FY-(26-27)Q1'!$I$2:$J$2,'MAY-2026'!$A$2:$CQ$2,0),0),0)</f>
        <v>2.9914304347826084</v>
      </c>
      <c r="K36" s="152">
        <f>IFERROR(VLOOKUP($A$3:$A$139,'JUNE-2026'!$A$4:$ADJ$113,MATCH('FY-(26-27)Q1'!$K$2:$L$2,'JUNE-2026'!$A$2:$DK$2,0),0),0)</f>
        <v>282377</v>
      </c>
      <c r="L36" s="154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5">
        <f t="shared" si="3"/>
        <v>18.091752173913044</v>
      </c>
      <c r="O36" s="214"/>
      <c r="P36" s="152">
        <f>IFERROR(VLOOKUP($A$3:$A$139,'FY-(26-27)Q2'!$A$4:$ABW$124,MATCH('FY-(26-27)Q1'!$P$2:$Q$2,'FY-(26-27)Q2'!$A$2:$BX$2,0),0),0)</f>
        <v>-1258477</v>
      </c>
      <c r="Q36" s="154">
        <f>IFERROR(VLOOKUP($A$3:$A$139,'FY-(26-27)Q2'!$A$4:$ABW$124,MATCH('FY-(26-27)Q1'!$P$2:$Q$2,'FY-(26-27)Q2'!$A$2:$BX$2,0),0),0)</f>
        <v>-5.4716391304347844</v>
      </c>
      <c r="R36" s="158"/>
      <c r="S36" s="152">
        <f>IFERROR(VLOOKUP($A$3:$A$139,'FY-(26-27)Q3'!$A$4:$ABW$115,MATCH('FY-(26-27)Q1'!$S$2:$T$2,'FY-(26-27)Q3'!$A$2:$BX$2,0),0),0)</f>
        <v>-22607</v>
      </c>
      <c r="T36" s="154">
        <f>IFERROR(VLOOKUP($A$3:$A$139,'FY-(26-27)Q3'!$A$4:$ABW$115,MATCH('FY-(26-27)Q1'!$S$2:$T$3,'FY-(26-27)Q3'!$A$2:$BX$2,0),0),0)</f>
        <v>0</v>
      </c>
      <c r="U36" s="158"/>
      <c r="V36" s="45"/>
      <c r="W36" s="72"/>
      <c r="Y36" s="153">
        <f t="shared" si="0"/>
        <v>2880019</v>
      </c>
      <c r="Z36" s="167">
        <f t="shared" si="1"/>
        <v>12.620113043478259</v>
      </c>
    </row>
    <row r="37" spans="1:34" s="131" customFormat="1" ht="15" customHeight="1" x14ac:dyDescent="0.25">
      <c r="A37" s="141" t="s">
        <v>302</v>
      </c>
      <c r="B37" s="140" t="s">
        <v>297</v>
      </c>
      <c r="C37" s="140" t="s">
        <v>298</v>
      </c>
      <c r="D37" s="141"/>
      <c r="E37" s="141" t="s">
        <v>256</v>
      </c>
      <c r="F37" s="155">
        <v>0.2</v>
      </c>
      <c r="G37" s="152">
        <f>IFERROR(VLOOKUP($A$3:$A$139,'APR-2026'!$A$4:$ABX$112,MATCH('FY-(26-27)Q1'!$G$2:$H$2,'APR-2026'!$A$2:$BY$2,0),0),0)</f>
        <v>0</v>
      </c>
      <c r="H37" s="154">
        <f>IFERROR(VLOOKUP($A$3:$A$139,'APR-2026'!$A$4:$ABX$112,MATCH('FY-(26-27)Q1'!$G$2:$H$2,'APR-2026'!$A$2:$BY$2,0),0),0)</f>
        <v>0</v>
      </c>
      <c r="I37" s="152">
        <f>IFERROR(VLOOKUP($A$3:$A$139,'MAY-2026'!$A$4:$ACP$113,MATCH('FY-(26-27)Q1'!$I$2:$J$2,'MAY-2026'!$A$2:$CQ$2,0),0),0)</f>
        <v>0</v>
      </c>
      <c r="J37" s="154">
        <f>IFERROR(VLOOKUP($A$3:$A$139,'MAY-2026'!$A$4:$ACP$113,MATCH('FY-(26-27)Q1'!$I$2:$J$2,'MAY-2026'!$A$2:$CQ$2,0),0),0)</f>
        <v>0</v>
      </c>
      <c r="K37" s="152">
        <f>IFERROR(VLOOKUP($A$3:$A$139,'JUNE-2026'!$A$4:$ADJ$113,MATCH('FY-(26-27)Q1'!$K$2:$L$2,'JUNE-2026'!$A$2:$DK$2,0),0),0)</f>
        <v>0</v>
      </c>
      <c r="L37" s="154">
        <f>IFERROR(VLOOKUP($A$3:$A$139,'JUNE-2026'!$A$4:$ADJ$113,MATCH('FY-(26-27)Q1'!$K$2:$L$2,'JUNE-2026'!$A$2:$DK$2,0),0),0)</f>
        <v>0</v>
      </c>
      <c r="M37" s="71">
        <f t="shared" ref="M37" si="20">G37+I37+K37</f>
        <v>0</v>
      </c>
      <c r="N37" s="165">
        <f t="shared" ref="N37" si="21">H37+J37+L37</f>
        <v>0</v>
      </c>
      <c r="O37" s="214"/>
      <c r="P37" s="152">
        <f>IFERROR(VLOOKUP($A$3:$A$139,'FY-(26-27)Q2'!$A$4:$ABW$124,MATCH('FY-(26-27)Q1'!$P$2:$Q$2,'FY-(26-27)Q2'!$A$2:$BX$2,0),0),0)</f>
        <v>-43666</v>
      </c>
      <c r="Q37" s="154">
        <f>IFERROR(VLOOKUP($A$3:$A$139,'FY-(26-27)Q2'!$A$4:$ABW$124,MATCH('FY-(26-27)Q1'!$P$2:$Q$2,'FY-(26-27)Q2'!$A$2:$BX$2,0),0),0)</f>
        <v>-2.1833</v>
      </c>
      <c r="R37" s="158"/>
      <c r="S37" s="152">
        <f>IFERROR(VLOOKUP($A$3:$A$139,'FY-(26-27)Q3'!$A$4:$ABW$115,MATCH('FY-(26-27)Q1'!$S$2:$T$2,'FY-(26-27)Q3'!$A$2:$BX$2,0),0),0)</f>
        <v>16349</v>
      </c>
      <c r="T37" s="154">
        <f>IFERROR(VLOOKUP($A$3:$A$139,'FY-(26-27)Q3'!$A$4:$ABW$115,MATCH('FY-(26-27)Q1'!$S$2:$T$3,'FY-(26-27)Q3'!$A$2:$BX$2,0),0),0)</f>
        <v>0</v>
      </c>
      <c r="U37" s="158"/>
      <c r="V37" s="143"/>
      <c r="W37" s="149"/>
      <c r="Y37" s="153">
        <f t="shared" ref="Y37" si="22">M37+P37+S37+V37</f>
        <v>-27317</v>
      </c>
      <c r="Z37" s="167">
        <f t="shared" ref="Z37" si="23">(N37+Q37+T37+W37)</f>
        <v>-2.1833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2">
        <f>IFERROR(VLOOKUP($A$3:$A$139,'APR-2026'!$A$4:$ABX$112,MATCH('FY-(26-27)Q1'!$G$2:$H$2,'APR-2026'!$A$2:$BY$2,0),0),0)</f>
        <v>1319283</v>
      </c>
      <c r="H38" s="154">
        <f>IFERROR(VLOOKUP($A$3:$A$139,'APR-2026'!$A$4:$ABX$112,MATCH('FY-(26-27)Q1'!$G$2:$H$2,'APR-2026'!$A$2:$BY$2,0),0),0)</f>
        <v>2.6385659999999995</v>
      </c>
      <c r="I38" s="152">
        <f>IFERROR(VLOOKUP($A$3:$A$139,'MAY-2026'!$A$4:$ACP$113,MATCH('FY-(26-27)Q1'!$I$2:$J$2,'MAY-2026'!$A$2:$CQ$2,0),0),0)</f>
        <v>841036</v>
      </c>
      <c r="J38" s="154">
        <f>IFERROR(VLOOKUP($A$3:$A$139,'MAY-2026'!$A$4:$ACP$113,MATCH('FY-(26-27)Q1'!$I$2:$J$2,'MAY-2026'!$A$2:$CQ$2,0),0),0)</f>
        <v>1.682072</v>
      </c>
      <c r="K38" s="152">
        <f>IFERROR(VLOOKUP($A$3:$A$139,'JUNE-2026'!$A$4:$ADJ$113,MATCH('FY-(26-27)Q1'!$K$2:$L$2,'JUNE-2026'!$A$2:$DK$2,0),0),0)</f>
        <v>906087</v>
      </c>
      <c r="L38" s="154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5">
        <f t="shared" si="3"/>
        <v>6.1328119999999995</v>
      </c>
      <c r="O38" s="214"/>
      <c r="P38" s="152">
        <f>IFERROR(VLOOKUP($A$3:$A$139,'FY-(26-27)Q2'!$A$4:$ABW$124,MATCH('FY-(26-27)Q1'!$P$2:$Q$2,'FY-(26-27)Q2'!$A$2:$BX$2,0),0),0)</f>
        <v>-525352</v>
      </c>
      <c r="Q38" s="154">
        <f>IFERROR(VLOOKUP($A$3:$A$139,'FY-(26-27)Q2'!$A$4:$ABW$124,MATCH('FY-(26-27)Q1'!$P$2:$Q$2,'FY-(26-27)Q2'!$A$2:$BX$2,0),0),0)</f>
        <v>-1.0507040000000001</v>
      </c>
      <c r="R38" s="158"/>
      <c r="S38" s="152">
        <f>IFERROR(VLOOKUP($A$3:$A$139,'FY-(26-27)Q3'!$A$4:$ABW$115,MATCH('FY-(26-27)Q1'!$S$2:$T$2,'FY-(26-27)Q3'!$A$2:$BX$2,0),0),0)</f>
        <v>-32800</v>
      </c>
      <c r="T38" s="154">
        <f>IFERROR(VLOOKUP($A$3:$A$139,'FY-(26-27)Q3'!$A$4:$ABW$115,MATCH('FY-(26-27)Q1'!$S$2:$T$3,'FY-(26-27)Q3'!$A$2:$BX$2,0),0),0)</f>
        <v>0</v>
      </c>
      <c r="U38" s="158"/>
      <c r="V38" s="45"/>
      <c r="W38" s="72"/>
      <c r="Y38" s="153">
        <f t="shared" si="0"/>
        <v>2508254</v>
      </c>
      <c r="Z38" s="167">
        <f t="shared" si="1"/>
        <v>5.0821079999999998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2">
        <f>IFERROR(VLOOKUP($A$3:$A$139,'APR-2026'!$A$4:$ABX$112,MATCH('FY-(26-27)Q1'!$G$2:$H$2,'APR-2026'!$A$2:$BY$2,0),0),0)</f>
        <v>2899700</v>
      </c>
      <c r="H39" s="154">
        <f>IFERROR(VLOOKUP($A$3:$A$139,'APR-2026'!$A$4:$ABX$112,MATCH('FY-(26-27)Q1'!$G$2:$H$2,'APR-2026'!$A$2:$BY$2,0),0),0)</f>
        <v>2.8997000000000002</v>
      </c>
      <c r="I39" s="152">
        <f>IFERROR(VLOOKUP($A$3:$A$139,'MAY-2026'!$A$4:$ACP$113,MATCH('FY-(26-27)Q1'!$I$2:$J$2,'MAY-2026'!$A$2:$CQ$2,0),0),0)</f>
        <v>-30465</v>
      </c>
      <c r="J39" s="154">
        <f>IFERROR(VLOOKUP($A$3:$A$139,'MAY-2026'!$A$4:$ACP$113,MATCH('FY-(26-27)Q1'!$I$2:$J$2,'MAY-2026'!$A$2:$CQ$2,0),0),0)</f>
        <v>-3.0464999999999999E-2</v>
      </c>
      <c r="K39" s="152">
        <f>IFERROR(VLOOKUP($A$3:$A$139,'JUNE-2026'!$A$4:$ADJ$113,MATCH('FY-(26-27)Q1'!$K$2:$L$2,'JUNE-2026'!$A$2:$DK$2,0),0),0)</f>
        <v>724171</v>
      </c>
      <c r="L39" s="154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5">
        <f t="shared" si="3"/>
        <v>3.5934060000000003</v>
      </c>
      <c r="O39" s="214"/>
      <c r="P39" s="152">
        <f>IFERROR(VLOOKUP($A$3:$A$139,'FY-(26-27)Q2'!$A$4:$ABW$124,MATCH('FY-(26-27)Q1'!$P$2:$Q$2,'FY-(26-27)Q2'!$A$2:$BX$2,0),0),0)</f>
        <v>1687341</v>
      </c>
      <c r="Q39" s="154">
        <f>IFERROR(VLOOKUP($A$3:$A$139,'FY-(26-27)Q2'!$A$4:$ABW$124,MATCH('FY-(26-27)Q1'!$P$2:$Q$2,'FY-(26-27)Q2'!$A$2:$BX$2,0),0),0)</f>
        <v>1.687341</v>
      </c>
      <c r="R39" s="158"/>
      <c r="S39" s="152">
        <f>IFERROR(VLOOKUP($A$3:$A$139,'FY-(26-27)Q3'!$A$4:$ABW$115,MATCH('FY-(26-27)Q1'!$S$2:$T$2,'FY-(26-27)Q3'!$A$2:$BX$2,0),0),0)</f>
        <v>1176159</v>
      </c>
      <c r="T39" s="154">
        <f>IFERROR(VLOOKUP($A$3:$A$139,'FY-(26-27)Q3'!$A$4:$ABW$115,MATCH('FY-(26-27)Q1'!$S$2:$T$3,'FY-(26-27)Q3'!$A$2:$BX$2,0),0),0)</f>
        <v>0</v>
      </c>
      <c r="U39" s="158"/>
      <c r="V39" s="45"/>
      <c r="W39" s="72"/>
      <c r="X39" s="131"/>
      <c r="Y39" s="153">
        <f t="shared" ref="Y39:Y74" si="24">M39+P39+S39+V39</f>
        <v>6456906</v>
      </c>
      <c r="Z39" s="167">
        <f t="shared" ref="Z39:Z74" si="25">(N39+Q39+T39+W39)</f>
        <v>5.2807469999999999</v>
      </c>
      <c r="AB39" s="130"/>
    </row>
    <row r="40" spans="1:34" s="131" customFormat="1" ht="15" customHeight="1" x14ac:dyDescent="0.25">
      <c r="A40" s="141" t="s">
        <v>191</v>
      </c>
      <c r="B40" s="140" t="s">
        <v>184</v>
      </c>
      <c r="C40" s="140" t="s">
        <v>185</v>
      </c>
      <c r="D40" s="141" t="s">
        <v>91</v>
      </c>
      <c r="E40" s="141" t="s">
        <v>256</v>
      </c>
      <c r="F40" s="155">
        <v>13</v>
      </c>
      <c r="G40" s="152">
        <f>IFERROR(VLOOKUP($A$3:$A$139,'APR-2026'!$A$4:$ABX$112,MATCH('FY-(26-27)Q1'!$G$2:$H$2,'APR-2026'!$A$2:$BY$2,0),0),0)</f>
        <v>2457630</v>
      </c>
      <c r="H40" s="154">
        <f>IFERROR(VLOOKUP($A$3:$A$139,'APR-2026'!$A$4:$ABX$112,MATCH('FY-(26-27)Q1'!$G$2:$H$2,'APR-2026'!$A$2:$BY$2,0),0),0)</f>
        <v>2.45763</v>
      </c>
      <c r="I40" s="152">
        <f>IFERROR(VLOOKUP($A$3:$A$139,'MAY-2026'!$A$4:$ACP$113,MATCH('FY-(26-27)Q1'!$I$2:$J$2,'MAY-2026'!$A$2:$CQ$2,0),0),0)</f>
        <v>357271</v>
      </c>
      <c r="J40" s="154">
        <f>IFERROR(VLOOKUP($A$3:$A$139,'MAY-2026'!$A$4:$ACP$113,MATCH('FY-(26-27)Q1'!$I$2:$J$2,'MAY-2026'!$A$2:$CQ$2,0),0),0)</f>
        <v>0.27482384615384614</v>
      </c>
      <c r="K40" s="152">
        <f>IFERROR(VLOOKUP($A$3:$A$139,'JUNE-2026'!$A$4:$ADJ$113,MATCH('FY-(26-27)Q1'!$K$2:$L$2,'JUNE-2026'!$A$2:$DK$2,0),0),0)</f>
        <v>889184</v>
      </c>
      <c r="L40" s="154">
        <f>IFERROR(VLOOKUP($A$3:$A$139,'JUNE-2026'!$A$4:$ADJ$113,MATCH('FY-(26-27)Q1'!$K$2:$L$2,'JUNE-2026'!$A$2:$DK$2,0),0),0)</f>
        <v>0.6839876923076923</v>
      </c>
      <c r="M40" s="71">
        <f t="shared" ref="M40" si="26">G40+I40+K40</f>
        <v>3704085</v>
      </c>
      <c r="N40" s="165">
        <f t="shared" ref="N40" si="27">H40+J40+L40</f>
        <v>3.4164415384615383</v>
      </c>
      <c r="O40" s="214"/>
      <c r="P40" s="152">
        <f>IFERROR(VLOOKUP($A$3:$A$139,'FY-(26-27)Q2'!$A$4:$ABW$124,MATCH('FY-(26-27)Q1'!$P$2:$Q$2,'FY-(26-27)Q2'!$A$2:$BX$2,0),0),0)</f>
        <v>1736266</v>
      </c>
      <c r="Q40" s="154">
        <f>IFERROR(VLOOKUP($A$3:$A$139,'FY-(26-27)Q2'!$A$4:$ABW$124,MATCH('FY-(26-27)Q1'!$P$2:$Q$2,'FY-(26-27)Q2'!$A$2:$BX$2,0),0),0)</f>
        <v>1.335589230769231</v>
      </c>
      <c r="R40" s="158"/>
      <c r="S40" s="152">
        <f>IFERROR(VLOOKUP($A$3:$A$139,'FY-(26-27)Q3'!$A$4:$ABW$115,MATCH('FY-(26-27)Q1'!$S$2:$T$2,'FY-(26-27)Q3'!$A$2:$BX$2,0),0),0)</f>
        <v>0</v>
      </c>
      <c r="T40" s="154">
        <f>IFERROR(VLOOKUP($A$3:$A$139,'FY-(26-27)Q3'!$A$4:$ABW$115,MATCH('FY-(26-27)Q1'!$S$2:$T$3,'FY-(26-27)Q3'!$A$2:$BX$2,0),0),0)</f>
        <v>0</v>
      </c>
      <c r="U40" s="158"/>
      <c r="V40" s="143"/>
      <c r="W40" s="149"/>
      <c r="Y40" s="153">
        <f t="shared" si="24"/>
        <v>5440351</v>
      </c>
      <c r="Z40" s="167">
        <f t="shared" si="25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1" t="s">
        <v>147</v>
      </c>
      <c r="B41" s="140" t="s">
        <v>146</v>
      </c>
      <c r="C41" s="140" t="s">
        <v>140</v>
      </c>
      <c r="D41" s="141" t="s">
        <v>91</v>
      </c>
      <c r="E41" s="141" t="s">
        <v>256</v>
      </c>
      <c r="F41" s="155">
        <v>1.5</v>
      </c>
      <c r="G41" s="152">
        <f>IFERROR(VLOOKUP($A$3:$A$139,'APR-2026'!$A$4:$ABX$112,MATCH('FY-(26-27)Q1'!$G$2:$H$2,'APR-2026'!$A$2:$BY$2,0),0),0)</f>
        <v>339000</v>
      </c>
      <c r="H41" s="154">
        <f>IFERROR(VLOOKUP($A$3:$A$139,'APR-2026'!$A$4:$ABX$112,MATCH('FY-(26-27)Q1'!$G$2:$H$2,'APR-2026'!$A$2:$BY$2,0),0),0)</f>
        <v>2.2599999999999998</v>
      </c>
      <c r="I41" s="152">
        <f>IFERROR(VLOOKUP($A$3:$A$139,'MAY-2026'!$A$4:$ACP$113,MATCH('FY-(26-27)Q1'!$I$2:$J$2,'MAY-2026'!$A$2:$CQ$2,0),0),0)</f>
        <v>-17574</v>
      </c>
      <c r="J41" s="154">
        <f>IFERROR(VLOOKUP($A$3:$A$139,'MAY-2026'!$A$4:$ACP$113,MATCH('FY-(26-27)Q1'!$I$2:$J$2,'MAY-2026'!$A$2:$CQ$2,0),0),0)</f>
        <v>-0.11716</v>
      </c>
      <c r="K41" s="152">
        <f>IFERROR(VLOOKUP($A$3:$A$139,'JUNE-2026'!$A$4:$ADJ$113,MATCH('FY-(26-27)Q1'!$K$2:$L$2,'JUNE-2026'!$A$2:$DK$2,0),0),0)</f>
        <v>103615</v>
      </c>
      <c r="L41" s="154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5">
        <f t="shared" si="3"/>
        <v>2.8336066666666664</v>
      </c>
      <c r="O41" s="214"/>
      <c r="P41" s="152">
        <f>IFERROR(VLOOKUP($A$3:$A$139,'FY-(26-27)Q2'!$A$4:$ABW$124,MATCH('FY-(26-27)Q1'!$P$2:$Q$2,'FY-(26-27)Q2'!$A$2:$BX$2,0),0),0)</f>
        <v>173420</v>
      </c>
      <c r="Q41" s="154">
        <f>IFERROR(VLOOKUP($A$3:$A$139,'FY-(26-27)Q2'!$A$4:$ABW$124,MATCH('FY-(26-27)Q1'!$P$2:$Q$2,'FY-(26-27)Q2'!$A$2:$BX$2,0),0),0)</f>
        <v>1.1561333333333335</v>
      </c>
      <c r="R41" s="158"/>
      <c r="S41" s="152">
        <f>IFERROR(VLOOKUP($A$3:$A$139,'FY-(26-27)Q3'!$A$4:$ABW$115,MATCH('FY-(26-27)Q1'!$S$2:$T$2,'FY-(26-27)Q3'!$A$2:$BX$2,0),0),0)</f>
        <v>0</v>
      </c>
      <c r="T41" s="154">
        <f>IFERROR(VLOOKUP($A$3:$A$139,'FY-(26-27)Q3'!$A$4:$ABW$115,MATCH('FY-(26-27)Q1'!$S$2:$T$3,'FY-(26-27)Q3'!$A$2:$BX$2,0),0),0)</f>
        <v>0</v>
      </c>
      <c r="U41" s="158"/>
      <c r="V41" s="143"/>
      <c r="W41" s="149"/>
      <c r="Y41" s="153">
        <f t="shared" si="24"/>
        <v>598461</v>
      </c>
      <c r="Z41" s="167">
        <f t="shared" si="25"/>
        <v>3.9897399999999998</v>
      </c>
      <c r="AA41" s="1"/>
      <c r="AD41" s="131"/>
      <c r="AE41" s="131"/>
      <c r="AF41" s="131"/>
      <c r="AG41" s="131"/>
      <c r="AH41" s="131"/>
    </row>
    <row r="42" spans="1:34" s="1" customFormat="1" ht="15" customHeight="1" x14ac:dyDescent="0.25">
      <c r="A42" s="141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2">
        <f>IFERROR(VLOOKUP($A$3:$A$139,'APR-2026'!$A$4:$ABX$112,MATCH('FY-(26-27)Q1'!$G$2:$H$2,'APR-2026'!$A$2:$BY$2,0),0),0)</f>
        <v>679300</v>
      </c>
      <c r="H42" s="154">
        <f>IFERROR(VLOOKUP($A$3:$A$139,'APR-2026'!$A$4:$ABX$112,MATCH('FY-(26-27)Q1'!$G$2:$H$2,'APR-2026'!$A$2:$BY$2,0),0),0)</f>
        <v>2.2643333333333335</v>
      </c>
      <c r="I42" s="152">
        <f>IFERROR(VLOOKUP($A$3:$A$139,'MAY-2026'!$A$4:$ACP$113,MATCH('FY-(26-27)Q1'!$I$2:$J$2,'MAY-2026'!$A$2:$CQ$2,0),0),0)</f>
        <v>199400</v>
      </c>
      <c r="J42" s="154">
        <f>IFERROR(VLOOKUP($A$3:$A$139,'MAY-2026'!$A$4:$ACP$113,MATCH('FY-(26-27)Q1'!$I$2:$J$2,'MAY-2026'!$A$2:$CQ$2,0),0),0)</f>
        <v>0.33233333333333337</v>
      </c>
      <c r="K42" s="152">
        <f>IFERROR(VLOOKUP($A$3:$A$139,'JUNE-2026'!$A$4:$ADJ$113,MATCH('FY-(26-27)Q1'!$K$2:$L$2,'JUNE-2026'!$A$2:$DK$2,0),0),0)</f>
        <v>436737</v>
      </c>
      <c r="L42" s="154">
        <f>IFERROR(VLOOKUP($A$3:$A$139,'JUNE-2026'!$A$4:$ADJ$113,MATCH('FY-(26-27)Q1'!$K$2:$L$2,'JUNE-2026'!$A$2:$DK$2,0),0),0)</f>
        <v>0.72789499999999996</v>
      </c>
      <c r="M42" s="71">
        <f t="shared" ref="M42:N44" si="28">G42+I42+K42</f>
        <v>1315437</v>
      </c>
      <c r="N42" s="165">
        <f t="shared" si="28"/>
        <v>3.3245616666666669</v>
      </c>
      <c r="O42" s="214"/>
      <c r="P42" s="152">
        <f>IFERROR(VLOOKUP($A$3:$A$139,'FY-(26-27)Q2'!$A$4:$ABW$124,MATCH('FY-(26-27)Q1'!$P$2:$Q$2,'FY-(26-27)Q2'!$A$2:$BX$2,0),0),0)</f>
        <v>703028</v>
      </c>
      <c r="Q42" s="154">
        <f>IFERROR(VLOOKUP($A$3:$A$139,'FY-(26-27)Q2'!$A$4:$ABW$124,MATCH('FY-(26-27)Q1'!$P$2:$Q$2,'FY-(26-27)Q2'!$A$2:$BX$2,0),0),0)</f>
        <v>1.1717133333333338</v>
      </c>
      <c r="R42" s="158"/>
      <c r="S42" s="152">
        <f>IFERROR(VLOOKUP($A$3:$A$139,'FY-(26-27)Q3'!$A$4:$ABW$115,MATCH('FY-(26-27)Q1'!$S$2:$T$2,'FY-(26-27)Q3'!$A$2:$BX$2,0),0),0)</f>
        <v>0</v>
      </c>
      <c r="T42" s="154">
        <f>IFERROR(VLOOKUP($A$3:$A$139,'FY-(26-27)Q3'!$A$4:$ABW$115,MATCH('FY-(26-27)Q1'!$S$2:$T$3,'FY-(26-27)Q3'!$A$2:$BX$2,0),0),0)</f>
        <v>0</v>
      </c>
      <c r="U42" s="158"/>
      <c r="V42" s="45"/>
      <c r="W42" s="72"/>
      <c r="X42"/>
      <c r="Y42" s="153">
        <f t="shared" si="24"/>
        <v>2018465</v>
      </c>
      <c r="Z42" s="167">
        <f t="shared" si="25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2" t="s">
        <v>205</v>
      </c>
      <c r="B43" s="140" t="s">
        <v>203</v>
      </c>
      <c r="C43" s="140" t="s">
        <v>204</v>
      </c>
      <c r="D43" s="141" t="s">
        <v>91</v>
      </c>
      <c r="E43" s="162" t="s">
        <v>256</v>
      </c>
      <c r="F43" s="163">
        <v>1.3</v>
      </c>
      <c r="G43" s="152">
        <f>IFERROR(VLOOKUP($A$3:$A$139,'APR-2026'!$A$4:$ABX$112,MATCH('FY-(26-27)Q1'!$G$2:$H$2,'APR-2026'!$A$2:$BY$2,0),0),0)</f>
        <v>114100</v>
      </c>
      <c r="H43" s="154">
        <f>IFERROR(VLOOKUP($A$3:$A$139,'APR-2026'!$A$4:$ABX$112,MATCH('FY-(26-27)Q1'!$G$2:$H$2,'APR-2026'!$A$2:$BY$2,0),0),0)</f>
        <v>0.91279999999999994</v>
      </c>
      <c r="I43" s="152">
        <f>IFERROR(VLOOKUP($A$3:$A$139,'MAY-2026'!$A$4:$ACP$113,MATCH('FY-(26-27)Q1'!$I$2:$J$2,'MAY-2026'!$A$2:$CQ$2,0),0),0)</f>
        <v>-13242</v>
      </c>
      <c r="J43" s="154">
        <f>IFERROR(VLOOKUP($A$3:$A$139,'MAY-2026'!$A$4:$ACP$113,MATCH('FY-(26-27)Q1'!$I$2:$J$2,'MAY-2026'!$A$2:$CQ$2,0),0),0)</f>
        <v>-0.105936</v>
      </c>
      <c r="K43" s="152">
        <f>IFERROR(VLOOKUP($A$3:$A$139,'JUNE-2026'!$A$4:$ADJ$113,MATCH('FY-(26-27)Q1'!$K$2:$L$2,'JUNE-2026'!$A$2:$DK$2,0),0),0)</f>
        <v>102235</v>
      </c>
      <c r="L43" s="154">
        <f>IFERROR(VLOOKUP($A$3:$A$139,'JUNE-2026'!$A$4:$ADJ$113,MATCH('FY-(26-27)Q1'!$K$2:$L$2,'JUNE-2026'!$A$2:$DK$2,0),0),0)</f>
        <v>0.81788000000000005</v>
      </c>
      <c r="M43" s="71">
        <f t="shared" si="28"/>
        <v>203093</v>
      </c>
      <c r="N43" s="165">
        <f t="shared" si="28"/>
        <v>1.624744</v>
      </c>
      <c r="O43" s="214"/>
      <c r="P43" s="152">
        <f>IFERROR(VLOOKUP($A$3:$A$139,'FY-(26-27)Q2'!$A$4:$ABW$124,MATCH('FY-(26-27)Q1'!$P$2:$Q$2,'FY-(26-27)Q2'!$A$2:$BX$2,0),0),0)</f>
        <v>183507</v>
      </c>
      <c r="Q43" s="154">
        <f>IFERROR(VLOOKUP($A$3:$A$139,'FY-(26-27)Q2'!$A$4:$ABW$124,MATCH('FY-(26-27)Q1'!$P$2:$Q$2,'FY-(26-27)Q2'!$A$2:$BX$2,0),0),0)</f>
        <v>1.4680560000000002</v>
      </c>
      <c r="R43" s="158"/>
      <c r="S43" s="152">
        <f>IFERROR(VLOOKUP($A$3:$A$139,'FY-(26-27)Q3'!$A$4:$ABW$115,MATCH('FY-(26-27)Q1'!$S$2:$T$2,'FY-(26-27)Q3'!$A$2:$BX$2,0),0),0)</f>
        <v>0</v>
      </c>
      <c r="T43" s="154">
        <f>IFERROR(VLOOKUP($A$3:$A$139,'FY-(26-27)Q3'!$A$4:$ABW$115,MATCH('FY-(26-27)Q1'!$S$2:$T$3,'FY-(26-27)Q3'!$A$2:$BX$2,0),0),0)</f>
        <v>0</v>
      </c>
      <c r="U43" s="158"/>
      <c r="V43" s="143"/>
      <c r="W43" s="149"/>
      <c r="X43" s="131"/>
      <c r="Y43" s="153">
        <f t="shared" si="24"/>
        <v>386600</v>
      </c>
      <c r="Z43" s="167">
        <f t="shared" si="25"/>
        <v>3.0928000000000004</v>
      </c>
      <c r="AD43" s="1"/>
      <c r="AE43" s="1"/>
      <c r="AF43" s="1"/>
      <c r="AG43" s="1"/>
      <c r="AH43" s="1"/>
    </row>
    <row r="44" spans="1:34" s="131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0">
        <v>1.5</v>
      </c>
      <c r="G44" s="152">
        <f>IFERROR(VLOOKUP($A$3:$A$139,'APR-2026'!$A$4:$ABX$112,MATCH('FY-(26-27)Q1'!$G$2:$H$2,'APR-2026'!$A$2:$BY$2,0),0),0)</f>
        <v>354500</v>
      </c>
      <c r="H44" s="154">
        <f>IFERROR(VLOOKUP($A$3:$A$139,'APR-2026'!$A$4:$ABX$112,MATCH('FY-(26-27)Q1'!$G$2:$H$2,'APR-2026'!$A$2:$BY$2,0),0),0)</f>
        <v>2.3633333333333337</v>
      </c>
      <c r="I44" s="152">
        <f>IFERROR(VLOOKUP($A$3:$A$139,'MAY-2026'!$A$4:$ACP$113,MATCH('FY-(26-27)Q1'!$I$2:$J$2,'MAY-2026'!$A$2:$CQ$2,0),0),0)</f>
        <v>-16090</v>
      </c>
      <c r="J44" s="154">
        <f>IFERROR(VLOOKUP($A$3:$A$139,'MAY-2026'!$A$4:$ACP$113,MATCH('FY-(26-27)Q1'!$I$2:$J$2,'MAY-2026'!$A$2:$CQ$2,0),0),0)</f>
        <v>-0.10726666666666665</v>
      </c>
      <c r="K44" s="152">
        <f>IFERROR(VLOOKUP($A$3:$A$139,'JUNE-2026'!$A$4:$ADJ$113,MATCH('FY-(26-27)Q1'!$K$2:$L$2,'JUNE-2026'!$A$2:$DK$2,0),0),0)</f>
        <v>111580</v>
      </c>
      <c r="L44" s="154">
        <f>IFERROR(VLOOKUP($A$3:$A$139,'JUNE-2026'!$A$4:$ADJ$113,MATCH('FY-(26-27)Q1'!$K$2:$L$2,'JUNE-2026'!$A$2:$DK$2,0),0),0)</f>
        <v>0.74386666666666668</v>
      </c>
      <c r="M44" s="71">
        <f t="shared" si="28"/>
        <v>449990</v>
      </c>
      <c r="N44" s="165">
        <f t="shared" si="28"/>
        <v>2.9999333333333338</v>
      </c>
      <c r="O44" s="214"/>
      <c r="P44" s="152">
        <f>IFERROR(VLOOKUP($A$3:$A$139,'FY-(26-27)Q2'!$A$4:$ABW$124,MATCH('FY-(26-27)Q1'!$P$2:$Q$2,'FY-(26-27)Q2'!$A$2:$BX$2,0),0),0)</f>
        <v>183664</v>
      </c>
      <c r="Q44" s="154">
        <f>IFERROR(VLOOKUP($A$3:$A$139,'FY-(26-27)Q2'!$A$4:$ABW$124,MATCH('FY-(26-27)Q1'!$P$2:$Q$2,'FY-(26-27)Q2'!$A$2:$BX$2,0),0),0)</f>
        <v>1.2244266666666666</v>
      </c>
      <c r="R44" s="158"/>
      <c r="S44" s="152">
        <f>IFERROR(VLOOKUP($A$3:$A$139,'FY-(26-27)Q3'!$A$4:$ABW$115,MATCH('FY-(26-27)Q1'!$S$2:$T$2,'FY-(26-27)Q3'!$A$2:$BX$2,0),0),0)</f>
        <v>0</v>
      </c>
      <c r="T44" s="154">
        <f>IFERROR(VLOOKUP($A$3:$A$139,'FY-(26-27)Q3'!$A$4:$ABW$115,MATCH('FY-(26-27)Q1'!$S$2:$T$3,'FY-(26-27)Q3'!$A$2:$BX$2,0),0),0)</f>
        <v>0</v>
      </c>
      <c r="U44" s="217"/>
      <c r="V44" s="73"/>
      <c r="W44" s="72"/>
      <c r="X44"/>
      <c r="Y44" s="153">
        <f t="shared" si="24"/>
        <v>633654</v>
      </c>
      <c r="Z44" s="167">
        <f t="shared" si="25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0" t="s">
        <v>64</v>
      </c>
      <c r="E45" s="37" t="s">
        <v>256</v>
      </c>
      <c r="F45" s="116">
        <v>5</v>
      </c>
      <c r="G45" s="152">
        <f>IFERROR(VLOOKUP($A$3:$A$139,'APR-2026'!$A$4:$ABX$112,MATCH('FY-(26-27)Q1'!$G$2:$H$2,'APR-2026'!$A$2:$BY$2,0),0),0)</f>
        <v>213967</v>
      </c>
      <c r="H45" s="154">
        <f>IFERROR(VLOOKUP($A$3:$A$139,'APR-2026'!$A$4:$ABX$112,MATCH('FY-(26-27)Q1'!$G$2:$H$2,'APR-2026'!$A$2:$BY$2,0),0),0)</f>
        <v>0.42793399999999998</v>
      </c>
      <c r="I45" s="152">
        <f>IFERROR(VLOOKUP($A$3:$A$139,'MAY-2026'!$A$4:$ACP$113,MATCH('FY-(26-27)Q1'!$I$2:$J$2,'MAY-2026'!$A$2:$CQ$2,0),0),0)</f>
        <v>844228</v>
      </c>
      <c r="J45" s="154">
        <f>IFERROR(VLOOKUP($A$3:$A$139,'MAY-2026'!$A$4:$ACP$113,MATCH('FY-(26-27)Q1'!$I$2:$J$2,'MAY-2026'!$A$2:$CQ$2,0),0),0)</f>
        <v>1.688456</v>
      </c>
      <c r="K45" s="152">
        <f>IFERROR(VLOOKUP($A$3:$A$139,'JUNE-2026'!$A$4:$ADJ$113,MATCH('FY-(26-27)Q1'!$K$2:$L$2,'JUNE-2026'!$A$2:$DK$2,0),0),0)</f>
        <v>159123</v>
      </c>
      <c r="L45" s="154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5">
        <f t="shared" si="3"/>
        <v>2.4346359999999998</v>
      </c>
      <c r="O45" s="214"/>
      <c r="P45" s="152">
        <f>IFERROR(VLOOKUP($A$3:$A$139,'FY-(26-27)Q2'!$A$4:$ABW$124,MATCH('FY-(26-27)Q1'!$P$2:$Q$2,'FY-(26-27)Q2'!$A$2:$BX$2,0),0),0)</f>
        <v>-116440</v>
      </c>
      <c r="Q45" s="154">
        <f>IFERROR(VLOOKUP($A$3:$A$139,'FY-(26-27)Q2'!$A$4:$ABW$124,MATCH('FY-(26-27)Q1'!$P$2:$Q$2,'FY-(26-27)Q2'!$A$2:$BX$2,0),0),0)</f>
        <v>-0.2328800000000002</v>
      </c>
      <c r="R45" s="158"/>
      <c r="S45" s="152">
        <f>IFERROR(VLOOKUP($A$3:$A$139,'FY-(26-27)Q3'!$A$4:$ABW$115,MATCH('FY-(26-27)Q1'!$S$2:$T$2,'FY-(26-27)Q3'!$A$2:$BX$2,0),0),0)</f>
        <v>621985</v>
      </c>
      <c r="T45" s="154">
        <f>IFERROR(VLOOKUP($A$3:$A$139,'FY-(26-27)Q3'!$A$4:$ABW$115,MATCH('FY-(26-27)Q1'!$S$2:$T$3,'FY-(26-27)Q3'!$A$2:$BX$2,0),0),0)</f>
        <v>0</v>
      </c>
      <c r="U45" s="158"/>
      <c r="V45" s="45"/>
      <c r="W45" s="72"/>
      <c r="Y45" s="153">
        <f t="shared" si="24"/>
        <v>1722863</v>
      </c>
      <c r="Z45" s="167">
        <f t="shared" si="25"/>
        <v>2.2017559999999996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2" t="s">
        <v>18</v>
      </c>
      <c r="E46" s="37" t="s">
        <v>256</v>
      </c>
      <c r="F46" s="118">
        <v>5</v>
      </c>
      <c r="G46" s="152">
        <f>IFERROR(VLOOKUP($A$3:$A$139,'APR-2026'!$A$4:$ABX$112,MATCH('FY-(26-27)Q1'!$G$2:$H$2,'APR-2026'!$A$2:$BY$2,0),0),0)</f>
        <v>668954</v>
      </c>
      <c r="H46" s="154">
        <f>IFERROR(VLOOKUP($A$3:$A$139,'APR-2026'!$A$4:$ABX$112,MATCH('FY-(26-27)Q1'!$G$2:$H$2,'APR-2026'!$A$2:$BY$2,0),0),0)</f>
        <v>1.3379079999999999</v>
      </c>
      <c r="I46" s="152">
        <f>IFERROR(VLOOKUP($A$3:$A$139,'MAY-2026'!$A$4:$ACP$113,MATCH('FY-(26-27)Q1'!$I$2:$J$2,'MAY-2026'!$A$2:$CQ$2,0),0),0)</f>
        <v>-630839</v>
      </c>
      <c r="J46" s="154">
        <f>IFERROR(VLOOKUP($A$3:$A$139,'MAY-2026'!$A$4:$ACP$113,MATCH('FY-(26-27)Q1'!$I$2:$J$2,'MAY-2026'!$A$2:$CQ$2,0),0),0)</f>
        <v>-1.2616780000000001</v>
      </c>
      <c r="K46" s="152">
        <f>IFERROR(VLOOKUP($A$3:$A$139,'JUNE-2026'!$A$4:$ADJ$113,MATCH('FY-(26-27)Q1'!$K$2:$L$2,'JUNE-2026'!$A$2:$DK$2,0),0),0)</f>
        <v>-85853</v>
      </c>
      <c r="L46" s="154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5">
        <f t="shared" si="3"/>
        <v>-9.5476000000000172E-2</v>
      </c>
      <c r="O46" s="214"/>
      <c r="P46" s="152">
        <f>IFERROR(VLOOKUP($A$3:$A$139,'FY-(26-27)Q2'!$A$4:$ABW$124,MATCH('FY-(26-27)Q1'!$P$2:$Q$2,'FY-(26-27)Q2'!$A$2:$BX$2,0),0),0)</f>
        <v>820609</v>
      </c>
      <c r="Q46" s="154">
        <f>IFERROR(VLOOKUP($A$3:$A$139,'FY-(26-27)Q2'!$A$4:$ABW$124,MATCH('FY-(26-27)Q1'!$P$2:$Q$2,'FY-(26-27)Q2'!$A$2:$BX$2,0),0),0)</f>
        <v>1.6412179999999998</v>
      </c>
      <c r="R46" s="158"/>
      <c r="S46" s="152">
        <f>IFERROR(VLOOKUP($A$3:$A$139,'FY-(26-27)Q3'!$A$4:$ABW$115,MATCH('FY-(26-27)Q1'!$S$2:$T$2,'FY-(26-27)Q3'!$A$2:$BX$2,0),0),0)</f>
        <v>103031</v>
      </c>
      <c r="T46" s="154">
        <f>IFERROR(VLOOKUP($A$3:$A$139,'FY-(26-27)Q3'!$A$4:$ABW$115,MATCH('FY-(26-27)Q1'!$S$2:$T$3,'FY-(26-27)Q3'!$A$2:$BX$2,0),0),0)</f>
        <v>0</v>
      </c>
      <c r="U46" s="158"/>
      <c r="V46" s="45"/>
      <c r="W46" s="72"/>
      <c r="X46" s="1"/>
      <c r="Y46" s="153">
        <f t="shared" si="24"/>
        <v>875902</v>
      </c>
      <c r="Z46" s="167">
        <f t="shared" si="25"/>
        <v>1.5457419999999997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1" t="s">
        <v>262</v>
      </c>
      <c r="E47" s="37" t="s">
        <v>256</v>
      </c>
      <c r="F47" s="118">
        <v>0.5</v>
      </c>
      <c r="G47" s="152">
        <f>IFERROR(VLOOKUP($A$3:$A$139,'APR-2026'!$A$4:$ABX$112,MATCH('FY-(26-27)Q1'!$G$2:$H$2,'APR-2026'!$A$2:$BY$2,0),0),0)</f>
        <v>47009</v>
      </c>
      <c r="H47" s="154">
        <f>IFERROR(VLOOKUP($A$3:$A$139,'APR-2026'!$A$4:$ABX$112,MATCH('FY-(26-27)Q1'!$G$2:$H$2,'APR-2026'!$A$2:$BY$2,0),0),0)</f>
        <v>0.94018000000000002</v>
      </c>
      <c r="I47" s="152">
        <f>IFERROR(VLOOKUP($A$3:$A$139,'MAY-2026'!$A$4:$ACP$113,MATCH('FY-(26-27)Q1'!$I$2:$J$2,'MAY-2026'!$A$2:$CQ$2,0),0),0)</f>
        <v>-22476</v>
      </c>
      <c r="J47" s="154">
        <f>IFERROR(VLOOKUP($A$3:$A$139,'MAY-2026'!$A$4:$ACP$113,MATCH('FY-(26-27)Q1'!$I$2:$J$2,'MAY-2026'!$A$2:$CQ$2,0),0),0)</f>
        <v>-0.44951999999999998</v>
      </c>
      <c r="K47" s="152">
        <f>IFERROR(VLOOKUP($A$3:$A$139,'JUNE-2026'!$A$4:$ADJ$113,MATCH('FY-(26-27)Q1'!$K$2:$L$2,'JUNE-2026'!$A$2:$DK$2,0),0),0)</f>
        <v>92362</v>
      </c>
      <c r="L47" s="154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5">
        <f t="shared" si="3"/>
        <v>2.3378999999999999</v>
      </c>
      <c r="O47" s="214"/>
      <c r="P47" s="152">
        <f>IFERROR(VLOOKUP($A$3:$A$139,'FY-(26-27)Q2'!$A$4:$ABW$124,MATCH('FY-(26-27)Q1'!$P$2:$Q$2,'FY-(26-27)Q2'!$A$2:$BX$2,0),0),0)</f>
        <v>-195945</v>
      </c>
      <c r="Q47" s="154">
        <f>IFERROR(VLOOKUP($A$3:$A$139,'FY-(26-27)Q2'!$A$4:$ABW$124,MATCH('FY-(26-27)Q1'!$P$2:$Q$2,'FY-(26-27)Q2'!$A$2:$BX$2,0),0),0)</f>
        <v>-1.9594499999999999</v>
      </c>
      <c r="R47" s="158"/>
      <c r="S47" s="152">
        <f>IFERROR(VLOOKUP($A$3:$A$139,'FY-(26-27)Q3'!$A$4:$ABW$115,MATCH('FY-(26-27)Q1'!$S$2:$T$2,'FY-(26-27)Q3'!$A$2:$BX$2,0),0),0)</f>
        <v>116708</v>
      </c>
      <c r="T47" s="154">
        <f>IFERROR(VLOOKUP($A$3:$A$139,'FY-(26-27)Q3'!$A$4:$ABW$115,MATCH('FY-(26-27)Q1'!$S$2:$T$3,'FY-(26-27)Q3'!$A$2:$BX$2,0),0),0)</f>
        <v>0</v>
      </c>
      <c r="U47" s="158"/>
      <c r="V47" s="45"/>
      <c r="W47" s="72"/>
      <c r="Y47" s="153">
        <f t="shared" si="24"/>
        <v>37658</v>
      </c>
      <c r="Z47" s="167">
        <f t="shared" si="25"/>
        <v>0.37844999999999995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2">
        <f>IFERROR(VLOOKUP($A$3:$A$139,'APR-2026'!$A$4:$ABX$112,MATCH('FY-(26-27)Q1'!$G$2:$H$2,'APR-2026'!$A$2:$BY$2,0),0),0)</f>
        <v>3832</v>
      </c>
      <c r="H48" s="154">
        <f>IFERROR(VLOOKUP($A$3:$A$139,'APR-2026'!$A$4:$ABX$112,MATCH('FY-(26-27)Q1'!$G$2:$H$2,'APR-2026'!$A$2:$BY$2,0),0),0)</f>
        <v>6.3866666666666669E-2</v>
      </c>
      <c r="I48" s="152">
        <f>IFERROR(VLOOKUP($A$3:$A$139,'MAY-2026'!$A$4:$ACP$113,MATCH('FY-(26-27)Q1'!$I$2:$J$2,'MAY-2026'!$A$2:$CQ$2,0),0),0)</f>
        <v>56826</v>
      </c>
      <c r="J48" s="154">
        <f>IFERROR(VLOOKUP($A$3:$A$139,'MAY-2026'!$A$4:$ACP$113,MATCH('FY-(26-27)Q1'!$I$2:$J$2,'MAY-2026'!$A$2:$CQ$2,0),0),0)</f>
        <v>0.94710000000000005</v>
      </c>
      <c r="K48" s="152">
        <f>IFERROR(VLOOKUP($A$3:$A$139,'JUNE-2026'!$A$4:$ADJ$113,MATCH('FY-(26-27)Q1'!$K$2:$L$2,'JUNE-2026'!$A$2:$DK$2,0),0),0)</f>
        <v>0</v>
      </c>
      <c r="L48" s="154">
        <f>IFERROR(VLOOKUP($A$3:$A$139,'JUNE-2026'!$A$4:$ADJ$113,MATCH('FY-(26-27)Q1'!$K$2:$L$2,'JUNE-2026'!$A$2:$DK$2,0),0),0)</f>
        <v>0</v>
      </c>
      <c r="M48" s="71">
        <f t="shared" si="2"/>
        <v>60658</v>
      </c>
      <c r="N48" s="165">
        <f t="shared" si="3"/>
        <v>1.0109666666666668</v>
      </c>
      <c r="O48" s="214"/>
      <c r="P48" s="152">
        <f>IFERROR(VLOOKUP($A$3:$A$139,'FY-(26-27)Q2'!$A$4:$ABW$124,MATCH('FY-(26-27)Q1'!$P$2:$Q$2,'FY-(26-27)Q2'!$A$2:$BX$2,0),0),0)</f>
        <v>0</v>
      </c>
      <c r="Q48" s="154">
        <f>IFERROR(VLOOKUP($A$3:$A$139,'FY-(26-27)Q2'!$A$4:$ABW$124,MATCH('FY-(26-27)Q1'!$P$2:$Q$2,'FY-(26-27)Q2'!$A$2:$BX$2,0),0),0)</f>
        <v>0</v>
      </c>
      <c r="R48" s="158"/>
      <c r="S48" s="152">
        <f>IFERROR(VLOOKUP($A$3:$A$139,'FY-(26-27)Q3'!$A$4:$ABW$115,MATCH('FY-(26-27)Q1'!$S$2:$T$2,'FY-(26-27)Q3'!$A$2:$BX$2,0),0),0)</f>
        <v>0</v>
      </c>
      <c r="T48" s="154">
        <f>IFERROR(VLOOKUP($A$3:$A$139,'FY-(26-27)Q3'!$A$4:$ABW$115,MATCH('FY-(26-27)Q1'!$S$2:$T$3,'FY-(26-27)Q3'!$A$2:$BX$2,0),0),0)</f>
        <v>0</v>
      </c>
      <c r="U48" s="158"/>
      <c r="V48" s="45"/>
      <c r="W48" s="72"/>
      <c r="X48" s="1"/>
      <c r="Y48" s="153">
        <f t="shared" si="24"/>
        <v>60658</v>
      </c>
      <c r="Z48" s="167">
        <f t="shared" si="25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2">
        <f>IFERROR(VLOOKUP($A$3:$A$139,'APR-2026'!$A$4:$ABX$112,MATCH('FY-(26-27)Q1'!$G$2:$H$2,'APR-2026'!$A$2:$BY$2,0),0),0)</f>
        <v>104032</v>
      </c>
      <c r="H49" s="154">
        <f>IFERROR(VLOOKUP($A$3:$A$139,'APR-2026'!$A$4:$ABX$112,MATCH('FY-(26-27)Q1'!$G$2:$H$2,'APR-2026'!$A$2:$BY$2,0),0),0)</f>
        <v>2.6008</v>
      </c>
      <c r="I49" s="152">
        <f>IFERROR(VLOOKUP($A$3:$A$139,'MAY-2026'!$A$4:$ACP$113,MATCH('FY-(26-27)Q1'!$I$2:$J$2,'MAY-2026'!$A$2:$CQ$2,0),0),0)</f>
        <v>-9232</v>
      </c>
      <c r="J49" s="154">
        <f>IFERROR(VLOOKUP($A$3:$A$139,'MAY-2026'!$A$4:$ACP$113,MATCH('FY-(26-27)Q1'!$I$2:$J$2,'MAY-2026'!$A$2:$CQ$2,0),0),0)</f>
        <v>-0.23080000000000001</v>
      </c>
      <c r="K49" s="152">
        <f>IFERROR(VLOOKUP($A$3:$A$139,'JUNE-2026'!$A$4:$ADJ$113,MATCH('FY-(26-27)Q1'!$K$2:$L$2,'JUNE-2026'!$A$2:$DK$2,0),0),0)</f>
        <v>-106628</v>
      </c>
      <c r="L49" s="154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5">
        <f t="shared" si="3"/>
        <v>-0.29570000000000007</v>
      </c>
      <c r="O49" s="214"/>
      <c r="P49" s="152">
        <f>IFERROR(VLOOKUP($A$3:$A$139,'FY-(26-27)Q2'!$A$4:$ABW$124,MATCH('FY-(26-27)Q1'!$P$2:$Q$2,'FY-(26-27)Q2'!$A$2:$BX$2,0),0),0)</f>
        <v>80093</v>
      </c>
      <c r="Q49" s="154">
        <f>IFERROR(VLOOKUP($A$3:$A$139,'FY-(26-27)Q2'!$A$4:$ABW$124,MATCH('FY-(26-27)Q1'!$P$2:$Q$2,'FY-(26-27)Q2'!$A$2:$BX$2,0),0),0)</f>
        <v>2.0023249999999999</v>
      </c>
      <c r="R49" s="158"/>
      <c r="S49" s="152">
        <f>IFERROR(VLOOKUP($A$3:$A$139,'FY-(26-27)Q3'!$A$4:$ABW$115,MATCH('FY-(26-27)Q1'!$S$2:$T$2,'FY-(26-27)Q3'!$A$2:$BX$2,0),0),0)</f>
        <v>170845</v>
      </c>
      <c r="T49" s="154">
        <f>IFERROR(VLOOKUP($A$3:$A$139,'FY-(26-27)Q3'!$A$4:$ABW$115,MATCH('FY-(26-27)Q1'!$S$2:$T$3,'FY-(26-27)Q3'!$A$2:$BX$2,0),0),0)</f>
        <v>0</v>
      </c>
      <c r="U49" s="158"/>
      <c r="V49" s="45"/>
      <c r="W49" s="72"/>
      <c r="Y49" s="153">
        <f t="shared" si="24"/>
        <v>239110</v>
      </c>
      <c r="Z49" s="167">
        <f t="shared" si="25"/>
        <v>1.7066249999999998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1" t="s">
        <v>107</v>
      </c>
      <c r="F50" s="116">
        <v>0.5</v>
      </c>
      <c r="G50" s="152">
        <f>IFERROR(VLOOKUP($A$3:$A$139,'APR-2026'!$A$4:$ABX$112,MATCH('FY-(26-27)Q1'!$G$2:$H$2,'APR-2026'!$A$2:$BY$2,0),0),0)</f>
        <v>77627</v>
      </c>
      <c r="H50" s="154">
        <f>IFERROR(VLOOKUP($A$3:$A$139,'APR-2026'!$A$4:$ABX$112,MATCH('FY-(26-27)Q1'!$G$2:$H$2,'APR-2026'!$A$2:$BY$2,0),0),0)</f>
        <v>1.55254</v>
      </c>
      <c r="I50" s="152">
        <f>IFERROR(VLOOKUP($A$3:$A$139,'MAY-2026'!$A$4:$ACP$113,MATCH('FY-(26-27)Q1'!$I$2:$J$2,'MAY-2026'!$A$2:$CQ$2,0),0),0)</f>
        <v>-318673</v>
      </c>
      <c r="J50" s="154">
        <f>IFERROR(VLOOKUP($A$3:$A$139,'MAY-2026'!$A$4:$ACP$113,MATCH('FY-(26-27)Q1'!$I$2:$J$2,'MAY-2026'!$A$2:$CQ$2,0),0),0)</f>
        <v>-6.3734599999999997</v>
      </c>
      <c r="K50" s="152">
        <f>IFERROR(VLOOKUP($A$3:$A$139,'JUNE-2026'!$A$4:$ADJ$113,MATCH('FY-(26-27)Q1'!$K$2:$L$2,'JUNE-2026'!$A$2:$DK$2,0),0),0)</f>
        <v>193584</v>
      </c>
      <c r="L50" s="154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5">
        <f t="shared" si="3"/>
        <v>-0.9492399999999992</v>
      </c>
      <c r="O50" s="214"/>
      <c r="P50" s="152">
        <f>IFERROR(VLOOKUP($A$3:$A$139,'FY-(26-27)Q2'!$A$4:$ABW$124,MATCH('FY-(26-27)Q1'!$P$2:$Q$2,'FY-(26-27)Q2'!$A$2:$BX$2,0),0),0)</f>
        <v>-208817</v>
      </c>
      <c r="Q50" s="154">
        <f>IFERROR(VLOOKUP($A$3:$A$139,'FY-(26-27)Q2'!$A$4:$ABW$124,MATCH('FY-(26-27)Q1'!$P$2:$Q$2,'FY-(26-27)Q2'!$A$2:$BX$2,0),0),0)</f>
        <v>-4.1763399999999997</v>
      </c>
      <c r="R50" s="158"/>
      <c r="S50" s="152">
        <f>IFERROR(VLOOKUP($A$3:$A$139,'FY-(26-27)Q3'!$A$4:$ABW$115,MATCH('FY-(26-27)Q1'!$S$2:$T$2,'FY-(26-27)Q3'!$A$2:$BX$2,0),0),0)</f>
        <v>0</v>
      </c>
      <c r="T50" s="154">
        <f>IFERROR(VLOOKUP($A$3:$A$139,'FY-(26-27)Q3'!$A$4:$ABW$115,MATCH('FY-(26-27)Q1'!$S$2:$T$3,'FY-(26-27)Q3'!$A$2:$BX$2,0),0),0)</f>
        <v>0</v>
      </c>
      <c r="U50" s="158"/>
      <c r="V50" s="45"/>
      <c r="W50" s="72"/>
      <c r="X50"/>
      <c r="Y50" s="153">
        <f t="shared" si="24"/>
        <v>-256279</v>
      </c>
      <c r="Z50" s="167">
        <f t="shared" si="25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1" t="s">
        <v>256</v>
      </c>
      <c r="F51" s="116">
        <v>0.5</v>
      </c>
      <c r="G51" s="152">
        <f>IFERROR(VLOOKUP($A$3:$A$139,'APR-2026'!$A$4:$ABX$112,MATCH('FY-(26-27)Q1'!$G$2:$H$2,'APR-2026'!$A$2:$BY$2,0),0),0)</f>
        <v>43500</v>
      </c>
      <c r="H51" s="154">
        <f>IFERROR(VLOOKUP($A$3:$A$139,'APR-2026'!$A$4:$ABX$112,MATCH('FY-(26-27)Q1'!$G$2:$H$2,'APR-2026'!$A$2:$BY$2,0),0),0)</f>
        <v>0.87</v>
      </c>
      <c r="I51" s="152">
        <f>IFERROR(VLOOKUP($A$3:$A$139,'MAY-2026'!$A$4:$ACP$113,MATCH('FY-(26-27)Q1'!$I$2:$J$2,'MAY-2026'!$A$2:$CQ$2,0),0),0)</f>
        <v>-206560</v>
      </c>
      <c r="J51" s="154">
        <f>IFERROR(VLOOKUP($A$3:$A$139,'MAY-2026'!$A$4:$ACP$113,MATCH('FY-(26-27)Q1'!$I$2:$J$2,'MAY-2026'!$A$2:$CQ$2,0),0),0)</f>
        <v>-4.1311999999999998</v>
      </c>
      <c r="K51" s="152">
        <f>IFERROR(VLOOKUP($A$3:$A$139,'JUNE-2026'!$A$4:$ADJ$113,MATCH('FY-(26-27)Q1'!$K$2:$L$2,'JUNE-2026'!$A$2:$DK$2,0),0),0)</f>
        <v>-172401</v>
      </c>
      <c r="L51" s="154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5">
        <f t="shared" si="3"/>
        <v>-6.7092200000000002</v>
      </c>
      <c r="O51" s="214"/>
      <c r="P51" s="152">
        <f>IFERROR(VLOOKUP($A$3:$A$139,'FY-(26-27)Q2'!$A$4:$ABW$124,MATCH('FY-(26-27)Q1'!$P$2:$Q$2,'FY-(26-27)Q2'!$A$2:$BX$2,0),0),0)</f>
        <v>-64553</v>
      </c>
      <c r="Q51" s="154">
        <f>IFERROR(VLOOKUP($A$3:$A$139,'FY-(26-27)Q2'!$A$4:$ABW$124,MATCH('FY-(26-27)Q1'!$P$2:$Q$2,'FY-(26-27)Q2'!$A$2:$BX$2,0),0),0)</f>
        <v>-1.2910600000000001</v>
      </c>
      <c r="R51" s="158"/>
      <c r="S51" s="152">
        <f>IFERROR(VLOOKUP($A$3:$A$139,'FY-(26-27)Q3'!$A$4:$ABW$115,MATCH('FY-(26-27)Q1'!$S$2:$T$2,'FY-(26-27)Q3'!$A$2:$BX$2,0),0),0)</f>
        <v>0</v>
      </c>
      <c r="T51" s="154">
        <f>IFERROR(VLOOKUP($A$3:$A$139,'FY-(26-27)Q3'!$A$4:$ABW$115,MATCH('FY-(26-27)Q1'!$S$2:$T$3,'FY-(26-27)Q3'!$A$2:$BX$2,0),0),0)</f>
        <v>0</v>
      </c>
      <c r="U51" s="158"/>
      <c r="V51" s="45"/>
      <c r="W51" s="72"/>
      <c r="Y51" s="153">
        <f t="shared" si="24"/>
        <v>-400014</v>
      </c>
      <c r="Z51" s="167">
        <f t="shared" si="25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1" t="s">
        <v>263</v>
      </c>
      <c r="E52" s="40" t="s">
        <v>256</v>
      </c>
      <c r="F52" s="116">
        <v>4</v>
      </c>
      <c r="G52" s="152">
        <f>IFERROR(VLOOKUP($A$3:$A$139,'APR-2026'!$A$4:$ABX$112,MATCH('FY-(26-27)Q1'!$G$2:$H$2,'APR-2026'!$A$2:$BY$2,0),0),0)</f>
        <v>134591</v>
      </c>
      <c r="H52" s="154">
        <f>IFERROR(VLOOKUP($A$3:$A$139,'APR-2026'!$A$4:$ABX$112,MATCH('FY-(26-27)Q1'!$G$2:$H$2,'APR-2026'!$A$2:$BY$2,0),0),0)</f>
        <v>0.33647749999999998</v>
      </c>
      <c r="I52" s="152">
        <f>IFERROR(VLOOKUP($A$3:$A$139,'MAY-2026'!$A$4:$ACP$113,MATCH('FY-(26-27)Q1'!$I$2:$J$2,'MAY-2026'!$A$2:$CQ$2,0),0),0)</f>
        <v>-283771</v>
      </c>
      <c r="J52" s="154">
        <f>IFERROR(VLOOKUP($A$3:$A$139,'MAY-2026'!$A$4:$ACP$113,MATCH('FY-(26-27)Q1'!$I$2:$J$2,'MAY-2026'!$A$2:$CQ$2,0),0),0)</f>
        <v>-0.70942749999999999</v>
      </c>
      <c r="K52" s="152">
        <f>IFERROR(VLOOKUP($A$3:$A$139,'JUNE-2026'!$A$4:$ADJ$113,MATCH('FY-(26-27)Q1'!$K$2:$L$2,'JUNE-2026'!$A$2:$DK$2,0),0),0)</f>
        <v>-251119</v>
      </c>
      <c r="L52" s="154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5">
        <f t="shared" si="3"/>
        <v>-1.0007475000000001</v>
      </c>
      <c r="O52" s="214"/>
      <c r="P52" s="152">
        <f>IFERROR(VLOOKUP($A$3:$A$139,'FY-(26-27)Q2'!$A$4:$ABW$124,MATCH('FY-(26-27)Q1'!$P$2:$Q$2,'FY-(26-27)Q2'!$A$2:$BX$2,0),0),0)</f>
        <v>595360</v>
      </c>
      <c r="Q52" s="154">
        <f>IFERROR(VLOOKUP($A$3:$A$139,'FY-(26-27)Q2'!$A$4:$ABW$124,MATCH('FY-(26-27)Q1'!$P$2:$Q$2,'FY-(26-27)Q2'!$A$2:$BX$2,0),0),0)</f>
        <v>1.4884000000000002</v>
      </c>
      <c r="R52" s="158"/>
      <c r="S52" s="152">
        <f>IFERROR(VLOOKUP($A$3:$A$139,'FY-(26-27)Q3'!$A$4:$ABW$115,MATCH('FY-(26-27)Q1'!$S$2:$T$2,'FY-(26-27)Q3'!$A$2:$BX$2,0),0),0)</f>
        <v>217305</v>
      </c>
      <c r="T52" s="154">
        <f>IFERROR(VLOOKUP($A$3:$A$139,'FY-(26-27)Q3'!$A$4:$ABW$115,MATCH('FY-(26-27)Q1'!$S$2:$T$3,'FY-(26-27)Q3'!$A$2:$BX$2,0),0),0)</f>
        <v>0</v>
      </c>
      <c r="U52" s="158"/>
      <c r="V52" s="45"/>
      <c r="W52" s="72"/>
      <c r="Y52" s="153">
        <f t="shared" si="24"/>
        <v>412366</v>
      </c>
      <c r="Z52" s="167">
        <f t="shared" si="25"/>
        <v>0.48765250000000004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1" t="s">
        <v>106</v>
      </c>
      <c r="E53" s="40" t="s">
        <v>106</v>
      </c>
      <c r="F53" s="116">
        <v>1</v>
      </c>
      <c r="G53" s="152">
        <f>IFERROR(VLOOKUP($A$3:$A$139,'APR-2026'!$A$4:$ABX$112,MATCH('FY-(26-27)Q1'!$G$2:$H$2,'APR-2026'!$A$2:$BY$2,0),0),0)</f>
        <v>601979</v>
      </c>
      <c r="H53" s="154">
        <f>IFERROR(VLOOKUP($A$3:$A$139,'APR-2026'!$A$4:$ABX$112,MATCH('FY-(26-27)Q1'!$G$2:$H$2,'APR-2026'!$A$2:$BY$2,0),0),0)</f>
        <v>6.0197900000000004</v>
      </c>
      <c r="I53" s="152">
        <f>IFERROR(VLOOKUP($A$3:$A$139,'MAY-2026'!$A$4:$ACP$113,MATCH('FY-(26-27)Q1'!$I$2:$J$2,'MAY-2026'!$A$2:$CQ$2,0),0),0)</f>
        <v>74933</v>
      </c>
      <c r="J53" s="154">
        <f>IFERROR(VLOOKUP($A$3:$A$139,'MAY-2026'!$A$4:$ACP$113,MATCH('FY-(26-27)Q1'!$I$2:$J$2,'MAY-2026'!$A$2:$CQ$2,0),0),0)</f>
        <v>0.74933000000000005</v>
      </c>
      <c r="K53" s="152">
        <f>IFERROR(VLOOKUP($A$3:$A$139,'JUNE-2026'!$A$4:$ADJ$113,MATCH('FY-(26-27)Q1'!$K$2:$L$2,'JUNE-2026'!$A$2:$DK$2,0),0),0)</f>
        <v>68881</v>
      </c>
      <c r="L53" s="154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5">
        <f t="shared" si="3"/>
        <v>7.4579300000000011</v>
      </c>
      <c r="O53" s="214"/>
      <c r="P53" s="152">
        <f>IFERROR(VLOOKUP($A$3:$A$139,'FY-(26-27)Q2'!$A$4:$ABW$124,MATCH('FY-(26-27)Q1'!$P$2:$Q$2,'FY-(26-27)Q2'!$A$2:$BX$2,0),0),0)</f>
        <v>-85544</v>
      </c>
      <c r="Q53" s="154">
        <f>IFERROR(VLOOKUP($A$3:$A$139,'FY-(26-27)Q2'!$A$4:$ABW$124,MATCH('FY-(26-27)Q1'!$P$2:$Q$2,'FY-(26-27)Q2'!$A$2:$BX$2,0),0),0)</f>
        <v>-0.8554400000000002</v>
      </c>
      <c r="R53" s="158"/>
      <c r="S53" s="152">
        <f>IFERROR(VLOOKUP($A$3:$A$139,'FY-(26-27)Q3'!$A$4:$ABW$115,MATCH('FY-(26-27)Q1'!$S$2:$T$2,'FY-(26-27)Q3'!$A$2:$BX$2,0),0),0)</f>
        <v>-20161</v>
      </c>
      <c r="T53" s="154">
        <f>IFERROR(VLOOKUP($A$3:$A$139,'FY-(26-27)Q3'!$A$4:$ABW$115,MATCH('FY-(26-27)Q1'!$S$2:$T$3,'FY-(26-27)Q3'!$A$2:$BX$2,0),0),0)</f>
        <v>0</v>
      </c>
      <c r="U53" s="158"/>
      <c r="V53" s="45"/>
      <c r="W53" s="72"/>
      <c r="Y53" s="153">
        <f t="shared" si="24"/>
        <v>640088</v>
      </c>
      <c r="Z53" s="167">
        <f t="shared" si="25"/>
        <v>6.6024900000000013</v>
      </c>
    </row>
    <row r="54" spans="1:34" s="131" customFormat="1" ht="15" customHeight="1" x14ac:dyDescent="0.25">
      <c r="A54" s="141" t="s">
        <v>314</v>
      </c>
      <c r="B54" s="142" t="s">
        <v>105</v>
      </c>
      <c r="C54" s="141" t="s">
        <v>15</v>
      </c>
      <c r="D54" s="141" t="s">
        <v>256</v>
      </c>
      <c r="E54" s="141" t="s">
        <v>256</v>
      </c>
      <c r="F54" s="155">
        <v>0.5</v>
      </c>
      <c r="G54" s="152">
        <f>IFERROR(VLOOKUP($A$3:$A$139,'APR-2026'!$A$4:$ABX$112,MATCH('FY-(26-27)Q1'!$G$2:$H$2,'APR-2026'!$A$2:$BY$2,0),0),0)</f>
        <v>0</v>
      </c>
      <c r="H54" s="154">
        <f>IFERROR(VLOOKUP($A$3:$A$139,'APR-2026'!$A$4:$ABX$112,MATCH('FY-(26-27)Q1'!$G$2:$H$2,'APR-2026'!$A$2:$BY$2,0),0),0)</f>
        <v>0</v>
      </c>
      <c r="I54" s="152">
        <f>IFERROR(VLOOKUP($A$3:$A$139,'MAY-2026'!$A$4:$ACP$113,MATCH('FY-(26-27)Q1'!$I$2:$J$2,'MAY-2026'!$A$2:$CQ$2,0),0),0)</f>
        <v>0</v>
      </c>
      <c r="J54" s="154">
        <f>IFERROR(VLOOKUP($A$3:$A$139,'MAY-2026'!$A$4:$ACP$113,MATCH('FY-(26-27)Q1'!$I$2:$J$2,'MAY-2026'!$A$2:$CQ$2,0),0),0)</f>
        <v>0</v>
      </c>
      <c r="K54" s="152">
        <f>IFERROR(VLOOKUP($A$3:$A$139,'JUNE-2026'!$A$4:$ADJ$113,MATCH('FY-(26-27)Q1'!$K$2:$L$2,'JUNE-2026'!$A$2:$DK$2,0),0),0)</f>
        <v>0</v>
      </c>
      <c r="L54" s="154">
        <f>IFERROR(VLOOKUP($A$3:$A$139,'JUNE-2026'!$A$4:$ADJ$113,MATCH('FY-(26-27)Q1'!$K$2:$L$2,'JUNE-2026'!$A$2:$DK$2,0),0),0)</f>
        <v>0</v>
      </c>
      <c r="M54" s="71">
        <f t="shared" ref="M54" si="29">G54+I54+K54</f>
        <v>0</v>
      </c>
      <c r="N54" s="165">
        <f t="shared" ref="N54" si="30">H54+J54+L54</f>
        <v>0</v>
      </c>
      <c r="O54" s="214"/>
      <c r="P54" s="152">
        <f>IFERROR(VLOOKUP($A$3:$A$139,'FY-(26-27)Q2'!$A$4:$ABW$124,MATCH('FY-(26-27)Q1'!$P$2:$Q$2,'FY-(26-27)Q2'!$A$2:$BX$2,0),0),0)</f>
        <v>0</v>
      </c>
      <c r="Q54" s="154">
        <f>IFERROR(VLOOKUP($A$3:$A$139,'FY-(26-27)Q2'!$A$4:$ABW$124,MATCH('FY-(26-27)Q1'!$P$2:$Q$2,'FY-(26-27)Q2'!$A$2:$BX$2,0),0),0)</f>
        <v>0</v>
      </c>
      <c r="R54" s="158"/>
      <c r="S54" s="152">
        <f>IFERROR(VLOOKUP($A$3:$A$139,'FY-(26-27)Q3'!$A$4:$ABW$115,MATCH('FY-(26-27)Q1'!$S$2:$T$2,'FY-(26-27)Q3'!$A$2:$BX$2,0),0),0)</f>
        <v>0</v>
      </c>
      <c r="T54" s="154">
        <f>IFERROR(VLOOKUP($A$3:$A$139,'FY-(26-27)Q3'!$A$4:$ABW$115,MATCH('FY-(26-27)Q1'!$S$2:$T$3,'FY-(26-27)Q3'!$A$2:$BX$2,0),0),0)</f>
        <v>0</v>
      </c>
      <c r="U54" s="158"/>
      <c r="V54" s="143"/>
      <c r="W54" s="149"/>
      <c r="Y54" s="153">
        <f t="shared" ref="Y54" si="31">M54+P54+S54+V54</f>
        <v>0</v>
      </c>
      <c r="Z54" s="167">
        <f t="shared" ref="Z54" si="32">(N54+Q54+T54+W54)</f>
        <v>0</v>
      </c>
    </row>
    <row r="55" spans="1:34" ht="15" customHeight="1" x14ac:dyDescent="0.25">
      <c r="A55" s="141" t="s">
        <v>229</v>
      </c>
      <c r="B55" s="142" t="s">
        <v>105</v>
      </c>
      <c r="C55" s="141" t="s">
        <v>218</v>
      </c>
      <c r="D55" s="141" t="s">
        <v>269</v>
      </c>
      <c r="E55" s="141" t="s">
        <v>256</v>
      </c>
      <c r="F55" s="155">
        <v>0.5</v>
      </c>
      <c r="G55" s="152">
        <f>IFERROR(VLOOKUP($A$3:$A$139,'APR-2026'!$A$4:$ABX$112,MATCH('FY-(26-27)Q1'!$G$2:$H$2,'APR-2026'!$A$2:$BY$2,0),0),0)</f>
        <v>0</v>
      </c>
      <c r="H55" s="154">
        <f>IFERROR(VLOOKUP($A$3:$A$139,'APR-2026'!$A$4:$ABX$112,MATCH('FY-(26-27)Q1'!$G$2:$H$2,'APR-2026'!$A$2:$BY$2,0),0),0)</f>
        <v>0</v>
      </c>
      <c r="I55" s="152">
        <f>IFERROR(VLOOKUP($A$3:$A$139,'MAY-2026'!$A$4:$ACP$113,MATCH('FY-(26-27)Q1'!$I$2:$J$2,'MAY-2026'!$A$2:$CQ$2,0),0),0)</f>
        <v>-2189</v>
      </c>
      <c r="J55" s="154">
        <f>IFERROR(VLOOKUP($A$3:$A$139,'MAY-2026'!$A$4:$ACP$113,MATCH('FY-(26-27)Q1'!$I$2:$J$2,'MAY-2026'!$A$2:$CQ$2,0),0),0)</f>
        <v>-4.3779999999999999E-2</v>
      </c>
      <c r="K55" s="152">
        <f>IFERROR(VLOOKUP($A$3:$A$139,'JUNE-2026'!$A$4:$ADJ$113,MATCH('FY-(26-27)Q1'!$K$2:$L$2,'JUNE-2026'!$A$2:$DK$2,0),0),0)</f>
        <v>-243589</v>
      </c>
      <c r="L55" s="154">
        <f>IFERROR(VLOOKUP($A$3:$A$139,'JUNE-2026'!$A$4:$ADJ$113,MATCH('FY-(26-27)Q1'!$K$2:$L$2,'JUNE-2026'!$A$2:$DK$2,0),0),0)</f>
        <v>-4.8717800000000002</v>
      </c>
      <c r="M55" s="71">
        <f t="shared" ref="M55" si="33">G55+I55+K55</f>
        <v>-245778</v>
      </c>
      <c r="N55" s="165">
        <f t="shared" ref="N55" si="34">H55+J55+L55</f>
        <v>-4.9155600000000002</v>
      </c>
      <c r="O55" s="214"/>
      <c r="P55" s="152">
        <f>IFERROR(VLOOKUP($A$3:$A$139,'FY-(26-27)Q2'!$A$4:$ABW$124,MATCH('FY-(26-27)Q1'!$P$2:$Q$2,'FY-(26-27)Q2'!$A$2:$BX$2,0),0),0)</f>
        <v>-28247</v>
      </c>
      <c r="Q55" s="154">
        <f>IFERROR(VLOOKUP($A$3:$A$139,'FY-(26-27)Q2'!$A$4:$ABW$124,MATCH('FY-(26-27)Q1'!$P$2:$Q$2,'FY-(26-27)Q2'!$A$2:$BX$2,0),0),0)</f>
        <v>-0.56493999999999989</v>
      </c>
      <c r="R55" s="158"/>
      <c r="S55" s="152">
        <f>IFERROR(VLOOKUP($A$3:$A$139,'FY-(26-27)Q3'!$A$4:$ABW$115,MATCH('FY-(26-27)Q1'!$S$2:$T$2,'FY-(26-27)Q3'!$A$2:$BX$2,0),0),0)</f>
        <v>-27766</v>
      </c>
      <c r="T55" s="154">
        <f>IFERROR(VLOOKUP($A$3:$A$139,'FY-(26-27)Q3'!$A$4:$ABW$115,MATCH('FY-(26-27)Q1'!$S$2:$T$3,'FY-(26-27)Q3'!$A$2:$BX$2,0),0),0)</f>
        <v>0</v>
      </c>
      <c r="U55" s="158"/>
      <c r="V55" s="143"/>
      <c r="W55" s="149"/>
      <c r="X55" s="131"/>
      <c r="Y55" s="153">
        <f t="shared" si="24"/>
        <v>-301791</v>
      </c>
      <c r="Z55" s="167">
        <f t="shared" si="25"/>
        <v>-5.4805000000000001</v>
      </c>
      <c r="AA55" s="131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1" t="s">
        <v>265</v>
      </c>
      <c r="E56" s="60" t="s">
        <v>256</v>
      </c>
      <c r="F56" s="116">
        <v>1</v>
      </c>
      <c r="G56" s="152">
        <f>IFERROR(VLOOKUP($A$3:$A$139,'APR-2026'!$A$4:$ABX$112,MATCH('FY-(26-27)Q1'!$G$2:$H$2,'APR-2026'!$A$2:$BY$2,0),0),0)</f>
        <v>-4883324</v>
      </c>
      <c r="H56" s="154">
        <f>IFERROR(VLOOKUP($A$3:$A$139,'APR-2026'!$A$4:$ABX$112,MATCH('FY-(26-27)Q1'!$G$2:$H$2,'APR-2026'!$A$2:$BY$2,0),0),0)</f>
        <v>-16.277746666666669</v>
      </c>
      <c r="I56" s="152">
        <f>IFERROR(VLOOKUP($A$3:$A$139,'MAY-2026'!$A$4:$ACP$113,MATCH('FY-(26-27)Q1'!$I$2:$J$2,'MAY-2026'!$A$2:$CQ$2,0),0),0)</f>
        <v>76551</v>
      </c>
      <c r="J56" s="154">
        <f>IFERROR(VLOOKUP($A$3:$A$139,'MAY-2026'!$A$4:$ACP$113,MATCH('FY-(26-27)Q1'!$I$2:$J$2,'MAY-2026'!$A$2:$CQ$2,0),0),0)</f>
        <v>0.25517000000000001</v>
      </c>
      <c r="K56" s="152">
        <f>IFERROR(VLOOKUP($A$3:$A$139,'JUNE-2026'!$A$4:$ADJ$113,MATCH('FY-(26-27)Q1'!$K$2:$L$2,'JUNE-2026'!$A$2:$DK$2,0),0),0)</f>
        <v>107798</v>
      </c>
      <c r="L56" s="154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5">
        <f t="shared" si="3"/>
        <v>-15.663250000000003</v>
      </c>
      <c r="O56" s="214"/>
      <c r="P56" s="152">
        <f>IFERROR(VLOOKUP($A$3:$A$139,'FY-(26-27)Q2'!$A$4:$ABW$124,MATCH('FY-(26-27)Q1'!$P$2:$Q$2,'FY-(26-27)Q2'!$A$2:$BX$2,0),0),0)</f>
        <v>44640</v>
      </c>
      <c r="Q56" s="154">
        <f>IFERROR(VLOOKUP($A$3:$A$139,'FY-(26-27)Q2'!$A$4:$ABW$124,MATCH('FY-(26-27)Q1'!$P$2:$Q$2,'FY-(26-27)Q2'!$A$2:$BX$2,0),0),0)</f>
        <v>0.14879999999999993</v>
      </c>
      <c r="R56" s="158"/>
      <c r="S56" s="152">
        <f>IFERROR(VLOOKUP($A$3:$A$139,'FY-(26-27)Q3'!$A$4:$ABW$115,MATCH('FY-(26-27)Q1'!$S$2:$T$2,'FY-(26-27)Q3'!$A$2:$BX$2,0),0),0)</f>
        <v>658673</v>
      </c>
      <c r="T56" s="154">
        <f>IFERROR(VLOOKUP($A$3:$A$139,'FY-(26-27)Q3'!$A$4:$ABW$115,MATCH('FY-(26-27)Q1'!$S$2:$T$3,'FY-(26-27)Q3'!$A$2:$BX$2,0),0),0)</f>
        <v>0</v>
      </c>
      <c r="U56" s="158"/>
      <c r="V56" s="45"/>
      <c r="W56" s="72"/>
      <c r="Y56" s="153">
        <f t="shared" si="24"/>
        <v>-3995662</v>
      </c>
      <c r="Z56" s="167">
        <f t="shared" si="25"/>
        <v>-15.514450000000004</v>
      </c>
      <c r="AB56" s="131"/>
      <c r="AC56" s="131"/>
    </row>
    <row r="57" spans="1:34" ht="15" customHeight="1" x14ac:dyDescent="0.25">
      <c r="A57" s="141" t="s">
        <v>193</v>
      </c>
      <c r="B57" s="142" t="s">
        <v>186</v>
      </c>
      <c r="C57" s="141" t="s">
        <v>221</v>
      </c>
      <c r="D57" s="141" t="s">
        <v>265</v>
      </c>
      <c r="E57" s="141" t="s">
        <v>256</v>
      </c>
      <c r="F57" s="155">
        <v>3</v>
      </c>
      <c r="G57" s="152">
        <f>IFERROR(VLOOKUP($A$3:$A$139,'APR-2026'!$A$4:$ABX$112,MATCH('FY-(26-27)Q1'!$G$2:$H$2,'APR-2026'!$A$2:$BY$2,0),0),0)</f>
        <v>-586367</v>
      </c>
      <c r="H57" s="154">
        <f>IFERROR(VLOOKUP($A$3:$A$139,'APR-2026'!$A$4:$ABX$112,MATCH('FY-(26-27)Q1'!$G$2:$H$2,'APR-2026'!$A$2:$BY$2,0),0),0)</f>
        <v>-1.9545566666666665</v>
      </c>
      <c r="I57" s="152">
        <f>IFERROR(VLOOKUP($A$3:$A$139,'MAY-2026'!$A$4:$ACP$113,MATCH('FY-(26-27)Q1'!$I$2:$J$2,'MAY-2026'!$A$2:$CQ$2,0),0),0)</f>
        <v>152411</v>
      </c>
      <c r="J57" s="154">
        <f>IFERROR(VLOOKUP($A$3:$A$139,'MAY-2026'!$A$4:$ACP$113,MATCH('FY-(26-27)Q1'!$I$2:$J$2,'MAY-2026'!$A$2:$CQ$2,0),0),0)</f>
        <v>0.50803666666666658</v>
      </c>
      <c r="K57" s="152">
        <f>IFERROR(VLOOKUP($A$3:$A$139,'JUNE-2026'!$A$4:$ADJ$113,MATCH('FY-(26-27)Q1'!$K$2:$L$2,'JUNE-2026'!$A$2:$DK$2,0),0),0)</f>
        <v>144510</v>
      </c>
      <c r="L57" s="154">
        <f>IFERROR(VLOOKUP($A$3:$A$139,'JUNE-2026'!$A$4:$ADJ$113,MATCH('FY-(26-27)Q1'!$K$2:$L$2,'JUNE-2026'!$A$2:$DK$2,0),0),0)</f>
        <v>0.48170000000000002</v>
      </c>
      <c r="M57" s="71">
        <f t="shared" ref="M57" si="35">G57+I57+K57</f>
        <v>-289446</v>
      </c>
      <c r="N57" s="165">
        <f t="shared" ref="N57" si="36">H57+J57+L57</f>
        <v>-0.96482000000000001</v>
      </c>
      <c r="O57" s="214"/>
      <c r="P57" s="152">
        <f>IFERROR(VLOOKUP($A$3:$A$139,'FY-(26-27)Q2'!$A$4:$ABW$124,MATCH('FY-(26-27)Q1'!$P$2:$Q$2,'FY-(26-27)Q2'!$A$2:$BX$2,0),0),0)</f>
        <v>-39847</v>
      </c>
      <c r="Q57" s="154">
        <f>IFERROR(VLOOKUP($A$3:$A$139,'FY-(26-27)Q2'!$A$4:$ABW$124,MATCH('FY-(26-27)Q1'!$P$2:$Q$2,'FY-(26-27)Q2'!$A$2:$BX$2,0),0),0)</f>
        <v>-0.13282333333333335</v>
      </c>
      <c r="R57" s="158"/>
      <c r="S57" s="152">
        <f>IFERROR(VLOOKUP($A$3:$A$139,'FY-(26-27)Q3'!$A$4:$ABW$115,MATCH('FY-(26-27)Q1'!$S$2:$T$2,'FY-(26-27)Q3'!$A$2:$BX$2,0),0),0)</f>
        <v>0</v>
      </c>
      <c r="T57" s="154">
        <f>IFERROR(VLOOKUP($A$3:$A$139,'FY-(26-27)Q3'!$A$4:$ABW$115,MATCH('FY-(26-27)Q1'!$S$2:$T$3,'FY-(26-27)Q3'!$A$2:$BX$2,0),0),0)</f>
        <v>0</v>
      </c>
      <c r="U57" s="158"/>
      <c r="V57" s="143"/>
      <c r="W57" s="149"/>
      <c r="X57" s="131"/>
      <c r="Y57" s="153">
        <f t="shared" si="24"/>
        <v>-329293</v>
      </c>
      <c r="Z57" s="167">
        <f t="shared" si="25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1" t="s">
        <v>269</v>
      </c>
      <c r="E58" s="37" t="s">
        <v>256</v>
      </c>
      <c r="F58" s="116">
        <v>3</v>
      </c>
      <c r="G58" s="152">
        <f>IFERROR(VLOOKUP($A$3:$A$139,'APR-2026'!$A$4:$ABX$112,MATCH('FY-(26-27)Q1'!$G$2:$H$2,'APR-2026'!$A$2:$BY$2,0),0),0)</f>
        <v>-109500</v>
      </c>
      <c r="H58" s="154">
        <f>IFERROR(VLOOKUP($A$3:$A$139,'APR-2026'!$A$4:$ABX$112,MATCH('FY-(26-27)Q1'!$G$2:$H$2,'APR-2026'!$A$2:$BY$2,0),0),0)</f>
        <v>-0.36499999999999999</v>
      </c>
      <c r="I58" s="152">
        <f>IFERROR(VLOOKUP($A$3:$A$139,'MAY-2026'!$A$4:$ACP$113,MATCH('FY-(26-27)Q1'!$I$2:$J$2,'MAY-2026'!$A$2:$CQ$2,0),0),0)</f>
        <v>174432</v>
      </c>
      <c r="J58" s="154">
        <f>IFERROR(VLOOKUP($A$3:$A$139,'MAY-2026'!$A$4:$ACP$113,MATCH('FY-(26-27)Q1'!$I$2:$J$2,'MAY-2026'!$A$2:$CQ$2,0),0),0)</f>
        <v>0.58143999999999996</v>
      </c>
      <c r="K58" s="152">
        <f>IFERROR(VLOOKUP($A$3:$A$139,'JUNE-2026'!$A$4:$ADJ$113,MATCH('FY-(26-27)Q1'!$K$2:$L$2,'JUNE-2026'!$A$2:$DK$2,0),0),0)</f>
        <v>30862</v>
      </c>
      <c r="L58" s="154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5">
        <f t="shared" si="3"/>
        <v>0.31931333333333328</v>
      </c>
      <c r="O58" s="214"/>
      <c r="P58" s="152">
        <f>IFERROR(VLOOKUP($A$3:$A$139,'FY-(26-27)Q2'!$A$4:$ABW$124,MATCH('FY-(26-27)Q1'!$P$2:$Q$2,'FY-(26-27)Q2'!$A$2:$BX$2,0),0),0)</f>
        <v>30958</v>
      </c>
      <c r="Q58" s="154">
        <f>IFERROR(VLOOKUP($A$3:$A$139,'FY-(26-27)Q2'!$A$4:$ABW$124,MATCH('FY-(26-27)Q1'!$P$2:$Q$2,'FY-(26-27)Q2'!$A$2:$BX$2,0),0),0)</f>
        <v>0.10319333333333325</v>
      </c>
      <c r="R58" s="158"/>
      <c r="S58" s="152">
        <f>IFERROR(VLOOKUP($A$3:$A$139,'FY-(26-27)Q3'!$A$4:$ABW$115,MATCH('FY-(26-27)Q1'!$S$2:$T$2,'FY-(26-27)Q3'!$A$2:$BX$2,0),0),0)</f>
        <v>0</v>
      </c>
      <c r="T58" s="154">
        <f>IFERROR(VLOOKUP($A$3:$A$139,'FY-(26-27)Q3'!$A$4:$ABW$115,MATCH('FY-(26-27)Q1'!$S$2:$T$3,'FY-(26-27)Q3'!$A$2:$BX$2,0),0),0)</f>
        <v>0</v>
      </c>
      <c r="U58" s="158"/>
      <c r="V58" s="45"/>
      <c r="W58" s="72"/>
      <c r="X58"/>
      <c r="Y58" s="153">
        <f t="shared" si="24"/>
        <v>126752</v>
      </c>
      <c r="Z58" s="167">
        <f t="shared" si="25"/>
        <v>0.42250666666666653</v>
      </c>
      <c r="AB58"/>
      <c r="AC58"/>
      <c r="AD58"/>
      <c r="AE58"/>
      <c r="AF58"/>
      <c r="AG58"/>
      <c r="AH58"/>
    </row>
    <row r="59" spans="1:34" s="131" customFormat="1" ht="15" customHeight="1" x14ac:dyDescent="0.25">
      <c r="A59" s="35" t="s">
        <v>132</v>
      </c>
      <c r="B59" s="36" t="s">
        <v>129</v>
      </c>
      <c r="C59" s="35" t="s">
        <v>17</v>
      </c>
      <c r="D59" s="141" t="s">
        <v>267</v>
      </c>
      <c r="E59" s="37" t="s">
        <v>256</v>
      </c>
      <c r="F59" s="116">
        <v>1</v>
      </c>
      <c r="G59" s="152">
        <f>IFERROR(VLOOKUP($A$3:$A$139,'APR-2026'!$A$4:$ABX$112,MATCH('FY-(26-27)Q1'!$G$2:$H$2,'APR-2026'!$A$2:$BY$2,0),0),0)</f>
        <v>38535</v>
      </c>
      <c r="H59" s="154">
        <f>IFERROR(VLOOKUP($A$3:$A$139,'APR-2026'!$A$4:$ABX$112,MATCH('FY-(26-27)Q1'!$G$2:$H$2,'APR-2026'!$A$2:$BY$2,0),0),0)</f>
        <v>0.38535000000000003</v>
      </c>
      <c r="I59" s="152">
        <f>IFERROR(VLOOKUP($A$3:$A$139,'MAY-2026'!$A$4:$ACP$113,MATCH('FY-(26-27)Q1'!$I$2:$J$2,'MAY-2026'!$A$2:$CQ$2,0),0),0)</f>
        <v>11519</v>
      </c>
      <c r="J59" s="154">
        <f>IFERROR(VLOOKUP($A$3:$A$139,'MAY-2026'!$A$4:$ACP$113,MATCH('FY-(26-27)Q1'!$I$2:$J$2,'MAY-2026'!$A$2:$CQ$2,0),0),0)</f>
        <v>7.6793333333333325E-2</v>
      </c>
      <c r="K59" s="152">
        <f>IFERROR(VLOOKUP($A$3:$A$139,'JUNE-2026'!$A$4:$ADJ$113,MATCH('FY-(26-27)Q1'!$K$2:$L$2,'JUNE-2026'!$A$2:$DK$2,0),0),0)</f>
        <v>-13331</v>
      </c>
      <c r="L59" s="154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5">
        <f t="shared" si="3"/>
        <v>0.32883333333333331</v>
      </c>
      <c r="O59" s="214"/>
      <c r="P59" s="152">
        <f>IFERROR(VLOOKUP($A$3:$A$139,'FY-(26-27)Q2'!$A$4:$ABW$124,MATCH('FY-(26-27)Q1'!$P$2:$Q$2,'FY-(26-27)Q2'!$A$2:$BX$2,0),0),0)</f>
        <v>-4032</v>
      </c>
      <c r="Q59" s="154">
        <f>IFERROR(VLOOKUP($A$3:$A$139,'FY-(26-27)Q2'!$A$4:$ABW$124,MATCH('FY-(26-27)Q1'!$P$2:$Q$2,'FY-(26-27)Q2'!$A$2:$BX$2,0),0),0)</f>
        <v>-0.40123999999999999</v>
      </c>
      <c r="R59" s="158"/>
      <c r="S59" s="152">
        <f>IFERROR(VLOOKUP($A$3:$A$139,'FY-(26-27)Q3'!$A$4:$ABW$115,MATCH('FY-(26-27)Q1'!$S$2:$T$2,'FY-(26-27)Q3'!$A$2:$BX$2,0),0),0)</f>
        <v>25379</v>
      </c>
      <c r="T59" s="154">
        <f>IFERROR(VLOOKUP($A$3:$A$139,'FY-(26-27)Q3'!$A$4:$ABW$115,MATCH('FY-(26-27)Q1'!$S$2:$T$3,'FY-(26-27)Q3'!$A$2:$BX$2,0),0),0)</f>
        <v>0</v>
      </c>
      <c r="U59" s="158"/>
      <c r="V59" s="45"/>
      <c r="W59" s="72"/>
      <c r="X59" s="1"/>
      <c r="Y59" s="153">
        <f t="shared" si="24"/>
        <v>58070</v>
      </c>
      <c r="Z59" s="167">
        <f t="shared" si="25"/>
        <v>-7.2406666666666675E-2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2">
        <f>IFERROR(VLOOKUP($A$3:$A$139,'APR-2026'!$A$4:$ABX$112,MATCH('FY-(26-27)Q1'!$G$2:$H$2,'APR-2026'!$A$2:$BY$2,0),0),0)</f>
        <v>3123845</v>
      </c>
      <c r="H60" s="154">
        <f>IFERROR(VLOOKUP($A$3:$A$139,'APR-2026'!$A$4:$ABX$112,MATCH('FY-(26-27)Q1'!$G$2:$H$2,'APR-2026'!$A$2:$BY$2,0),0),0)</f>
        <v>31.23845</v>
      </c>
      <c r="I60" s="152">
        <f>IFERROR(VLOOKUP($A$3:$A$139,'MAY-2026'!$A$4:$ACP$113,MATCH('FY-(26-27)Q1'!$I$2:$J$2,'MAY-2026'!$A$2:$CQ$2,0),0),0)</f>
        <v>232568</v>
      </c>
      <c r="J60" s="154">
        <f>IFERROR(VLOOKUP($A$3:$A$139,'MAY-2026'!$A$4:$ACP$113,MATCH('FY-(26-27)Q1'!$I$2:$J$2,'MAY-2026'!$A$2:$CQ$2,0),0),0)</f>
        <v>2.3256800000000002</v>
      </c>
      <c r="K60" s="152">
        <f>IFERROR(VLOOKUP($A$3:$A$139,'JUNE-2026'!$A$4:$ADJ$113,MATCH('FY-(26-27)Q1'!$K$2:$L$2,'JUNE-2026'!$A$2:$DK$2,0),0),0)</f>
        <v>193656</v>
      </c>
      <c r="L60" s="154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5">
        <f t="shared" si="3"/>
        <v>35.500689999999999</v>
      </c>
      <c r="O60" s="214"/>
      <c r="P60" s="152">
        <f>IFERROR(VLOOKUP($A$3:$A$139,'FY-(26-27)Q2'!$A$4:$ABW$124,MATCH('FY-(26-27)Q1'!$P$2:$Q$2,'FY-(26-27)Q2'!$A$2:$BX$2,0),0),0)</f>
        <v>129546</v>
      </c>
      <c r="Q60" s="154">
        <f>IFERROR(VLOOKUP($A$3:$A$139,'FY-(26-27)Q2'!$A$4:$ABW$124,MATCH('FY-(26-27)Q1'!$P$2:$Q$2,'FY-(26-27)Q2'!$A$2:$BX$2,0),0),0)</f>
        <v>1.2954599999999994</v>
      </c>
      <c r="R60" s="158"/>
      <c r="S60" s="152">
        <f>IFERROR(VLOOKUP($A$3:$A$139,'FY-(26-27)Q3'!$A$4:$ABW$115,MATCH('FY-(26-27)Q1'!$S$2:$T$2,'FY-(26-27)Q3'!$A$2:$BX$2,0),0),0)</f>
        <v>-961416</v>
      </c>
      <c r="T60" s="154">
        <f>IFERROR(VLOOKUP($A$3:$A$139,'FY-(26-27)Q3'!$A$4:$ABW$115,MATCH('FY-(26-27)Q1'!$S$2:$T$3,'FY-(26-27)Q3'!$A$2:$BX$2,0),0),0)</f>
        <v>0</v>
      </c>
      <c r="U60" s="158"/>
      <c r="V60" s="45"/>
      <c r="W60" s="72"/>
      <c r="Y60" s="153">
        <f t="shared" si="24"/>
        <v>2718199</v>
      </c>
      <c r="Z60" s="167">
        <f t="shared" si="25"/>
        <v>36.796149999999997</v>
      </c>
      <c r="AB60" s="131"/>
      <c r="AC60" s="131"/>
      <c r="AD60" s="131"/>
      <c r="AE60" s="131"/>
      <c r="AF60" s="131"/>
      <c r="AG60" s="131"/>
      <c r="AH60" s="131"/>
    </row>
    <row r="61" spans="1:34" s="131" customFormat="1" ht="15" customHeight="1" x14ac:dyDescent="0.25">
      <c r="A61" s="141" t="s">
        <v>301</v>
      </c>
      <c r="B61" s="140" t="s">
        <v>295</v>
      </c>
      <c r="C61" s="162" t="s">
        <v>296</v>
      </c>
      <c r="D61" s="162"/>
      <c r="E61" s="162" t="s">
        <v>256</v>
      </c>
      <c r="F61" s="163">
        <v>0.1</v>
      </c>
      <c r="G61" s="152">
        <f>IFERROR(VLOOKUP($A$3:$A$139,'APR-2026'!$A$4:$ABX$112,MATCH('FY-(26-27)Q1'!$G$2:$H$2,'APR-2026'!$A$2:$BY$2,0),0),0)</f>
        <v>0</v>
      </c>
      <c r="H61" s="154">
        <f>IFERROR(VLOOKUP($A$3:$A$139,'APR-2026'!$A$4:$ABX$112,MATCH('FY-(26-27)Q1'!$G$2:$H$2,'APR-2026'!$A$2:$BY$2,0),0),0)</f>
        <v>0</v>
      </c>
      <c r="I61" s="152">
        <f>IFERROR(VLOOKUP($A$3:$A$139,'MAY-2026'!$A$4:$ACP$113,MATCH('FY-(26-27)Q1'!$I$2:$J$2,'MAY-2026'!$A$2:$CQ$2,0),0),0)</f>
        <v>0</v>
      </c>
      <c r="J61" s="154">
        <f>IFERROR(VLOOKUP($A$3:$A$139,'MAY-2026'!$A$4:$ACP$113,MATCH('FY-(26-27)Q1'!$I$2:$J$2,'MAY-2026'!$A$2:$CQ$2,0),0),0)</f>
        <v>0</v>
      </c>
      <c r="K61" s="152">
        <f>IFERROR(VLOOKUP($A$3:$A$139,'JUNE-2026'!$A$4:$ADJ$113,MATCH('FY-(26-27)Q1'!$K$2:$L$2,'JUNE-2026'!$A$2:$DK$2,0),0),0)</f>
        <v>0</v>
      </c>
      <c r="L61" s="154">
        <f>IFERROR(VLOOKUP($A$3:$A$139,'JUNE-2026'!$A$4:$ADJ$113,MATCH('FY-(26-27)Q1'!$K$2:$L$2,'JUNE-2026'!$A$2:$DK$2,0),0),0)</f>
        <v>0</v>
      </c>
      <c r="M61" s="71">
        <f t="shared" ref="M61" si="37">G61+I61+K61</f>
        <v>0</v>
      </c>
      <c r="N61" s="165">
        <f t="shared" ref="N61" si="38">H61+J61+L61</f>
        <v>0</v>
      </c>
      <c r="O61" s="214"/>
      <c r="P61" s="152">
        <f>IFERROR(VLOOKUP($A$3:$A$139,'FY-(26-27)Q2'!$A$4:$ABW$124,MATCH('FY-(26-27)Q1'!$P$2:$Q$2,'FY-(26-27)Q2'!$A$2:$BX$2,0),0),0)</f>
        <v>13291</v>
      </c>
      <c r="Q61" s="154">
        <f>IFERROR(VLOOKUP($A$3:$A$139,'FY-(26-27)Q2'!$A$4:$ABW$124,MATCH('FY-(26-27)Q1'!$P$2:$Q$2,'FY-(26-27)Q2'!$A$2:$BX$2,0),0),0)</f>
        <v>1.3290999999999999</v>
      </c>
      <c r="R61" s="158"/>
      <c r="S61" s="152">
        <f>IFERROR(VLOOKUP($A$3:$A$139,'FY-(26-27)Q3'!$A$4:$ABW$115,MATCH('FY-(26-27)Q1'!$S$2:$T$2,'FY-(26-27)Q3'!$A$2:$BX$2,0),0),0)</f>
        <v>-31803</v>
      </c>
      <c r="T61" s="154">
        <f>IFERROR(VLOOKUP($A$3:$A$139,'FY-(26-27)Q3'!$A$4:$ABW$115,MATCH('FY-(26-27)Q1'!$S$2:$T$3,'FY-(26-27)Q3'!$A$2:$BX$2,0),0),0)</f>
        <v>0</v>
      </c>
      <c r="U61" s="158"/>
      <c r="V61" s="143"/>
      <c r="W61" s="149"/>
      <c r="Y61" s="153">
        <f t="shared" ref="Y61" si="39">M61+P61+S61+V61</f>
        <v>-18512</v>
      </c>
      <c r="Z61" s="167">
        <f t="shared" ref="Z61" si="40">(N61+Q61+T61+W61)</f>
        <v>1.3290999999999999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0" t="s">
        <v>14</v>
      </c>
      <c r="E62" s="37" t="s">
        <v>256</v>
      </c>
      <c r="F62" s="118">
        <v>1</v>
      </c>
      <c r="G62" s="152">
        <f>IFERROR(VLOOKUP($A$3:$A$139,'APR-2026'!$A$4:$ABX$112,MATCH('FY-(26-27)Q1'!$G$2:$H$2,'APR-2026'!$A$2:$BY$2,0),0),0)</f>
        <v>633005</v>
      </c>
      <c r="H62" s="154">
        <f>IFERROR(VLOOKUP($A$3:$A$139,'APR-2026'!$A$4:$ABX$112,MATCH('FY-(26-27)Q1'!$G$2:$H$2,'APR-2026'!$A$2:$BY$2,0),0),0)</f>
        <v>2.1100166666666662</v>
      </c>
      <c r="I62" s="152">
        <f>IFERROR(VLOOKUP($A$3:$A$139,'MAY-2026'!$A$4:$ACP$113,MATCH('FY-(26-27)Q1'!$I$2:$J$2,'MAY-2026'!$A$2:$CQ$2,0),0),0)</f>
        <v>538474</v>
      </c>
      <c r="J62" s="154">
        <f>IFERROR(VLOOKUP($A$3:$A$139,'MAY-2026'!$A$4:$ACP$113,MATCH('FY-(26-27)Q1'!$I$2:$J$2,'MAY-2026'!$A$2:$CQ$2,0),0),0)</f>
        <v>1.7949133333333336</v>
      </c>
      <c r="K62" s="152">
        <f>IFERROR(VLOOKUP($A$3:$A$139,'JUNE-2026'!$A$4:$ADJ$113,MATCH('FY-(26-27)Q1'!$K$2:$L$2,'JUNE-2026'!$A$2:$DK$2,0),0),0)</f>
        <v>-498630</v>
      </c>
      <c r="L62" s="154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5">
        <f t="shared" si="3"/>
        <v>2.2428299999999997</v>
      </c>
      <c r="O62" s="214"/>
      <c r="P62" s="152">
        <f>IFERROR(VLOOKUP($A$3:$A$139,'FY-(26-27)Q2'!$A$4:$ABW$124,MATCH('FY-(26-27)Q1'!$P$2:$Q$2,'FY-(26-27)Q2'!$A$2:$BX$2,0),0),0)</f>
        <v>170252</v>
      </c>
      <c r="Q62" s="154">
        <f>IFERROR(VLOOKUP($A$3:$A$139,'FY-(26-27)Q2'!$A$4:$ABW$124,MATCH('FY-(26-27)Q1'!$P$2:$Q$2,'FY-(26-27)Q2'!$A$2:$BX$2,0),0),0)</f>
        <v>0.5675066666666666</v>
      </c>
      <c r="R62" s="158"/>
      <c r="S62" s="152">
        <f>IFERROR(VLOOKUP($A$3:$A$139,'FY-(26-27)Q3'!$A$4:$ABW$115,MATCH('FY-(26-27)Q1'!$S$2:$T$2,'FY-(26-27)Q3'!$A$2:$BX$2,0),0),0)</f>
        <v>802145</v>
      </c>
      <c r="T62" s="154">
        <f>IFERROR(VLOOKUP($A$3:$A$139,'FY-(26-27)Q3'!$A$4:$ABW$115,MATCH('FY-(26-27)Q1'!$S$2:$T$3,'FY-(26-27)Q3'!$A$2:$BX$2,0),0),0)</f>
        <v>0</v>
      </c>
      <c r="U62" s="158"/>
      <c r="V62" s="45"/>
      <c r="W62" s="72"/>
      <c r="Y62" s="153">
        <f t="shared" si="24"/>
        <v>1645246</v>
      </c>
      <c r="Z62" s="167">
        <f t="shared" si="25"/>
        <v>2.8103366666666663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2" t="s">
        <v>168</v>
      </c>
      <c r="B63" s="140" t="s">
        <v>169</v>
      </c>
      <c r="C63" s="132" t="s">
        <v>255</v>
      </c>
      <c r="D63" s="162" t="s">
        <v>253</v>
      </c>
      <c r="E63" s="162" t="s">
        <v>253</v>
      </c>
      <c r="F63" s="114">
        <v>4</v>
      </c>
      <c r="G63" s="152">
        <f>IFERROR(VLOOKUP($A$3:$A$139,'APR-2026'!$A$4:$ABX$112,MATCH('FY-(26-27)Q1'!$G$2:$H$2,'APR-2026'!$A$2:$BY$2,0),0),0)</f>
        <v>343500</v>
      </c>
      <c r="H63" s="154">
        <f>IFERROR(VLOOKUP($A$3:$A$139,'APR-2026'!$A$4:$ABX$112,MATCH('FY-(26-27)Q1'!$G$2:$H$2,'APR-2026'!$A$2:$BY$2,0),0),0)</f>
        <v>0.85875000000000001</v>
      </c>
      <c r="I63" s="152">
        <f>IFERROR(VLOOKUP($A$3:$A$139,'MAY-2026'!$A$4:$ACP$113,MATCH('FY-(26-27)Q1'!$I$2:$J$2,'MAY-2026'!$A$2:$CQ$2,0),0),0)</f>
        <v>352000</v>
      </c>
      <c r="J63" s="154">
        <f>IFERROR(VLOOKUP($A$3:$A$139,'MAY-2026'!$A$4:$ACP$113,MATCH('FY-(26-27)Q1'!$I$2:$J$2,'MAY-2026'!$A$2:$CQ$2,0),0),0)</f>
        <v>0.88</v>
      </c>
      <c r="K63" s="152">
        <f>IFERROR(VLOOKUP($A$3:$A$139,'JUNE-2026'!$A$4:$ADJ$113,MATCH('FY-(26-27)Q1'!$K$2:$L$2,'JUNE-2026'!$A$2:$DK$2,0),0),0)</f>
        <v>-20500</v>
      </c>
      <c r="L63" s="154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5">
        <f t="shared" si="3"/>
        <v>1.6875</v>
      </c>
      <c r="O63" s="214"/>
      <c r="P63" s="152">
        <f>IFERROR(VLOOKUP($A$3:$A$139,'FY-(26-27)Q2'!$A$4:$ABW$124,MATCH('FY-(26-27)Q1'!$P$2:$Q$2,'FY-(26-27)Q2'!$A$2:$BX$2,0),0),0)</f>
        <v>289873</v>
      </c>
      <c r="Q63" s="154">
        <f>IFERROR(VLOOKUP($A$3:$A$139,'FY-(26-27)Q2'!$A$4:$ABW$124,MATCH('FY-(26-27)Q1'!$P$2:$Q$2,'FY-(26-27)Q2'!$A$2:$BX$2,0),0),0)</f>
        <v>0.7246824999999999</v>
      </c>
      <c r="R63" s="158"/>
      <c r="S63" s="152">
        <f>IFERROR(VLOOKUP($A$3:$A$139,'FY-(26-27)Q3'!$A$4:$ABW$115,MATCH('FY-(26-27)Q1'!$S$2:$T$2,'FY-(26-27)Q3'!$A$2:$BX$2,0),0),0)</f>
        <v>112320</v>
      </c>
      <c r="T63" s="154">
        <f>IFERROR(VLOOKUP($A$3:$A$139,'FY-(26-27)Q3'!$A$4:$ABW$115,MATCH('FY-(26-27)Q1'!$S$2:$T$3,'FY-(26-27)Q3'!$A$2:$BX$2,0),0),0)</f>
        <v>0</v>
      </c>
      <c r="U63" s="158"/>
      <c r="V63" s="45"/>
      <c r="W63" s="72"/>
      <c r="Y63" s="153">
        <f t="shared" si="24"/>
        <v>1077193</v>
      </c>
      <c r="Z63" s="167">
        <f t="shared" si="25"/>
        <v>2.4121825000000001</v>
      </c>
    </row>
    <row r="64" spans="1:34" ht="15" customHeight="1" x14ac:dyDescent="0.25">
      <c r="A64" s="142" t="s">
        <v>201</v>
      </c>
      <c r="B64" s="140" t="s">
        <v>169</v>
      </c>
      <c r="C64" s="59" t="s">
        <v>227</v>
      </c>
      <c r="D64" s="162" t="s">
        <v>254</v>
      </c>
      <c r="E64" s="162" t="s">
        <v>256</v>
      </c>
      <c r="F64" s="114">
        <v>0.5</v>
      </c>
      <c r="G64" s="152">
        <f>IFERROR(VLOOKUP($A$3:$A$139,'APR-2026'!$A$4:$ABX$112,MATCH('FY-(26-27)Q1'!$G$2:$H$2,'APR-2026'!$A$2:$BY$2,0),0),0)</f>
        <v>-159000</v>
      </c>
      <c r="H64" s="154">
        <f>IFERROR(VLOOKUP($A$3:$A$139,'APR-2026'!$A$4:$ABX$112,MATCH('FY-(26-27)Q1'!$G$2:$H$2,'APR-2026'!$A$2:$BY$2,0),0),0)</f>
        <v>-3.18</v>
      </c>
      <c r="I64" s="152">
        <f>IFERROR(VLOOKUP($A$3:$A$139,'MAY-2026'!$A$4:$ACP$113,MATCH('FY-(26-27)Q1'!$I$2:$J$2,'MAY-2026'!$A$2:$CQ$2,0),0),0)</f>
        <v>-106300</v>
      </c>
      <c r="J64" s="154">
        <f>IFERROR(VLOOKUP($A$3:$A$139,'MAY-2026'!$A$4:$ACP$113,MATCH('FY-(26-27)Q1'!$I$2:$J$2,'MAY-2026'!$A$2:$CQ$2,0),0),0)</f>
        <v>-2.1259999999999999</v>
      </c>
      <c r="K64" s="152">
        <f>IFERROR(VLOOKUP($A$3:$A$139,'JUNE-2026'!$A$4:$ADJ$113,MATCH('FY-(26-27)Q1'!$K$2:$L$2,'JUNE-2026'!$A$2:$DK$2,0),0),0)</f>
        <v>0</v>
      </c>
      <c r="L64" s="154">
        <f>IFERROR(VLOOKUP($A$3:$A$139,'JUNE-2026'!$A$4:$ADJ$113,MATCH('FY-(26-27)Q1'!$K$2:$L$2,'JUNE-2026'!$A$2:$DK$2,0),0),0)</f>
        <v>0</v>
      </c>
      <c r="M64" s="71">
        <f t="shared" ref="M64:M65" si="41">G64+I64+K64</f>
        <v>-265300</v>
      </c>
      <c r="N64" s="165">
        <f t="shared" ref="N64:N65" si="42">H64+J64+L64</f>
        <v>-5.306</v>
      </c>
      <c r="O64" s="214"/>
      <c r="P64" s="152">
        <f>IFERROR(VLOOKUP($A$3:$A$139,'FY-(26-27)Q2'!$A$4:$ABW$124,MATCH('FY-(26-27)Q1'!$P$2:$Q$2,'FY-(26-27)Q2'!$A$2:$BX$2,0),0),0)</f>
        <v>-20169</v>
      </c>
      <c r="Q64" s="154">
        <f>IFERROR(VLOOKUP($A$3:$A$139,'FY-(26-27)Q2'!$A$4:$ABW$124,MATCH('FY-(26-27)Q1'!$P$2:$Q$2,'FY-(26-27)Q2'!$A$2:$BX$2,0),0),0)</f>
        <v>-0.20168999999999998</v>
      </c>
      <c r="R64" s="158"/>
      <c r="S64" s="152">
        <f>IFERROR(VLOOKUP($A$3:$A$139,'FY-(26-27)Q3'!$A$4:$ABW$115,MATCH('FY-(26-27)Q1'!$S$2:$T$2,'FY-(26-27)Q3'!$A$2:$BX$2,0),0),0)</f>
        <v>0</v>
      </c>
      <c r="T64" s="154">
        <f>IFERROR(VLOOKUP($A$3:$A$139,'FY-(26-27)Q3'!$A$4:$ABW$115,MATCH('FY-(26-27)Q1'!$S$2:$T$3,'FY-(26-27)Q3'!$A$2:$BX$2,0),0),0)</f>
        <v>0</v>
      </c>
      <c r="U64" s="158"/>
      <c r="V64" s="143"/>
      <c r="W64" s="149"/>
      <c r="X64" s="131"/>
      <c r="Y64" s="153">
        <f t="shared" si="24"/>
        <v>-285469</v>
      </c>
      <c r="Z64" s="167">
        <f t="shared" si="25"/>
        <v>-5.5076900000000002</v>
      </c>
    </row>
    <row r="65" spans="1:26" ht="15" customHeight="1" x14ac:dyDescent="0.25">
      <c r="A65" s="142" t="s">
        <v>202</v>
      </c>
      <c r="B65" s="140" t="s">
        <v>169</v>
      </c>
      <c r="C65" s="59" t="s">
        <v>255</v>
      </c>
      <c r="D65" s="162" t="s">
        <v>116</v>
      </c>
      <c r="E65" s="162" t="s">
        <v>256</v>
      </c>
      <c r="F65" s="114">
        <v>4</v>
      </c>
      <c r="G65" s="152">
        <f>IFERROR(VLOOKUP($A$3:$A$139,'APR-2026'!$A$4:$ABX$112,MATCH('FY-(26-27)Q1'!$G$2:$H$2,'APR-2026'!$A$2:$BY$2,0),0),0)</f>
        <v>151712</v>
      </c>
      <c r="H65" s="154">
        <f>IFERROR(VLOOKUP($A$3:$A$139,'APR-2026'!$A$4:$ABX$112,MATCH('FY-(26-27)Q1'!$G$2:$H$2,'APR-2026'!$A$2:$BY$2,0),0),0)</f>
        <v>0.37928000000000001</v>
      </c>
      <c r="I65" s="152">
        <f>IFERROR(VLOOKUP($A$3:$A$139,'MAY-2026'!$A$4:$ACP$113,MATCH('FY-(26-27)Q1'!$I$2:$J$2,'MAY-2026'!$A$2:$CQ$2,0),0),0)</f>
        <v>145700</v>
      </c>
      <c r="J65" s="154">
        <f>IFERROR(VLOOKUP($A$3:$A$139,'MAY-2026'!$A$4:$ACP$113,MATCH('FY-(26-27)Q1'!$I$2:$J$2,'MAY-2026'!$A$2:$CQ$2,0),0),0)</f>
        <v>0.36425000000000002</v>
      </c>
      <c r="K65" s="152">
        <f>IFERROR(VLOOKUP($A$3:$A$139,'JUNE-2026'!$A$4:$ADJ$113,MATCH('FY-(26-27)Q1'!$K$2:$L$2,'JUNE-2026'!$A$2:$DK$2,0),0),0)</f>
        <v>227000</v>
      </c>
      <c r="L65" s="154">
        <f>IFERROR(VLOOKUP($A$3:$A$139,'JUNE-2026'!$A$4:$ADJ$113,MATCH('FY-(26-27)Q1'!$K$2:$L$2,'JUNE-2026'!$A$2:$DK$2,0),0),0)</f>
        <v>0.5675</v>
      </c>
      <c r="M65" s="71">
        <f t="shared" si="41"/>
        <v>524412</v>
      </c>
      <c r="N65" s="165">
        <f t="shared" si="42"/>
        <v>1.3110300000000001</v>
      </c>
      <c r="O65" s="214"/>
      <c r="P65" s="152">
        <f>IFERROR(VLOOKUP($A$3:$A$139,'FY-(26-27)Q2'!$A$4:$ABW$124,MATCH('FY-(26-27)Q1'!$P$2:$Q$2,'FY-(26-27)Q2'!$A$2:$BX$2,0),0),0)</f>
        <v>258369</v>
      </c>
      <c r="Q65" s="154">
        <f>IFERROR(VLOOKUP($A$3:$A$139,'FY-(26-27)Q2'!$A$4:$ABW$124,MATCH('FY-(26-27)Q1'!$P$2:$Q$2,'FY-(26-27)Q2'!$A$2:$BX$2,0),0),0)</f>
        <v>0.64592249999999996</v>
      </c>
      <c r="R65" s="158"/>
      <c r="S65" s="152">
        <f>IFERROR(VLOOKUP($A$3:$A$139,'FY-(26-27)Q3'!$A$4:$ABW$115,MATCH('FY-(26-27)Q1'!$S$2:$T$2,'FY-(26-27)Q3'!$A$2:$BX$2,0),0),0)</f>
        <v>164700</v>
      </c>
      <c r="T65" s="154">
        <f>IFERROR(VLOOKUP($A$3:$A$139,'FY-(26-27)Q3'!$A$4:$ABW$115,MATCH('FY-(26-27)Q1'!$S$2:$T$3,'FY-(26-27)Q3'!$A$2:$BX$2,0),0),0)</f>
        <v>0</v>
      </c>
      <c r="U65" s="158"/>
      <c r="V65" s="143"/>
      <c r="W65" s="149"/>
      <c r="X65" s="131"/>
      <c r="Y65" s="153">
        <f t="shared" si="24"/>
        <v>947481</v>
      </c>
      <c r="Z65" s="167">
        <f t="shared" si="25"/>
        <v>1.9569525000000001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2">
        <f>IFERROR(VLOOKUP($A$3:$A$139,'APR-2026'!$A$4:$ABX$112,MATCH('FY-(26-27)Q1'!$G$2:$H$2,'APR-2026'!$A$2:$BY$2,0),0),0)</f>
        <v>92278</v>
      </c>
      <c r="H66" s="154">
        <f>IFERROR(VLOOKUP($A$3:$A$139,'APR-2026'!$A$4:$ABX$112,MATCH('FY-(26-27)Q1'!$G$2:$H$2,'APR-2026'!$A$2:$BY$2,0),0),0)</f>
        <v>0.57673750000000001</v>
      </c>
      <c r="I66" s="152">
        <f>IFERROR(VLOOKUP($A$3:$A$139,'MAY-2026'!$A$4:$ACP$113,MATCH('FY-(26-27)Q1'!$I$2:$J$2,'MAY-2026'!$A$2:$CQ$2,0),0),0)</f>
        <v>35279</v>
      </c>
      <c r="J66" s="154">
        <f>IFERROR(VLOOKUP($A$3:$A$139,'MAY-2026'!$A$4:$ACP$113,MATCH('FY-(26-27)Q1'!$I$2:$J$2,'MAY-2026'!$A$2:$CQ$2,0),0),0)</f>
        <v>0.23519333333333331</v>
      </c>
      <c r="K66" s="152">
        <f>IFERROR(VLOOKUP($A$3:$A$139,'JUNE-2026'!$A$4:$ADJ$113,MATCH('FY-(26-27)Q1'!$K$2:$L$2,'JUNE-2026'!$A$2:$DK$2,0),0),0)</f>
        <v>0</v>
      </c>
      <c r="L66" s="154">
        <f>IFERROR(VLOOKUP($A$3:$A$139,'JUNE-2026'!$A$4:$ADJ$113,MATCH('FY-(26-27)Q1'!$K$2:$L$2,'JUNE-2026'!$A$2:$DK$2,0),0),0)</f>
        <v>0</v>
      </c>
      <c r="M66" s="71">
        <f t="shared" si="2"/>
        <v>127557</v>
      </c>
      <c r="N66" s="165">
        <f t="shared" si="3"/>
        <v>0.81193083333333327</v>
      </c>
      <c r="O66" s="214"/>
      <c r="P66" s="152">
        <f>IFERROR(VLOOKUP($A$3:$A$139,'FY-(26-27)Q2'!$A$4:$ABW$124,MATCH('FY-(26-27)Q1'!$P$2:$Q$2,'FY-(26-27)Q2'!$A$2:$BX$2,0),0),0)</f>
        <v>0</v>
      </c>
      <c r="Q66" s="154">
        <f>IFERROR(VLOOKUP($A$3:$A$139,'FY-(26-27)Q2'!$A$4:$ABW$124,MATCH('FY-(26-27)Q1'!$P$2:$Q$2,'FY-(26-27)Q2'!$A$2:$BX$2,0),0),0)</f>
        <v>0</v>
      </c>
      <c r="R66" s="158"/>
      <c r="S66" s="152">
        <f>IFERROR(VLOOKUP($A$3:$A$139,'FY-(26-27)Q3'!$A$4:$ABW$115,MATCH('FY-(26-27)Q1'!$S$2:$T$2,'FY-(26-27)Q3'!$A$2:$BX$2,0),0),0)</f>
        <v>0</v>
      </c>
      <c r="T66" s="154">
        <f>IFERROR(VLOOKUP($A$3:$A$139,'FY-(26-27)Q3'!$A$4:$ABW$115,MATCH('FY-(26-27)Q1'!$S$2:$T$3,'FY-(26-27)Q3'!$A$2:$BX$2,0),0),0)</f>
        <v>0</v>
      </c>
      <c r="U66" s="158"/>
      <c r="V66" s="45"/>
      <c r="W66" s="72"/>
      <c r="X66" s="131"/>
      <c r="Y66" s="153">
        <f t="shared" si="24"/>
        <v>127557</v>
      </c>
      <c r="Z66" s="167">
        <f t="shared" si="25"/>
        <v>0.81193083333333327</v>
      </c>
    </row>
    <row r="67" spans="1:26" s="131" customFormat="1" ht="15" customHeight="1" x14ac:dyDescent="0.25">
      <c r="A67" s="59" t="s">
        <v>306</v>
      </c>
      <c r="B67" s="62" t="s">
        <v>304</v>
      </c>
      <c r="C67" s="59" t="s">
        <v>128</v>
      </c>
      <c r="D67" s="140"/>
      <c r="E67" s="140" t="s">
        <v>256</v>
      </c>
      <c r="F67" s="114">
        <v>0.1</v>
      </c>
      <c r="G67" s="152">
        <f>IFERROR(VLOOKUP($A$3:$A$139,'APR-2026'!$A$4:$ABX$112,MATCH('FY-(26-27)Q1'!$G$2:$H$2,'APR-2026'!$A$2:$BY$2,0),0),0)</f>
        <v>0</v>
      </c>
      <c r="H67" s="154">
        <f>IFERROR(VLOOKUP($A$3:$A$139,'APR-2026'!$A$4:$ABX$112,MATCH('FY-(26-27)Q1'!$G$2:$H$2,'APR-2026'!$A$2:$BY$2,0),0),0)</f>
        <v>0</v>
      </c>
      <c r="I67" s="152">
        <f>IFERROR(VLOOKUP($A$3:$A$139,'MAY-2026'!$A$4:$ACP$113,MATCH('FY-(26-27)Q1'!$I$2:$J$2,'MAY-2026'!$A$2:$CQ$2,0),0),0)</f>
        <v>0</v>
      </c>
      <c r="J67" s="154">
        <f>IFERROR(VLOOKUP($A$3:$A$139,'MAY-2026'!$A$4:$ACP$113,MATCH('FY-(26-27)Q1'!$I$2:$J$2,'MAY-2026'!$A$2:$CQ$2,0),0),0)</f>
        <v>0</v>
      </c>
      <c r="K67" s="152">
        <f>IFERROR(VLOOKUP($A$3:$A$139,'JUNE-2026'!$A$4:$ADJ$113,MATCH('FY-(26-27)Q1'!$K$2:$L$2,'JUNE-2026'!$A$2:$DK$2,0),0),0)</f>
        <v>0</v>
      </c>
      <c r="L67" s="154">
        <f>IFERROR(VLOOKUP($A$3:$A$139,'JUNE-2026'!$A$4:$ADJ$113,MATCH('FY-(26-27)Q1'!$K$2:$L$2,'JUNE-2026'!$A$2:$DK$2,0),0),0)</f>
        <v>0</v>
      </c>
      <c r="M67" s="71">
        <f t="shared" ref="M67" si="43">G67+I67+K67</f>
        <v>0</v>
      </c>
      <c r="N67" s="165">
        <f t="shared" ref="N67" si="44">H67+J67+L67</f>
        <v>0</v>
      </c>
      <c r="O67" s="214"/>
      <c r="P67" s="152">
        <f>IFERROR(VLOOKUP($A$3:$A$139,'FY-(26-27)Q2'!$A$4:$ABW$124,MATCH('FY-(26-27)Q1'!$P$2:$Q$2,'FY-(26-27)Q2'!$A$2:$BX$2,0),0),0)</f>
        <v>-962829</v>
      </c>
      <c r="Q67" s="154">
        <f>IFERROR(VLOOKUP($A$3:$A$139,'FY-(26-27)Q2'!$A$4:$ABW$124,MATCH('FY-(26-27)Q1'!$P$2:$Q$2,'FY-(26-27)Q2'!$A$2:$BX$2,0),0),0)</f>
        <v>-0.96292900000000003</v>
      </c>
      <c r="R67" s="158"/>
      <c r="S67" s="152">
        <f>IFERROR(VLOOKUP($A$3:$A$139,'FY-(26-27)Q3'!$A$4:$ABW$115,MATCH('FY-(26-27)Q1'!$S$2:$T$2,'FY-(26-27)Q3'!$A$2:$BX$2,0),0),0)</f>
        <v>-1724350</v>
      </c>
      <c r="T67" s="154">
        <f>IFERROR(VLOOKUP($A$3:$A$139,'FY-(26-27)Q3'!$A$4:$ABW$115,MATCH('FY-(26-27)Q1'!$S$2:$T$3,'FY-(26-27)Q3'!$A$2:$BX$2,0),0),0)</f>
        <v>0</v>
      </c>
      <c r="U67" s="158"/>
      <c r="V67" s="143"/>
      <c r="W67" s="149"/>
      <c r="Y67" s="153">
        <f t="shared" ref="Y67" si="45">M67+P67+S67+V67</f>
        <v>-2687179</v>
      </c>
      <c r="Z67" s="167">
        <f t="shared" ref="Z67" si="46">(N67+Q67+T67+W67)</f>
        <v>-0.96292900000000003</v>
      </c>
    </row>
    <row r="68" spans="1:26" s="131" customFormat="1" ht="15" customHeight="1" x14ac:dyDescent="0.25">
      <c r="A68" s="59"/>
      <c r="B68" s="62" t="s">
        <v>304</v>
      </c>
      <c r="C68" s="59" t="s">
        <v>274</v>
      </c>
      <c r="D68" s="140"/>
      <c r="E68" s="140" t="s">
        <v>256</v>
      </c>
      <c r="F68" s="114"/>
      <c r="G68" s="152"/>
      <c r="H68" s="154"/>
      <c r="I68" s="152"/>
      <c r="J68" s="154"/>
      <c r="K68" s="152"/>
      <c r="L68" s="154"/>
      <c r="M68" s="71">
        <f t="shared" ref="M68" si="47">G68+I68+K68</f>
        <v>0</v>
      </c>
      <c r="N68" s="165">
        <f t="shared" ref="N68" si="48">H68+J68+L68</f>
        <v>0</v>
      </c>
      <c r="O68" s="214"/>
      <c r="P68" s="152">
        <f>IFERROR(VLOOKUP($A$3:$A$139,'FY-(26-27)Q2'!$A$4:$ABW$124,MATCH('FY-(26-27)Q1'!$P$2:$Q$2,'FY-(26-27)Q2'!$A$2:$BX$2,0),0),0)</f>
        <v>0</v>
      </c>
      <c r="Q68" s="154">
        <f>IFERROR(VLOOKUP($A$3:$A$139,'FY-(26-27)Q2'!$A$4:$ABW$124,MATCH('FY-(26-27)Q1'!$P$2:$Q$2,'FY-(26-27)Q2'!$A$2:$BX$2,0),0),0)</f>
        <v>0</v>
      </c>
      <c r="R68" s="158"/>
      <c r="S68" s="152">
        <f>IFERROR(VLOOKUP($A$3:$A$139,'FY-(26-27)Q3'!$A$4:$ABW$115,MATCH('FY-(26-27)Q1'!$S$2:$T$2,'FY-(26-27)Q3'!$A$2:$BX$2,0),0),0)</f>
        <v>0</v>
      </c>
      <c r="T68" s="154">
        <f>IFERROR(VLOOKUP($A$3:$A$139,'FY-(26-27)Q3'!$A$4:$ABW$115,MATCH('FY-(26-27)Q1'!$S$2:$T$3,'FY-(26-27)Q3'!$A$2:$BX$2,0),0),0)</f>
        <v>0</v>
      </c>
      <c r="U68" s="158"/>
      <c r="V68" s="143"/>
      <c r="W68" s="149"/>
      <c r="Y68" s="153">
        <f t="shared" ref="Y68" si="49">M68+P68+S68+V68</f>
        <v>0</v>
      </c>
      <c r="Z68" s="167">
        <f t="shared" ref="Z68" si="50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2" t="s">
        <v>256</v>
      </c>
      <c r="F69" s="114">
        <v>0.5</v>
      </c>
      <c r="G69" s="152">
        <f>IFERROR(VLOOKUP($A$3:$A$139,'APR-2026'!$A$4:$ABX$112,MATCH('FY-(26-27)Q1'!$G$2:$H$2,'APR-2026'!$A$2:$BY$2,0),0),0)</f>
        <v>34594</v>
      </c>
      <c r="H69" s="154">
        <f>IFERROR(VLOOKUP($A$3:$A$139,'APR-2026'!$A$4:$ABX$112,MATCH('FY-(26-27)Q1'!$G$2:$H$2,'APR-2026'!$A$2:$BY$2,0),0),0)</f>
        <v>0.69188000000000005</v>
      </c>
      <c r="I69" s="152">
        <f>IFERROR(VLOOKUP($A$3:$A$139,'MAY-2026'!$A$4:$ACP$113,MATCH('FY-(26-27)Q1'!$I$2:$J$2,'MAY-2026'!$A$2:$CQ$2,0),0),0)</f>
        <v>-44456</v>
      </c>
      <c r="J69" s="154">
        <f>IFERROR(VLOOKUP($A$3:$A$139,'MAY-2026'!$A$4:$ACP$113,MATCH('FY-(26-27)Q1'!$I$2:$J$2,'MAY-2026'!$A$2:$CQ$2,0),0),0)</f>
        <v>-0.88912000000000002</v>
      </c>
      <c r="K69" s="152">
        <f>IFERROR(VLOOKUP($A$3:$A$139,'JUNE-2026'!$A$4:$ADJ$113,MATCH('FY-(26-27)Q1'!$K$2:$L$2,'JUNE-2026'!$A$2:$DK$2,0),0),0)</f>
        <v>-36792</v>
      </c>
      <c r="L69" s="154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5">
        <f t="shared" si="3"/>
        <v>-0.93308000000000002</v>
      </c>
      <c r="O69" s="214"/>
      <c r="P69" s="152">
        <f>IFERROR(VLOOKUP($A$3:$A$139,'FY-(26-27)Q2'!$A$4:$ABW$124,MATCH('FY-(26-27)Q1'!$P$2:$Q$2,'FY-(26-27)Q2'!$A$2:$BX$2,0),0),0)</f>
        <v>-23231</v>
      </c>
      <c r="Q69" s="154">
        <f>IFERROR(VLOOKUP($A$3:$A$139,'FY-(26-27)Q2'!$A$4:$ABW$124,MATCH('FY-(26-27)Q1'!$P$2:$Q$2,'FY-(26-27)Q2'!$A$2:$BX$2,0),0),0)</f>
        <v>-0.46461999999999992</v>
      </c>
      <c r="R69" s="158"/>
      <c r="S69" s="152">
        <f>IFERROR(VLOOKUP($A$3:$A$139,'FY-(26-27)Q3'!$A$4:$ABW$115,MATCH('FY-(26-27)Q1'!$S$2:$T$2,'FY-(26-27)Q3'!$A$2:$BX$2,0),0),0)</f>
        <v>63612</v>
      </c>
      <c r="T69" s="154">
        <f>IFERROR(VLOOKUP($A$3:$A$139,'FY-(26-27)Q3'!$A$4:$ABW$115,MATCH('FY-(26-27)Q1'!$S$2:$T$3,'FY-(26-27)Q3'!$A$2:$BX$2,0),0),0)</f>
        <v>0</v>
      </c>
      <c r="U69" s="158"/>
      <c r="V69" s="143"/>
      <c r="W69" s="149"/>
      <c r="Y69" s="153">
        <f t="shared" si="24"/>
        <v>-6273</v>
      </c>
      <c r="Z69" s="167">
        <f t="shared" si="25"/>
        <v>-1.3976999999999999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2" t="s">
        <v>256</v>
      </c>
      <c r="F70" s="114">
        <v>4</v>
      </c>
      <c r="G70" s="152">
        <f>IFERROR(VLOOKUP($A$3:$A$139,'APR-2026'!$A$4:$ABX$112,MATCH('FY-(26-27)Q1'!$G$2:$H$2,'APR-2026'!$A$2:$BY$2,0),0),0)</f>
        <v>0</v>
      </c>
      <c r="H70" s="154">
        <f>IFERROR(VLOOKUP($A$3:$A$139,'APR-2026'!$A$4:$ABX$112,MATCH('FY-(26-27)Q1'!$G$2:$H$2,'APR-2026'!$A$2:$BY$2,0),0),0)</f>
        <v>0</v>
      </c>
      <c r="I70" s="152">
        <f>IFERROR(VLOOKUP($A$3:$A$139,'MAY-2026'!$A$4:$ACP$113,MATCH('FY-(26-27)Q1'!$I$2:$J$2,'MAY-2026'!$A$2:$CQ$2,0),0),0)</f>
        <v>-206359</v>
      </c>
      <c r="J70" s="154">
        <f>IFERROR(VLOOKUP($A$3:$A$139,'MAY-2026'!$A$4:$ACP$113,MATCH('FY-(26-27)Q1'!$I$2:$J$2,'MAY-2026'!$A$2:$CQ$2,0),0),0)</f>
        <v>-0.51589750000000001</v>
      </c>
      <c r="K70" s="152">
        <f>IFERROR(VLOOKUP($A$3:$A$139,'JUNE-2026'!$A$4:$ADJ$113,MATCH('FY-(26-27)Q1'!$K$2:$L$2,'JUNE-2026'!$A$2:$DK$2,0),0),0)</f>
        <v>-201593</v>
      </c>
      <c r="L70" s="154">
        <f>IFERROR(VLOOKUP($A$3:$A$139,'JUNE-2026'!$A$4:$ADJ$113,MATCH('FY-(26-27)Q1'!$K$2:$L$2,'JUNE-2026'!$A$2:$DK$2,0),0),0)</f>
        <v>-0.5039825</v>
      </c>
      <c r="M70" s="71">
        <f t="shared" ref="M70:M71" si="51">G70+I70+K70</f>
        <v>-407952</v>
      </c>
      <c r="N70" s="165">
        <f t="shared" ref="N70:N71" si="52">H70+J70+L70</f>
        <v>-1.0198800000000001</v>
      </c>
      <c r="O70" s="214"/>
      <c r="P70" s="152">
        <f>IFERROR(VLOOKUP($A$3:$A$139,'FY-(26-27)Q2'!$A$4:$ABW$124,MATCH('FY-(26-27)Q1'!$P$2:$Q$2,'FY-(26-27)Q2'!$A$2:$BX$2,0),0),0)</f>
        <v>47121</v>
      </c>
      <c r="Q70" s="154">
        <f>IFERROR(VLOOKUP($A$3:$A$139,'FY-(26-27)Q2'!$A$4:$ABW$124,MATCH('FY-(26-27)Q1'!$P$2:$Q$2,'FY-(26-27)Q2'!$A$2:$BX$2,0),0),0)</f>
        <v>0.91588326923076946</v>
      </c>
      <c r="R70" s="158"/>
      <c r="S70" s="152">
        <f>IFERROR(VLOOKUP($A$3:$A$139,'FY-(26-27)Q3'!$A$4:$ABW$115,MATCH('FY-(26-27)Q1'!$S$2:$T$2,'FY-(26-27)Q3'!$A$2:$BX$2,0),0),0)</f>
        <v>418303</v>
      </c>
      <c r="T70" s="154">
        <f>IFERROR(VLOOKUP($A$3:$A$139,'FY-(26-27)Q3'!$A$4:$ABW$115,MATCH('FY-(26-27)Q1'!$S$2:$T$3,'FY-(26-27)Q3'!$A$2:$BX$2,0),0),0)</f>
        <v>0</v>
      </c>
      <c r="U70" s="158"/>
      <c r="V70" s="143"/>
      <c r="W70" s="149"/>
      <c r="Y70" s="153">
        <f t="shared" si="24"/>
        <v>57472</v>
      </c>
      <c r="Z70" s="167">
        <f t="shared" si="25"/>
        <v>-0.10399673076923066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2" t="s">
        <v>256</v>
      </c>
      <c r="F71" s="114">
        <v>1</v>
      </c>
      <c r="G71" s="152">
        <f>IFERROR(VLOOKUP($A$3:$A$139,'APR-2026'!$A$4:$ABX$112,MATCH('FY-(26-27)Q1'!$G$2:$H$2,'APR-2026'!$A$2:$BY$2,0),0),0)</f>
        <v>0</v>
      </c>
      <c r="H71" s="154">
        <f>IFERROR(VLOOKUP($A$3:$A$139,'APR-2026'!$A$4:$ABX$112,MATCH('FY-(26-27)Q1'!$G$2:$H$2,'APR-2026'!$A$2:$BY$2,0),0),0)</f>
        <v>0</v>
      </c>
      <c r="I71" s="152">
        <f>IFERROR(VLOOKUP($A$3:$A$139,'MAY-2026'!$A$4:$ACP$113,MATCH('FY-(26-27)Q1'!$I$2:$J$2,'MAY-2026'!$A$2:$CQ$2,0),0),0)</f>
        <v>-52710</v>
      </c>
      <c r="J71" s="154">
        <f>IFERROR(VLOOKUP($A$3:$A$139,'MAY-2026'!$A$4:$ACP$113,MATCH('FY-(26-27)Q1'!$I$2:$J$2,'MAY-2026'!$A$2:$CQ$2,0),0),0)</f>
        <v>-0.52710000000000001</v>
      </c>
      <c r="K71" s="152">
        <f>IFERROR(VLOOKUP($A$3:$A$139,'JUNE-2026'!$A$4:$ADJ$113,MATCH('FY-(26-27)Q1'!$K$2:$L$2,'JUNE-2026'!$A$2:$DK$2,0),0),0)</f>
        <v>29428</v>
      </c>
      <c r="L71" s="154">
        <f>IFERROR(VLOOKUP($A$3:$A$139,'JUNE-2026'!$A$4:$ADJ$113,MATCH('FY-(26-27)Q1'!$K$2:$L$2,'JUNE-2026'!$A$2:$DK$2,0),0),0)</f>
        <v>0.29427999999999999</v>
      </c>
      <c r="M71" s="71">
        <f t="shared" si="51"/>
        <v>-23282</v>
      </c>
      <c r="N71" s="165">
        <f t="shared" si="52"/>
        <v>-0.23282000000000003</v>
      </c>
      <c r="O71" s="214"/>
      <c r="P71" s="152">
        <f>IFERROR(VLOOKUP($A$3:$A$139,'FY-(26-27)Q2'!$A$4:$ABW$124,MATCH('FY-(26-27)Q1'!$P$2:$Q$2,'FY-(26-27)Q2'!$A$2:$BX$2,0),0),0)</f>
        <v>24982</v>
      </c>
      <c r="Q71" s="154">
        <f>IFERROR(VLOOKUP($A$3:$A$139,'FY-(26-27)Q2'!$A$4:$ABW$124,MATCH('FY-(26-27)Q1'!$P$2:$Q$2,'FY-(26-27)Q2'!$A$2:$BX$2,0),0),0)</f>
        <v>0.19985600000000003</v>
      </c>
      <c r="R71" s="158"/>
      <c r="S71" s="152">
        <f>IFERROR(VLOOKUP($A$3:$A$139,'FY-(26-27)Q3'!$A$4:$ABW$115,MATCH('FY-(26-27)Q1'!$S$2:$T$2,'FY-(26-27)Q3'!$A$2:$BX$2,0),0),0)</f>
        <v>0</v>
      </c>
      <c r="T71" s="154">
        <f>IFERROR(VLOOKUP($A$3:$A$139,'FY-(26-27)Q3'!$A$4:$ABW$115,MATCH('FY-(26-27)Q1'!$S$2:$T$3,'FY-(26-27)Q3'!$A$2:$BX$2,0),0),0)</f>
        <v>0</v>
      </c>
      <c r="U71" s="158"/>
      <c r="V71" s="143"/>
      <c r="W71" s="149"/>
      <c r="Y71" s="153">
        <f t="shared" si="24"/>
        <v>1700</v>
      </c>
      <c r="Z71" s="167">
        <f t="shared" si="25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2">
        <f>IFERROR(VLOOKUP($A$3:$A$139,'APR-2026'!$A$4:$ABX$112,MATCH('FY-(26-27)Q1'!$G$2:$H$2,'APR-2026'!$A$2:$BY$2,0),0),0)</f>
        <v>0</v>
      </c>
      <c r="H72" s="154">
        <f>IFERROR(VLOOKUP($A$3:$A$139,'APR-2026'!$A$4:$ABX$112,MATCH('FY-(26-27)Q1'!$G$2:$H$2,'APR-2026'!$A$2:$BY$2,0),0),0)</f>
        <v>0</v>
      </c>
      <c r="I72" s="152">
        <f>IFERROR(VLOOKUP($A$3:$A$139,'MAY-2026'!$A$4:$ACP$113,MATCH('FY-(26-27)Q1'!$I$2:$J$2,'MAY-2026'!$A$2:$CQ$2,0),0),0)</f>
        <v>0</v>
      </c>
      <c r="J72" s="154">
        <f>IFERROR(VLOOKUP($A$3:$A$139,'MAY-2026'!$A$4:$ACP$113,MATCH('FY-(26-27)Q1'!$I$2:$J$2,'MAY-2026'!$A$2:$CQ$2,0),0),0)</f>
        <v>0</v>
      </c>
      <c r="K72" s="152">
        <f>IFERROR(VLOOKUP($A$3:$A$139,'JUNE-2026'!$A$4:$ADJ$113,MATCH('FY-(26-27)Q1'!$K$2:$L$2,'JUNE-2026'!$A$2:$DK$2,0),0),0)</f>
        <v>0</v>
      </c>
      <c r="L72" s="154">
        <f>IFERROR(VLOOKUP($A$3:$A$139,'JUNE-2026'!$A$4:$ADJ$113,MATCH('FY-(26-27)Q1'!$K$2:$L$2,'JUNE-2026'!$A$2:$DK$2,0),0),0)</f>
        <v>0</v>
      </c>
      <c r="M72" s="71">
        <f t="shared" si="2"/>
        <v>0</v>
      </c>
      <c r="N72" s="165">
        <f t="shared" si="3"/>
        <v>0</v>
      </c>
      <c r="O72" s="214"/>
      <c r="P72" s="152">
        <f>IFERROR(VLOOKUP($A$3:$A$139,'FY-(26-27)Q2'!$A$4:$ABW$124,MATCH('FY-(26-27)Q1'!$P$2:$Q$2,'FY-(26-27)Q2'!$A$2:$BX$2,0),0),0)</f>
        <v>0</v>
      </c>
      <c r="Q72" s="154">
        <f>IFERROR(VLOOKUP($A$3:$A$139,'FY-(26-27)Q2'!$A$4:$ABW$124,MATCH('FY-(26-27)Q1'!$P$2:$Q$2,'FY-(26-27)Q2'!$A$2:$BX$2,0),0),0)</f>
        <v>0</v>
      </c>
      <c r="R72" s="158"/>
      <c r="S72" s="152">
        <f>IFERROR(VLOOKUP($A$3:$A$139,'FY-(26-27)Q3'!$A$4:$ABW$115,MATCH('FY-(26-27)Q1'!$S$2:$T$2,'FY-(26-27)Q3'!$A$2:$BX$2,0),0),0)</f>
        <v>0</v>
      </c>
      <c r="T72" s="154">
        <f>IFERROR(VLOOKUP($A$3:$A$139,'FY-(26-27)Q3'!$A$4:$ABW$115,MATCH('FY-(26-27)Q1'!$S$2:$T$3,'FY-(26-27)Q3'!$A$2:$BX$2,0),0),0)</f>
        <v>0</v>
      </c>
      <c r="U72" s="158"/>
      <c r="V72" s="45"/>
      <c r="W72" s="72"/>
      <c r="Y72" s="153">
        <f t="shared" si="24"/>
        <v>0</v>
      </c>
      <c r="Z72" s="167">
        <f t="shared" si="25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2">
        <f>IFERROR(VLOOKUP($A$3:$A$139,'APR-2026'!$A$4:$ABX$112,MATCH('FY-(26-27)Q1'!$G$2:$H$2,'APR-2026'!$A$2:$BY$2,0),0),0)</f>
        <v>251440</v>
      </c>
      <c r="H73" s="154">
        <f>IFERROR(VLOOKUP($A$3:$A$139,'APR-2026'!$A$4:$ABX$112,MATCH('FY-(26-27)Q1'!$G$2:$H$2,'APR-2026'!$A$2:$BY$2,0),0),0)</f>
        <v>0.83813333333333329</v>
      </c>
      <c r="I73" s="152">
        <f>IFERROR(VLOOKUP($A$3:$A$139,'MAY-2026'!$A$4:$ACP$113,MATCH('FY-(26-27)Q1'!$I$2:$J$2,'MAY-2026'!$A$2:$CQ$2,0),0),0)</f>
        <v>-173423</v>
      </c>
      <c r="J73" s="154">
        <f>IFERROR(VLOOKUP($A$3:$A$139,'MAY-2026'!$A$4:$ACP$113,MATCH('FY-(26-27)Q1'!$I$2:$J$2,'MAY-2026'!$A$2:$CQ$2,0),0),0)</f>
        <v>-0.57807666666666657</v>
      </c>
      <c r="K73" s="152">
        <f>IFERROR(VLOOKUP($A$3:$A$139,'JUNE-2026'!$A$4:$ADJ$113,MATCH('FY-(26-27)Q1'!$K$2:$L$2,'JUNE-2026'!$A$2:$DK$2,0),0),0)</f>
        <v>-245399</v>
      </c>
      <c r="L73" s="154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5">
        <f t="shared" si="3"/>
        <v>-0.55793999999999999</v>
      </c>
      <c r="O73" s="214"/>
      <c r="P73" s="152">
        <f>IFERROR(VLOOKUP($A$3:$A$139,'FY-(26-27)Q2'!$A$4:$ABW$124,MATCH('FY-(26-27)Q1'!$P$2:$Q$2,'FY-(26-27)Q2'!$A$2:$BX$2,0),0),0)</f>
        <v>539686</v>
      </c>
      <c r="Q73" s="154">
        <f>IFERROR(VLOOKUP($A$3:$A$139,'FY-(26-27)Q2'!$A$4:$ABW$124,MATCH('FY-(26-27)Q1'!$P$2:$Q$2,'FY-(26-27)Q2'!$A$2:$BX$2,0),0),0)</f>
        <v>1.7989533333333336</v>
      </c>
      <c r="R73" s="158"/>
      <c r="S73" s="152">
        <f>IFERROR(VLOOKUP($A$3:$A$139,'FY-(26-27)Q3'!$A$4:$ABW$115,MATCH('FY-(26-27)Q1'!$S$2:$T$2,'FY-(26-27)Q3'!$A$2:$BX$2,0),0),0)</f>
        <v>284547</v>
      </c>
      <c r="T73" s="154">
        <f>IFERROR(VLOOKUP($A$3:$A$139,'FY-(26-27)Q3'!$A$4:$ABW$115,MATCH('FY-(26-27)Q1'!$S$2:$T$3,'FY-(26-27)Q3'!$A$2:$BX$2,0),0),0)</f>
        <v>0</v>
      </c>
      <c r="U73" s="158"/>
      <c r="V73" s="45"/>
      <c r="W73" s="72"/>
      <c r="Y73" s="153">
        <f t="shared" si="24"/>
        <v>656851</v>
      </c>
      <c r="Z73" s="167">
        <f t="shared" si="25"/>
        <v>1.2410133333333335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2">
        <f>IFERROR(VLOOKUP($A$3:$A$139,'APR-2026'!$A$4:$ABX$112,MATCH('FY-(26-27)Q1'!$G$2:$H$2,'APR-2026'!$A$2:$BY$2,0),0),0)</f>
        <v>-37267</v>
      </c>
      <c r="H74" s="154">
        <f>IFERROR(VLOOKUP($A$3:$A$139,'APR-2026'!$A$4:$ABX$112,MATCH('FY-(26-27)Q1'!$G$2:$H$2,'APR-2026'!$A$2:$BY$2,0),0),0)</f>
        <v>-0.14906800000000001</v>
      </c>
      <c r="I74" s="152">
        <f>IFERROR(VLOOKUP($A$3:$A$139,'MAY-2026'!$A$4:$ACP$113,MATCH('FY-(26-27)Q1'!$I$2:$J$2,'MAY-2026'!$A$2:$CQ$2,0),0),0)</f>
        <v>-50171</v>
      </c>
      <c r="J74" s="154">
        <f>IFERROR(VLOOKUP($A$3:$A$139,'MAY-2026'!$A$4:$ACP$113,MATCH('FY-(26-27)Q1'!$I$2:$J$2,'MAY-2026'!$A$2:$CQ$2,0),0),0)</f>
        <v>-0.20068400000000003</v>
      </c>
      <c r="K74" s="152">
        <f>IFERROR(VLOOKUP($A$3:$A$139,'JUNE-2026'!$A$4:$ADJ$113,MATCH('FY-(26-27)Q1'!$K$2:$L$2,'JUNE-2026'!$A$2:$DK$2,0),0),0)</f>
        <v>-184314</v>
      </c>
      <c r="L74" s="154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5">
        <f t="shared" si="3"/>
        <v>-1.0870080000000002</v>
      </c>
      <c r="O74" s="214"/>
      <c r="P74" s="152">
        <f>IFERROR(VLOOKUP($A$3:$A$139,'FY-(26-27)Q2'!$A$4:$ABW$124,MATCH('FY-(26-27)Q1'!$P$2:$Q$2,'FY-(26-27)Q2'!$A$2:$BX$2,0),0),0)</f>
        <v>-113136</v>
      </c>
      <c r="Q74" s="154">
        <f>IFERROR(VLOOKUP($A$3:$A$139,'FY-(26-27)Q2'!$A$4:$ABW$124,MATCH('FY-(26-27)Q1'!$P$2:$Q$2,'FY-(26-27)Q2'!$A$2:$BX$2,0),0),0)</f>
        <v>-0.452544</v>
      </c>
      <c r="R74" s="158"/>
      <c r="S74" s="152">
        <f>IFERROR(VLOOKUP($A$3:$A$139,'FY-(26-27)Q3'!$A$4:$ABW$115,MATCH('FY-(26-27)Q1'!$S$2:$T$2,'FY-(26-27)Q3'!$A$2:$BX$2,0),0),0)</f>
        <v>0</v>
      </c>
      <c r="T74" s="154">
        <f>IFERROR(VLOOKUP($A$3:$A$139,'FY-(26-27)Q3'!$A$4:$ABW$115,MATCH('FY-(26-27)Q1'!$S$2:$T$3,'FY-(26-27)Q3'!$A$2:$BX$2,0),0),0)</f>
        <v>0</v>
      </c>
      <c r="U74" s="158"/>
      <c r="V74" s="45"/>
      <c r="W74" s="72"/>
      <c r="Y74" s="153">
        <f t="shared" si="24"/>
        <v>-384888</v>
      </c>
      <c r="Z74" s="167">
        <f t="shared" si="25"/>
        <v>-1.5395520000000003</v>
      </c>
    </row>
    <row r="75" spans="1:26" s="131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2">
        <f>IFERROR(VLOOKUP($A$3:$A$139,'APR-2026'!$A$4:$ABX$112,MATCH('FY-(26-27)Q1'!$G$2:$H$2,'APR-2026'!$A$2:$BY$2,0),0),0)</f>
        <v>0</v>
      </c>
      <c r="H75" s="154">
        <f>IFERROR(VLOOKUP($A$3:$A$139,'APR-2026'!$A$4:$ABX$112,MATCH('FY-(26-27)Q1'!$G$2:$H$2,'APR-2026'!$A$2:$BY$2,0),0),0)</f>
        <v>0</v>
      </c>
      <c r="I75" s="152">
        <f>IFERROR(VLOOKUP($A$3:$A$139,'MAY-2026'!$A$4:$ACP$113,MATCH('FY-(26-27)Q1'!$I$2:$J$2,'MAY-2026'!$A$2:$CQ$2,0),0),0)</f>
        <v>0</v>
      </c>
      <c r="J75" s="154">
        <f>IFERROR(VLOOKUP($A$3:$A$139,'MAY-2026'!$A$4:$ACP$113,MATCH('FY-(26-27)Q1'!$I$2:$J$2,'MAY-2026'!$A$2:$CQ$2,0),0),0)</f>
        <v>0</v>
      </c>
      <c r="K75" s="152">
        <f>IFERROR(VLOOKUP($A$3:$A$139,'JUNE-2026'!$A$4:$ADJ$113,MATCH('FY-(26-27)Q1'!$K$2:$L$2,'JUNE-2026'!$A$2:$DK$2,0),0),0)</f>
        <v>0</v>
      </c>
      <c r="L75" s="154">
        <f>IFERROR(VLOOKUP($A$3:$A$139,'JUNE-2026'!$A$4:$ADJ$113,MATCH('FY-(26-27)Q1'!$K$2:$L$2,'JUNE-2026'!$A$2:$DK$2,0),0),0)</f>
        <v>0</v>
      </c>
      <c r="M75" s="71">
        <f t="shared" ref="M75:M76" si="53">G75+I75+K75</f>
        <v>0</v>
      </c>
      <c r="N75" s="165">
        <f t="shared" ref="N75:N76" si="54">H75+J75+L75</f>
        <v>0</v>
      </c>
      <c r="O75" s="214"/>
      <c r="P75" s="152">
        <f>IFERROR(VLOOKUP($A$3:$A$139,'FY-(26-27)Q2'!$A$4:$ABW$124,MATCH('FY-(26-27)Q1'!$P$2:$Q$2,'FY-(26-27)Q2'!$A$2:$BX$2,0),0),0)</f>
        <v>91565</v>
      </c>
      <c r="Q75" s="154">
        <f>IFERROR(VLOOKUP($A$3:$A$139,'FY-(26-27)Q2'!$A$4:$ABW$124,MATCH('FY-(26-27)Q1'!$P$2:$Q$2,'FY-(26-27)Q2'!$A$2:$BX$2,0),0),0)</f>
        <v>0.52689999999999992</v>
      </c>
      <c r="R75" s="158"/>
      <c r="S75" s="152">
        <f>IFERROR(VLOOKUP($A$3:$A$139,'FY-(26-27)Q3'!$A$4:$ABW$115,MATCH('FY-(26-27)Q1'!$S$2:$T$2,'FY-(26-27)Q3'!$A$2:$BX$2,0),0),0)</f>
        <v>0</v>
      </c>
      <c r="T75" s="154">
        <f>IFERROR(VLOOKUP($A$3:$A$139,'FY-(26-27)Q3'!$A$4:$ABW$115,MATCH('FY-(26-27)Q1'!$S$2:$T$3,'FY-(26-27)Q3'!$A$2:$BX$2,0),0),0)</f>
        <v>0</v>
      </c>
      <c r="U75" s="158"/>
      <c r="V75" s="143"/>
      <c r="W75" s="149"/>
      <c r="Y75" s="153">
        <f t="shared" ref="Y75:Y76" si="55">M75+P75+S75+V75</f>
        <v>91565</v>
      </c>
      <c r="Z75" s="167">
        <f t="shared" ref="Z75:Z76" si="56">(N75+Q75+T75+W75)</f>
        <v>0.52689999999999992</v>
      </c>
    </row>
    <row r="76" spans="1:26" s="131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2">
        <f>IFERROR(VLOOKUP($A$3:$A$139,'APR-2026'!$A$4:$ABX$112,MATCH('FY-(26-27)Q1'!$G$2:$H$2,'APR-2026'!$A$2:$BY$2,0),0),0)</f>
        <v>0</v>
      </c>
      <c r="H76" s="154">
        <f>IFERROR(VLOOKUP($A$3:$A$139,'APR-2026'!$A$4:$ABX$112,MATCH('FY-(26-27)Q1'!$G$2:$H$2,'APR-2026'!$A$2:$BY$2,0),0),0)</f>
        <v>0</v>
      </c>
      <c r="I76" s="152">
        <f>IFERROR(VLOOKUP($A$3:$A$139,'MAY-2026'!$A$4:$ACP$113,MATCH('FY-(26-27)Q1'!$I$2:$J$2,'MAY-2026'!$A$2:$CQ$2,0),0),0)</f>
        <v>0</v>
      </c>
      <c r="J76" s="154">
        <f>IFERROR(VLOOKUP($A$3:$A$139,'MAY-2026'!$A$4:$ACP$113,MATCH('FY-(26-27)Q1'!$I$2:$J$2,'MAY-2026'!$A$2:$CQ$2,0),0),0)</f>
        <v>0</v>
      </c>
      <c r="K76" s="152">
        <f>IFERROR(VLOOKUP($A$3:$A$139,'JUNE-2026'!$A$4:$ADJ$113,MATCH('FY-(26-27)Q1'!$K$2:$L$2,'JUNE-2026'!$A$2:$DK$2,0),0),0)</f>
        <v>0</v>
      </c>
      <c r="L76" s="154">
        <f>IFERROR(VLOOKUP($A$3:$A$139,'JUNE-2026'!$A$4:$ADJ$113,MATCH('FY-(26-27)Q1'!$K$2:$L$2,'JUNE-2026'!$A$2:$DK$2,0),0),0)</f>
        <v>0</v>
      </c>
      <c r="M76" s="71">
        <f t="shared" si="53"/>
        <v>0</v>
      </c>
      <c r="N76" s="165">
        <f t="shared" si="54"/>
        <v>0</v>
      </c>
      <c r="O76" s="214"/>
      <c r="P76" s="152">
        <f>IFERROR(VLOOKUP($A$3:$A$139,'FY-(26-27)Q2'!$A$4:$ABW$124,MATCH('FY-(26-27)Q1'!$P$2:$Q$2,'FY-(26-27)Q2'!$A$2:$BX$2,0),0),0)</f>
        <v>490853</v>
      </c>
      <c r="Q76" s="154">
        <f>IFERROR(VLOOKUP($A$3:$A$139,'FY-(26-27)Q2'!$A$4:$ABW$124,MATCH('FY-(26-27)Q1'!$P$2:$Q$2,'FY-(26-27)Q2'!$A$2:$BX$2,0),0),0)</f>
        <v>0.98170599999999997</v>
      </c>
      <c r="R76" s="158"/>
      <c r="S76" s="152">
        <f>IFERROR(VLOOKUP($A$3:$A$139,'FY-(26-27)Q3'!$A$4:$ABW$115,MATCH('FY-(26-27)Q1'!$S$2:$T$2,'FY-(26-27)Q3'!$A$2:$BX$2,0),0),0)</f>
        <v>616456</v>
      </c>
      <c r="T76" s="154">
        <f>IFERROR(VLOOKUP($A$3:$A$139,'FY-(26-27)Q3'!$A$4:$ABW$115,MATCH('FY-(26-27)Q1'!$S$2:$T$3,'FY-(26-27)Q3'!$A$2:$BX$2,0),0),0)</f>
        <v>0</v>
      </c>
      <c r="U76" s="158"/>
      <c r="V76" s="143"/>
      <c r="W76" s="149"/>
      <c r="Y76" s="153">
        <f t="shared" si="55"/>
        <v>1107309</v>
      </c>
      <c r="Z76" s="167">
        <f t="shared" si="56"/>
        <v>0.98170599999999997</v>
      </c>
    </row>
    <row r="77" spans="1:26" x14ac:dyDescent="0.25">
      <c r="A77" s="20"/>
      <c r="B77" s="21"/>
      <c r="C77" s="20"/>
      <c r="D77" s="22"/>
      <c r="E77" s="207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3441263</v>
      </c>
      <c r="Q77" s="122"/>
      <c r="R77" s="122"/>
      <c r="S77" s="109">
        <f>SUM(S4:S74)</f>
        <v>4410392</v>
      </c>
      <c r="T77" s="122"/>
      <c r="U77" s="122"/>
      <c r="V77" s="56"/>
      <c r="W77" s="50"/>
      <c r="Y77" s="153">
        <f>SUM(Y4:Y76)</f>
        <v>28408064</v>
      </c>
      <c r="Z77" s="160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2"/>
      <c r="P79" s="67" t="s">
        <v>89</v>
      </c>
      <c r="Q79" s="68" t="s">
        <v>126</v>
      </c>
      <c r="R79" s="212"/>
      <c r="S79" s="67" t="s">
        <v>101</v>
      </c>
      <c r="T79" s="68" t="s">
        <v>127</v>
      </c>
      <c r="U79" s="212"/>
      <c r="V79" s="67" t="s">
        <v>119</v>
      </c>
      <c r="W79" s="68" t="s">
        <v>78</v>
      </c>
      <c r="Y79" s="126" t="s">
        <v>163</v>
      </c>
      <c r="Z79" s="127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0">
        <v>30</v>
      </c>
      <c r="G80" s="238">
        <f>IFERROR(VLOOKUP($A$3:$A$139,'APR-2026'!$A$4:$ABX$112,MATCH('FY-(26-27)Q1'!$G$2:$H$2,'APR-2026'!$A$2:$BY$2,0),0),0)</f>
        <v>3718000</v>
      </c>
      <c r="H80" s="158">
        <f>IFERROR(VLOOKUP($A$3:$A$139,'APR-2026'!$A$4:$ABX$112,MATCH('FY-(26-27)Q1'!$G$2:$H$2,'APR-2026'!$A$2:$BY$2,0),0),0)</f>
        <v>1.2393333333333332</v>
      </c>
      <c r="I80" s="152">
        <f>IFERROR(VLOOKUP($A$3:$A$139,'MAY-2026'!$A$4:$ACP$113,MATCH('FY-(26-27)Q1'!$I$2:$J$2,'MAY-2026'!$A$2:$CQ$2,0),0),0)</f>
        <v>-191500</v>
      </c>
      <c r="J80" s="154">
        <f>IFERROR(VLOOKUP($A$3:$A$139,'MAY-2026'!$A$4:$ACP$113,MATCH('FY-(26-27)Q1'!$I$2:$J$2,'MAY-2026'!$A$2:$CQ$2,0),0),0)</f>
        <v>-6.3833333333333325E-2</v>
      </c>
      <c r="K80" s="152">
        <f>IFERROR(VLOOKUP($A$3:$A$139,'JUNE-2026'!$A$4:$ADJ$113,MATCH('FY-(26-27)Q1'!$K$2:$L$2,'JUNE-2026'!$A$2:$DK$2,0),0),0)</f>
        <v>269000</v>
      </c>
      <c r="L80" s="154">
        <f>IFERROR(VLOOKUP($A$3:$A$139,'JUNE-2026'!$A$4:$ADJ$113,MATCH('FY-(26-27)Q1'!$K$2:$L$2,'JUNE-2026'!$A$2:$DK$2,0),0),0)</f>
        <v>8.9666666666666658E-2</v>
      </c>
      <c r="M80" s="88">
        <f t="shared" ref="M80:N82" si="57">G80+I80+K80</f>
        <v>3795500</v>
      </c>
      <c r="N80" s="166">
        <f t="shared" si="57"/>
        <v>1.2651666666666663</v>
      </c>
      <c r="O80" s="166"/>
      <c r="P80" s="152">
        <f>IFERROR(VLOOKUP($A$3:$A$139,'FY-(26-27)Q2'!$A$4:$ABW$124,MATCH('FY-(26-27)Q1'!$P$2:$Q$2,'FY-(26-27)Q2'!$A$2:$BX$2,0),0),0)</f>
        <v>0</v>
      </c>
      <c r="Q80" s="154">
        <f>IFERROR(VLOOKUP($A$3:$A$139,'FY-(26-27)Q2'!$A$4:$ABW$124,MATCH('FY-(26-27)Q1'!$P$2:$Q$2,'FY-(26-27)Q2'!$A$2:$BX$2,0),0),0)</f>
        <v>0</v>
      </c>
      <c r="R80" s="158"/>
      <c r="S80" s="152">
        <f>IFERROR(VLOOKUP($A$4:$A$74,#REF!,MATCH('FY-(26-27)Q1'!$S$2:$T$2,#REF!,0),0),0)</f>
        <v>0</v>
      </c>
      <c r="T80" s="158">
        <f>IFERROR(VLOOKUP($A$4:$A$74,#REF!,MATCH('FY-(26-27)Q1'!$S$2:$T$2,#REF!,0),0),0)</f>
        <v>0</v>
      </c>
      <c r="U80" s="218"/>
      <c r="V80" s="52"/>
      <c r="W80" s="53"/>
      <c r="Y80" s="52">
        <f t="shared" ref="Y80:Z82" si="58">M80+P80+S80+V80</f>
        <v>3795500</v>
      </c>
      <c r="Z80" s="53">
        <f t="shared" si="58"/>
        <v>1.2651666666666663</v>
      </c>
    </row>
    <row r="81" spans="1:28" x14ac:dyDescent="0.25">
      <c r="A81" s="79" t="s">
        <v>37</v>
      </c>
      <c r="B81" s="140" t="s">
        <v>77</v>
      </c>
      <c r="C81" s="41" t="s">
        <v>57</v>
      </c>
      <c r="D81" s="41" t="s">
        <v>87</v>
      </c>
      <c r="E81" s="41" t="s">
        <v>107</v>
      </c>
      <c r="F81" s="241">
        <v>2</v>
      </c>
      <c r="G81" s="238">
        <f>IFERROR(VLOOKUP($A$3:$A$139,'APR-2026'!$A$4:$ABX$112,MATCH('FY-(26-27)Q1'!$G$2:$H$2,'APR-2026'!$A$2:$BY$2,0),0),0)</f>
        <v>3262972</v>
      </c>
      <c r="H81" s="158">
        <f>IFERROR(VLOOKUP($A$3:$A$139,'APR-2026'!$A$4:$ABX$112,MATCH('FY-(26-27)Q1'!$G$2:$H$2,'APR-2026'!$A$2:$BY$2,0),0),0)</f>
        <v>16.314859999999999</v>
      </c>
      <c r="I81" s="152">
        <f>IFERROR(VLOOKUP($A$3:$A$139,'MAY-2026'!$A$4:$ACP$113,MATCH('FY-(26-27)Q1'!$I$2:$J$2,'MAY-2026'!$A$2:$CQ$2,0),0),0)</f>
        <v>0</v>
      </c>
      <c r="J81" s="154">
        <f>IFERROR(VLOOKUP($A$3:$A$139,'MAY-2026'!$A$4:$ACP$113,MATCH('FY-(26-27)Q1'!$I$2:$J$2,'MAY-2026'!$A$2:$CQ$2,0),0),0)</f>
        <v>0</v>
      </c>
      <c r="K81" s="152">
        <f>IFERROR(VLOOKUP($A$3:$A$139,'JUNE-2026'!$A$4:$ADJ$113,MATCH('FY-(26-27)Q1'!$K$2:$L$2,'JUNE-2026'!$A$2:$DK$2,0),0),0)</f>
        <v>0</v>
      </c>
      <c r="L81" s="154">
        <f>IFERROR(VLOOKUP($A$3:$A$139,'JUNE-2026'!$A$4:$ADJ$113,MATCH('FY-(26-27)Q1'!$K$2:$L$2,'JUNE-2026'!$A$2:$DK$2,0),0),0)</f>
        <v>0</v>
      </c>
      <c r="M81" s="152">
        <f t="shared" si="57"/>
        <v>3262972</v>
      </c>
      <c r="N81" s="166">
        <f t="shared" si="57"/>
        <v>16.314859999999999</v>
      </c>
      <c r="O81" s="166"/>
      <c r="P81" s="152">
        <f>IFERROR(VLOOKUP($A$3:$A$139,'FY-(26-27)Q2'!$A$4:$ABW$124,MATCH('FY-(26-27)Q1'!$P$2:$Q$2,'FY-(26-27)Q2'!$A$2:$BX$2,0),0),0)</f>
        <v>0</v>
      </c>
      <c r="Q81" s="154">
        <f>IFERROR(VLOOKUP($A$3:$A$139,'FY-(26-27)Q2'!$A$4:$ABW$124,MATCH('FY-(26-27)Q1'!$P$2:$Q$2,'FY-(26-27)Q2'!$A$2:$BX$2,0),0),0)</f>
        <v>0</v>
      </c>
      <c r="R81" s="158"/>
      <c r="S81" s="152">
        <f>IFERROR(VLOOKUP($A$4:$A$74,#REF!,MATCH('FY-(26-27)Q1'!$S$2:$T$2,#REF!,0),0),0)</f>
        <v>0</v>
      </c>
      <c r="T81" s="158">
        <f>IFERROR(VLOOKUP($A$4:$A$74,#REF!,MATCH('FY-(26-27)Q1'!$S$2:$T$2,#REF!,0),0),0)</f>
        <v>0</v>
      </c>
      <c r="U81" s="218"/>
      <c r="V81" s="52"/>
      <c r="W81" s="53"/>
      <c r="Y81" s="52">
        <f t="shared" si="58"/>
        <v>3262972</v>
      </c>
      <c r="Z81" s="53">
        <f t="shared" si="58"/>
        <v>16.314859999999999</v>
      </c>
    </row>
    <row r="82" spans="1:28" x14ac:dyDescent="0.25">
      <c r="A82" s="79" t="s">
        <v>241</v>
      </c>
      <c r="B82" s="140" t="s">
        <v>240</v>
      </c>
      <c r="C82" s="140" t="s">
        <v>57</v>
      </c>
      <c r="D82" s="140"/>
      <c r="E82" s="140"/>
      <c r="F82" s="206"/>
      <c r="G82" s="238">
        <f>IFERROR(VLOOKUP($A$3:$A$139,'APR-2026'!$A$4:$ABX$112,MATCH('FY-(26-27)Q1'!$G$2:$H$2,'APR-2026'!$A$2:$BY$2,0),0),0)</f>
        <v>0</v>
      </c>
      <c r="H82" s="158">
        <f>IFERROR(VLOOKUP($A$3:$A$139,'APR-2026'!$A$4:$ABX$112,MATCH('FY-(26-27)Q1'!$G$2:$H$2,'APR-2026'!$A$2:$BY$2,0),0),0)</f>
        <v>0</v>
      </c>
      <c r="I82" s="152">
        <f>IFERROR(VLOOKUP($A$3:$A$139,'MAY-2026'!$A$4:$ACP$113,MATCH('FY-(26-27)Q1'!$I$2:$J$2,'MAY-2026'!$A$2:$CQ$2,0),0),0)</f>
        <v>212000</v>
      </c>
      <c r="J82" s="154">
        <f>IFERROR(VLOOKUP($A$3:$A$139,'MAY-2026'!$A$4:$ACP$113,MATCH('FY-(26-27)Q1'!$I$2:$J$2,'MAY-2026'!$A$2:$CQ$2,0),0),0)</f>
        <v>0</v>
      </c>
      <c r="K82" s="152">
        <f>IFERROR(VLOOKUP($A$3:$A$139,'JUNE-2026'!$A$4:$ADJ$113,MATCH('FY-(26-27)Q1'!$K$2:$L$2,'JUNE-2026'!$A$2:$DK$2,0),0),0)</f>
        <v>-500</v>
      </c>
      <c r="L82" s="154">
        <f>IFERROR(VLOOKUP($A$3:$A$139,'JUNE-2026'!$A$4:$ADJ$113,MATCH('FY-(26-27)Q1'!$K$2:$L$2,'JUNE-2026'!$A$2:$DK$2,0),0),0)</f>
        <v>0</v>
      </c>
      <c r="M82" s="152">
        <f t="shared" si="57"/>
        <v>211500</v>
      </c>
      <c r="N82" s="166">
        <f t="shared" si="57"/>
        <v>0</v>
      </c>
      <c r="O82" s="166"/>
      <c r="P82" s="152">
        <f>IFERROR(VLOOKUP($A$3:$A$139,'FY-(26-27)Q2'!$A$4:$ABW$124,MATCH('FY-(26-27)Q1'!$P$2:$Q$2,'FY-(26-27)Q2'!$A$2:$BX$2,0),0),0)</f>
        <v>-292171</v>
      </c>
      <c r="Q82" s="154">
        <f>IFERROR(VLOOKUP($A$3:$A$139,'FY-(26-27)Q2'!$A$4:$ABW$124,MATCH('FY-(26-27)Q1'!$P$2:$Q$2,'FY-(26-27)Q2'!$A$2:$BX$2,0),0),0)</f>
        <v>-0.9739033333333329</v>
      </c>
      <c r="R82" s="158"/>
      <c r="S82" s="152">
        <f>IFERROR(VLOOKUP($A$4:$A$74,#REF!,MATCH('FY-(26-27)Q1'!$S$2:$T$2,#REF!,0),0),0)</f>
        <v>0</v>
      </c>
      <c r="T82" s="158">
        <f>IFERROR(VLOOKUP($A$4:$A$74,#REF!,MATCH('FY-(26-27)Q1'!$S$2:$T$2,#REF!,0),0),0)</f>
        <v>0</v>
      </c>
      <c r="U82" s="218"/>
      <c r="V82" s="52"/>
      <c r="W82" s="53"/>
      <c r="X82" s="131"/>
      <c r="Y82" s="52">
        <f t="shared" si="58"/>
        <v>-80671</v>
      </c>
      <c r="Z82" s="53">
        <f t="shared" si="58"/>
        <v>-0.9739033333333329</v>
      </c>
      <c r="AA82" s="131"/>
    </row>
    <row r="83" spans="1:28" s="131" customFormat="1" x14ac:dyDescent="0.25">
      <c r="A83" s="79" t="s">
        <v>273</v>
      </c>
      <c r="B83" s="140" t="s">
        <v>272</v>
      </c>
      <c r="C83" s="140" t="s">
        <v>57</v>
      </c>
      <c r="D83" s="140" t="s">
        <v>87</v>
      </c>
      <c r="E83" s="140" t="s">
        <v>256</v>
      </c>
      <c r="F83" s="206"/>
      <c r="G83" s="238">
        <f>IFERROR(VLOOKUP($A$3:$A$139,'APR-2026'!$A$4:$ABX$112,MATCH('FY-(26-27)Q1'!$G$2:$H$2,'APR-2026'!$A$2:$BY$2,0),0),0)</f>
        <v>0</v>
      </c>
      <c r="H83" s="158">
        <f>IFERROR(VLOOKUP($A$3:$A$139,'APR-2026'!$A$4:$ABX$112,MATCH('FY-(26-27)Q1'!$G$2:$H$2,'APR-2026'!$A$2:$BY$2,0),0),0)</f>
        <v>0</v>
      </c>
      <c r="I83" s="152">
        <f>IFERROR(VLOOKUP($A$3:$A$139,'MAY-2026'!$A$4:$ACP$113,MATCH('FY-(26-27)Q1'!$I$2:$J$2,'MAY-2026'!$A$2:$CQ$2,0),0),0)</f>
        <v>0</v>
      </c>
      <c r="J83" s="154">
        <f>IFERROR(VLOOKUP($A$3:$A$139,'MAY-2026'!$A$4:$ACP$113,MATCH('FY-(26-27)Q1'!$I$2:$J$2,'MAY-2026'!$A$2:$CQ$2,0),0),0)</f>
        <v>0</v>
      </c>
      <c r="K83" s="152">
        <f>IFERROR(VLOOKUP($A$3:$A$139,'JUNE-2026'!$A$4:$ADJ$113,MATCH('FY-(26-27)Q1'!$K$2:$L$2,'JUNE-2026'!$A$2:$DK$2,0),0),0)</f>
        <v>-410000</v>
      </c>
      <c r="L83" s="154">
        <f>IFERROR(VLOOKUP($A$3:$A$139,'JUNE-2026'!$A$4:$ADJ$113,MATCH('FY-(26-27)Q1'!$K$2:$L$2,'JUNE-2026'!$A$2:$DK$2,0),0),0)</f>
        <v>0</v>
      </c>
      <c r="M83" s="152">
        <f t="shared" ref="M83" si="59">G83+I83+K83</f>
        <v>-410000</v>
      </c>
      <c r="N83" s="166">
        <f t="shared" ref="N83" si="60">H83+J83+L83</f>
        <v>0</v>
      </c>
      <c r="O83" s="166"/>
      <c r="P83" s="152">
        <f>IFERROR(VLOOKUP($A$3:$A$139,'FY-(26-27)Q2'!$A$4:$ABW$124,MATCH('FY-(26-27)Q1'!$P$2:$Q$2,'FY-(26-27)Q2'!$A$2:$BX$2,0),0),0)</f>
        <v>1019091</v>
      </c>
      <c r="Q83" s="154">
        <f>IFERROR(VLOOKUP($A$3:$A$139,'FY-(26-27)Q2'!$A$4:$ABW$124,MATCH('FY-(26-27)Q1'!$P$2:$Q$2,'FY-(26-27)Q2'!$A$2:$BX$2,0),0),0)</f>
        <v>0</v>
      </c>
      <c r="R83" s="158"/>
      <c r="S83" s="152">
        <f>IFERROR(VLOOKUP($A$4:$A$74,#REF!,MATCH('FY-(26-27)Q1'!$S$2:$T$2,#REF!,0),0),0)</f>
        <v>0</v>
      </c>
      <c r="T83" s="158">
        <f>IFERROR(VLOOKUP($A$4:$A$74,#REF!,MATCH('FY-(26-27)Q1'!$S$2:$T$2,#REF!,0),0),0)</f>
        <v>0</v>
      </c>
      <c r="U83" s="218"/>
      <c r="V83" s="52"/>
      <c r="W83" s="53"/>
      <c r="Y83" s="52">
        <f t="shared" ref="Y83" si="61">M83+P83+S83+V83</f>
        <v>609091</v>
      </c>
      <c r="Z83" s="53">
        <f t="shared" ref="Z83" si="62">N83+Q83+T83+W83</f>
        <v>0</v>
      </c>
    </row>
    <row r="84" spans="1:28" ht="15.75" thickBot="1" x14ac:dyDescent="0.3">
      <c r="A84" s="242"/>
      <c r="B84" s="243"/>
      <c r="C84" s="243"/>
      <c r="D84" s="243"/>
      <c r="E84" s="243"/>
      <c r="F84" s="244"/>
      <c r="G84" s="239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726920</v>
      </c>
      <c r="Q84" s="123"/>
      <c r="R84" s="123"/>
      <c r="S84" s="112">
        <f>SUM(S80:S83)</f>
        <v>0</v>
      </c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1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K5:L11 A20:F24 D5:J5 F72:J74 A44:J44 Y66 Z56:Z60 G45:J53 K44:L53 A73:C73 A74:E74 A45:F46 E52:F52 A60:F60 Y34:Z36 M80:O82 M7:O11 A34:O36 R34:R36 R13:R17 R22:R30 R48:R53 U80:U82 A77:E77 A38:H39 A62:F62 K62:O66 Z62:Z66 Y62:Y63 G62:J63 R38:R46 M38:O53 I38:L43 Y38:Z53 W38:W39 K69:O74 G69:J69 W66:W68 R62:R74 G67:O68 Y67:Z74 A9 F9 I13:O18 Y13:Z18 Y55:Z55 R55:R60 K55:O60 G55:J55 W55:W56 Y20:Z32 G20:O32 A31:A32 P13:Q36 A7:F8 R7:R9 U55:U60 U62:U71 U38:U43 U48:U53 U22:U30 U17 U45:U46 U34:W36 U13:W16 U72:W74 U44:W44 Y4:Z11 U7:W9 G77:W78 G84:W84">
    <cfRule type="expression" dxfId="243" priority="450">
      <formula>MOD(ROW(),2)=0</formula>
    </cfRule>
  </conditionalFormatting>
  <conditionalFormatting sqref="V38:V39 V23:V24 V59 V48:V49 V56 V45:V46 V27:V29 G2:I3 V52 G4:H4">
    <cfRule type="expression" dxfId="242" priority="449">
      <formula>MOD(ROW(),2)=0</formula>
    </cfRule>
  </conditionalFormatting>
  <conditionalFormatting sqref="J2:J3">
    <cfRule type="expression" dxfId="241" priority="446">
      <formula>MOD(ROW(),2)=0</formula>
    </cfRule>
  </conditionalFormatting>
  <conditionalFormatting sqref="V80:W81">
    <cfRule type="expression" dxfId="240" priority="443">
      <formula>MOD(ROW(),2)=0</formula>
    </cfRule>
  </conditionalFormatting>
  <conditionalFormatting sqref="K2:K3">
    <cfRule type="expression" dxfId="239" priority="444">
      <formula>MOD(ROW(),2)=0</formula>
    </cfRule>
  </conditionalFormatting>
  <conditionalFormatting sqref="V60">
    <cfRule type="expression" dxfId="238" priority="434">
      <formula>MOD(ROW(),2)=0</formula>
    </cfRule>
  </conditionalFormatting>
  <conditionalFormatting sqref="V22">
    <cfRule type="expression" dxfId="237" priority="435">
      <formula>MOD(ROW(),2)=0</formula>
    </cfRule>
  </conditionalFormatting>
  <conditionalFormatting sqref="A53:C53 E53">
    <cfRule type="expression" dxfId="236" priority="424">
      <formula>MOD(ROW(),2)=0</formula>
    </cfRule>
  </conditionalFormatting>
  <conditionalFormatting sqref="V53 V55">
    <cfRule type="expression" dxfId="235" priority="422">
      <formula>MOD(ROW(),2)=0</formula>
    </cfRule>
  </conditionalFormatting>
  <conditionalFormatting sqref="E56">
    <cfRule type="expression" dxfId="234" priority="420">
      <formula>MOD(ROW(),2)=0</formula>
    </cfRule>
  </conditionalFormatting>
  <conditionalFormatting sqref="V42">
    <cfRule type="expression" dxfId="233" priority="411">
      <formula>MOD(ROW(),2)=0</formula>
    </cfRule>
  </conditionalFormatting>
  <conditionalFormatting sqref="A30:F30">
    <cfRule type="expression" dxfId="232" priority="410">
      <formula>MOD(ROW(),2)=0</formula>
    </cfRule>
  </conditionalFormatting>
  <conditionalFormatting sqref="B72:C72">
    <cfRule type="expression" dxfId="231" priority="382">
      <formula>MOD(ROW(),2)=0</formula>
    </cfRule>
  </conditionalFormatting>
  <conditionalFormatting sqref="V30">
    <cfRule type="expression" dxfId="230" priority="408">
      <formula>MOD(ROW(),2)=0</formula>
    </cfRule>
  </conditionalFormatting>
  <conditionalFormatting sqref="A26:E26">
    <cfRule type="expression" dxfId="229" priority="407">
      <formula>MOD(ROW(),2)=0</formula>
    </cfRule>
  </conditionalFormatting>
  <conditionalFormatting sqref="V26">
    <cfRule type="expression" dxfId="228" priority="405">
      <formula>MOD(ROW(),2)=0</formula>
    </cfRule>
  </conditionalFormatting>
  <conditionalFormatting sqref="A25:E25">
    <cfRule type="expression" dxfId="227" priority="404">
      <formula>MOD(ROW(),2)=0</formula>
    </cfRule>
  </conditionalFormatting>
  <conditionalFormatting sqref="V25">
    <cfRule type="expression" dxfId="226" priority="402">
      <formula>MOD(ROW(),2)=0</formula>
    </cfRule>
  </conditionalFormatting>
  <conditionalFormatting sqref="A58:C58 E58:F58">
    <cfRule type="expression" dxfId="225" priority="389">
      <formula>MOD(ROW(),2)=0</formula>
    </cfRule>
  </conditionalFormatting>
  <conditionalFormatting sqref="U4 U20:U21">
    <cfRule type="expression" dxfId="224" priority="333">
      <formula>MOD(ROW(),2)=0</formula>
    </cfRule>
  </conditionalFormatting>
  <conditionalFormatting sqref="A72">
    <cfRule type="expression" dxfId="223" priority="380">
      <formula>MOD(ROW(),2)=0</formula>
    </cfRule>
  </conditionalFormatting>
  <conditionalFormatting sqref="U4 U20:U21">
    <cfRule type="expression" dxfId="222" priority="332">
      <formula>MOD(ROW(),2)=0</formula>
    </cfRule>
  </conditionalFormatting>
  <conditionalFormatting sqref="V58">
    <cfRule type="expression" dxfId="221" priority="385">
      <formula>MOD(ROW(),2)=0</formula>
    </cfRule>
  </conditionalFormatting>
  <conditionalFormatting sqref="F25">
    <cfRule type="expression" dxfId="220" priority="351">
      <formula>MOD(ROW(),2)=0</formula>
    </cfRule>
  </conditionalFormatting>
  <conditionalFormatting sqref="M20:O21 M34:O34">
    <cfRule type="expression" dxfId="219" priority="349">
      <formula>MOD(ROW(),2)=0</formula>
    </cfRule>
  </conditionalFormatting>
  <conditionalFormatting sqref="A17:F17 A18:C18 E18:F18">
    <cfRule type="expression" dxfId="218" priority="357">
      <formula>MOD(ROW(),2)=0</formula>
    </cfRule>
  </conditionalFormatting>
  <conditionalFormatting sqref="V17:W17">
    <cfRule type="expression" dxfId="217" priority="356">
      <formula>MOD(ROW(),2)=0</formula>
    </cfRule>
  </conditionalFormatting>
  <conditionalFormatting sqref="R4 R20:R21">
    <cfRule type="expression" dxfId="216" priority="341">
      <formula>MOD(ROW(),2)=0</formula>
    </cfRule>
  </conditionalFormatting>
  <conditionalFormatting sqref="R4 R20:R21">
    <cfRule type="expression" dxfId="215" priority="340">
      <formula>MOD(ROW(),2)=0</formula>
    </cfRule>
  </conditionalFormatting>
  <conditionalFormatting sqref="V66:V68">
    <cfRule type="expression" dxfId="214" priority="371">
      <formula>MOD(ROW(),2)=0</formula>
    </cfRule>
  </conditionalFormatting>
  <conditionalFormatting sqref="W62">
    <cfRule type="expression" dxfId="213" priority="331">
      <formula>MOD(ROW(),2)=0</formula>
    </cfRule>
  </conditionalFormatting>
  <conditionalFormatting sqref="M35:O35">
    <cfRule type="expression" dxfId="212" priority="342">
      <formula>MOD(ROW(),2)=0</formula>
    </cfRule>
  </conditionalFormatting>
  <conditionalFormatting sqref="F26">
    <cfRule type="expression" dxfId="211" priority="352">
      <formula>MOD(ROW(),2)=0</formula>
    </cfRule>
  </conditionalFormatting>
  <conditionalFormatting sqref="N20:O21 N34:O34">
    <cfRule type="expression" dxfId="210" priority="350">
      <formula>MOD(ROW(),2)=0</formula>
    </cfRule>
  </conditionalFormatting>
  <conditionalFormatting sqref="N35:O35">
    <cfRule type="expression" dxfId="209" priority="343">
      <formula>MOD(ROW(),2)=0</formula>
    </cfRule>
  </conditionalFormatting>
  <conditionalFormatting sqref="V62">
    <cfRule type="expression" dxfId="208" priority="330">
      <formula>MOD(ROW(),2)=0</formula>
    </cfRule>
  </conditionalFormatting>
  <conditionalFormatting sqref="M18:O18">
    <cfRule type="expression" dxfId="207" priority="288">
      <formula>MOD(ROW(),2)=0</formula>
    </cfRule>
  </conditionalFormatting>
  <conditionalFormatting sqref="R18">
    <cfRule type="expression" dxfId="206" priority="287">
      <formula>MOD(ROW(),2)=0</formula>
    </cfRule>
  </conditionalFormatting>
  <conditionalFormatting sqref="U18">
    <cfRule type="expression" dxfId="205" priority="285">
      <formula>MOD(ROW(),2)=0</formula>
    </cfRule>
  </conditionalFormatting>
  <conditionalFormatting sqref="B31:F31 B32:C32 E32:F32">
    <cfRule type="expression" dxfId="204" priority="277">
      <formula>MOD(ROW(),2)=0</formula>
    </cfRule>
  </conditionalFormatting>
  <conditionalFormatting sqref="W31">
    <cfRule type="expression" dxfId="203" priority="276">
      <formula>MOD(ROW(),2)=0</formula>
    </cfRule>
  </conditionalFormatting>
  <conditionalFormatting sqref="V18:W18">
    <cfRule type="expression" dxfId="202" priority="290">
      <formula>MOD(ROW(),2)=0</formula>
    </cfRule>
  </conditionalFormatting>
  <conditionalFormatting sqref="N18:O18">
    <cfRule type="expression" dxfId="201" priority="289">
      <formula>MOD(ROW(),2)=0</formula>
    </cfRule>
  </conditionalFormatting>
  <conditionalFormatting sqref="R18">
    <cfRule type="expression" dxfId="200" priority="286">
      <formula>MOD(ROW(),2)=0</formula>
    </cfRule>
  </conditionalFormatting>
  <conditionalFormatting sqref="U18">
    <cfRule type="expression" dxfId="199" priority="284">
      <formula>MOD(ROW(),2)=0</formula>
    </cfRule>
  </conditionalFormatting>
  <conditionalFormatting sqref="V31">
    <cfRule type="expression" dxfId="198" priority="275">
      <formula>MOD(ROW(),2)=0</formula>
    </cfRule>
  </conditionalFormatting>
  <conditionalFormatting sqref="U31">
    <cfRule type="expression" dxfId="197" priority="269">
      <formula>MOD(ROW(),2)=0</formula>
    </cfRule>
  </conditionalFormatting>
  <conditionalFormatting sqref="N31:O31">
    <cfRule type="expression" dxfId="196" priority="274">
      <formula>MOD(ROW(),2)=0</formula>
    </cfRule>
  </conditionalFormatting>
  <conditionalFormatting sqref="M31:O31">
    <cfRule type="expression" dxfId="195" priority="273">
      <formula>MOD(ROW(),2)=0</formula>
    </cfRule>
  </conditionalFormatting>
  <conditionalFormatting sqref="U31">
    <cfRule type="expression" dxfId="194" priority="270">
      <formula>MOD(ROW(),2)=0</formula>
    </cfRule>
  </conditionalFormatting>
  <conditionalFormatting sqref="R31">
    <cfRule type="expression" dxfId="193" priority="272">
      <formula>MOD(ROW(),2)=0</formula>
    </cfRule>
  </conditionalFormatting>
  <conditionalFormatting sqref="R31">
    <cfRule type="expression" dxfId="192" priority="271">
      <formula>MOD(ROW(),2)=0</formula>
    </cfRule>
  </conditionalFormatting>
  <conditionalFormatting sqref="A11:F11 A10:C10 E10:F10 F12">
    <cfRule type="expression" dxfId="191" priority="262">
      <formula>MOD(ROW(),2)=0</formula>
    </cfRule>
  </conditionalFormatting>
  <conditionalFormatting sqref="V10:W11">
    <cfRule type="expression" dxfId="190" priority="261">
      <formula>MOD(ROW(),2)=0</formula>
    </cfRule>
  </conditionalFormatting>
  <conditionalFormatting sqref="R10:R11">
    <cfRule type="expression" dxfId="189" priority="258">
      <formula>MOD(ROW(),2)=0</formula>
    </cfRule>
  </conditionalFormatting>
  <conditionalFormatting sqref="R10:R11">
    <cfRule type="expression" dxfId="188" priority="257">
      <formula>MOD(ROW(),2)=0</formula>
    </cfRule>
  </conditionalFormatting>
  <conditionalFormatting sqref="U10:U11">
    <cfRule type="expression" dxfId="187" priority="255">
      <formula>MOD(ROW(),2)=0</formula>
    </cfRule>
  </conditionalFormatting>
  <conditionalFormatting sqref="N10:O11">
    <cfRule type="expression" dxfId="186" priority="260">
      <formula>MOD(ROW(),2)=0</formula>
    </cfRule>
  </conditionalFormatting>
  <conditionalFormatting sqref="M10:O11">
    <cfRule type="expression" dxfId="185" priority="259">
      <formula>MOD(ROW(),2)=0</formula>
    </cfRule>
  </conditionalFormatting>
  <conditionalFormatting sqref="U10:U11">
    <cfRule type="expression" dxfId="184" priority="256">
      <formula>MOD(ROW(),2)=0</formula>
    </cfRule>
  </conditionalFormatting>
  <conditionalFormatting sqref="A47:C47 E47:F47">
    <cfRule type="expression" dxfId="183" priority="248">
      <formula>MOD(ROW(),2)=0</formula>
    </cfRule>
  </conditionalFormatting>
  <conditionalFormatting sqref="W47">
    <cfRule type="expression" dxfId="182" priority="247">
      <formula>MOD(ROW(),2)=0</formula>
    </cfRule>
  </conditionalFormatting>
  <conditionalFormatting sqref="V47">
    <cfRule type="expression" dxfId="181" priority="246">
      <formula>MOD(ROW(),2)=0</formula>
    </cfRule>
  </conditionalFormatting>
  <conditionalFormatting sqref="U47">
    <cfRule type="expression" dxfId="180" priority="241">
      <formula>MOD(ROW(),2)=0</formula>
    </cfRule>
  </conditionalFormatting>
  <conditionalFormatting sqref="U47">
    <cfRule type="expression" dxfId="179" priority="240">
      <formula>MOD(ROW(),2)=0</formula>
    </cfRule>
  </conditionalFormatting>
  <conditionalFormatting sqref="M47:O47">
    <cfRule type="expression" dxfId="178" priority="244">
      <formula>MOD(ROW(),2)=0</formula>
    </cfRule>
  </conditionalFormatting>
  <conditionalFormatting sqref="R47">
    <cfRule type="expression" dxfId="177" priority="243">
      <formula>MOD(ROW(),2)=0</formula>
    </cfRule>
  </conditionalFormatting>
  <conditionalFormatting sqref="R47">
    <cfRule type="expression" dxfId="176" priority="242">
      <formula>MOD(ROW(),2)=0</formula>
    </cfRule>
  </conditionalFormatting>
  <conditionalFormatting sqref="N47:O47">
    <cfRule type="expression" dxfId="175" priority="245">
      <formula>MOD(ROW(),2)=0</formula>
    </cfRule>
  </conditionalFormatting>
  <conditionalFormatting sqref="A59:C59 E59:F59">
    <cfRule type="expression" dxfId="174" priority="233">
      <formula>MOD(ROW(),2)=0</formula>
    </cfRule>
  </conditionalFormatting>
  <conditionalFormatting sqref="A5:C5">
    <cfRule type="expression" dxfId="173" priority="229">
      <formula>MOD(ROW(),2)=0</formula>
    </cfRule>
  </conditionalFormatting>
  <conditionalFormatting sqref="V5:W5">
    <cfRule type="expression" dxfId="172" priority="228">
      <formula>MOD(ROW(),2)=0</formula>
    </cfRule>
  </conditionalFormatting>
  <conditionalFormatting sqref="U5">
    <cfRule type="expression" dxfId="171" priority="222">
      <formula>MOD(ROW(),2)=0</formula>
    </cfRule>
  </conditionalFormatting>
  <conditionalFormatting sqref="U5">
    <cfRule type="expression" dxfId="170" priority="221">
      <formula>MOD(ROW(),2)=0</formula>
    </cfRule>
  </conditionalFormatting>
  <conditionalFormatting sqref="M5:O5">
    <cfRule type="expression" dxfId="169" priority="225">
      <formula>MOD(ROW(),2)=0</formula>
    </cfRule>
  </conditionalFormatting>
  <conditionalFormatting sqref="R5">
    <cfRule type="expression" dxfId="168" priority="224">
      <formula>MOD(ROW(),2)=0</formula>
    </cfRule>
  </conditionalFormatting>
  <conditionalFormatting sqref="R5">
    <cfRule type="expression" dxfId="167" priority="223">
      <formula>MOD(ROW(),2)=0</formula>
    </cfRule>
  </conditionalFormatting>
  <conditionalFormatting sqref="N5:O5">
    <cfRule type="expression" dxfId="166" priority="226">
      <formula>MOD(ROW(),2)=0</formula>
    </cfRule>
  </conditionalFormatting>
  <conditionalFormatting sqref="A50:F51">
    <cfRule type="expression" dxfId="165" priority="210">
      <formula>MOD(ROW(),2)=0</formula>
    </cfRule>
  </conditionalFormatting>
  <conditionalFormatting sqref="W50:W51">
    <cfRule type="expression" dxfId="164" priority="209">
      <formula>MOD(ROW(),2)=0</formula>
    </cfRule>
  </conditionalFormatting>
  <conditionalFormatting sqref="V50:V51">
    <cfRule type="expression" dxfId="163" priority="208">
      <formula>MOD(ROW(),2)=0</formula>
    </cfRule>
  </conditionalFormatting>
  <conditionalFormatting sqref="W32">
    <cfRule type="expression" dxfId="162" priority="202">
      <formula>MOD(ROW(),2)=0</formula>
    </cfRule>
  </conditionalFormatting>
  <conditionalFormatting sqref="V32">
    <cfRule type="expression" dxfId="161" priority="201">
      <formula>MOD(ROW(),2)=0</formula>
    </cfRule>
  </conditionalFormatting>
  <conditionalFormatting sqref="U32">
    <cfRule type="expression" dxfId="160" priority="195">
      <formula>MOD(ROW(),2)=0</formula>
    </cfRule>
  </conditionalFormatting>
  <conditionalFormatting sqref="N32:O32">
    <cfRule type="expression" dxfId="159" priority="200">
      <formula>MOD(ROW(),2)=0</formula>
    </cfRule>
  </conditionalFormatting>
  <conditionalFormatting sqref="M32:O32">
    <cfRule type="expression" dxfId="158" priority="199">
      <formula>MOD(ROW(),2)=0</formula>
    </cfRule>
  </conditionalFormatting>
  <conditionalFormatting sqref="U32">
    <cfRule type="expression" dxfId="157" priority="196">
      <formula>MOD(ROW(),2)=0</formula>
    </cfRule>
  </conditionalFormatting>
  <conditionalFormatting sqref="R32">
    <cfRule type="expression" dxfId="156" priority="198">
      <formula>MOD(ROW(),2)=0</formula>
    </cfRule>
  </conditionalFormatting>
  <conditionalFormatting sqref="R32">
    <cfRule type="expression" dxfId="155" priority="197">
      <formula>MOD(ROW(),2)=0</formula>
    </cfRule>
  </conditionalFormatting>
  <conditionalFormatting sqref="W63">
    <cfRule type="expression" dxfId="154" priority="193">
      <formula>MOD(ROW(),2)=0</formula>
    </cfRule>
  </conditionalFormatting>
  <conditionalFormatting sqref="V63">
    <cfRule type="expression" dxfId="153" priority="192">
      <formula>MOD(ROW(),2)=0</formula>
    </cfRule>
  </conditionalFormatting>
  <conditionalFormatting sqref="A14:F14">
    <cfRule type="expression" dxfId="152" priority="179">
      <formula>MOD(ROW(),2)=0</formula>
    </cfRule>
  </conditionalFormatting>
  <conditionalFormatting sqref="W41">
    <cfRule type="expression" dxfId="151" priority="188">
      <formula>MOD(ROW(),2)=0</formula>
    </cfRule>
  </conditionalFormatting>
  <conditionalFormatting sqref="V41">
    <cfRule type="expression" dxfId="150" priority="187">
      <formula>MOD(ROW(),2)=0</formula>
    </cfRule>
  </conditionalFormatting>
  <conditionalFormatting sqref="A69:C69 E69:F69">
    <cfRule type="expression" dxfId="149" priority="177">
      <formula>MOD(ROW(),2)=0</formula>
    </cfRule>
  </conditionalFormatting>
  <conditionalFormatting sqref="W69">
    <cfRule type="expression" dxfId="148" priority="176">
      <formula>MOD(ROW(),2)=0</formula>
    </cfRule>
  </conditionalFormatting>
  <conditionalFormatting sqref="V69">
    <cfRule type="expression" dxfId="147" priority="175">
      <formula>MOD(ROW(),2)=0</formula>
    </cfRule>
  </conditionalFormatting>
  <conditionalFormatting sqref="G80:G81">
    <cfRule type="expression" dxfId="146" priority="170">
      <formula>MOD(ROW(),2)=0</formula>
    </cfRule>
  </conditionalFormatting>
  <conditionalFormatting sqref="H80">
    <cfRule type="expression" dxfId="145" priority="167">
      <formula>MOD(ROW(),2)=0</formula>
    </cfRule>
  </conditionalFormatting>
  <conditionalFormatting sqref="H81">
    <cfRule type="expression" dxfId="144" priority="166">
      <formula>MOD(ROW(),2)=0</formula>
    </cfRule>
  </conditionalFormatting>
  <conditionalFormatting sqref="L79">
    <cfRule type="expression" dxfId="143" priority="165">
      <formula>MOD(ROW(),2)=0</formula>
    </cfRule>
  </conditionalFormatting>
  <conditionalFormatting sqref="G79:I79">
    <cfRule type="expression" dxfId="142" priority="164">
      <formula>MOD(ROW(),2)=0</formula>
    </cfRule>
  </conditionalFormatting>
  <conditionalFormatting sqref="J79">
    <cfRule type="expression" dxfId="141" priority="163">
      <formula>MOD(ROW(),2)=0</formula>
    </cfRule>
  </conditionalFormatting>
  <conditionalFormatting sqref="K79">
    <cfRule type="expression" dxfId="140" priority="162">
      <formula>MOD(ROW(),2)=0</formula>
    </cfRule>
  </conditionalFormatting>
  <conditionalFormatting sqref="Y80:Z81">
    <cfRule type="expression" dxfId="139" priority="149">
      <formula>MOD(ROW(),2)=0</formula>
    </cfRule>
  </conditionalFormatting>
  <conditionalFormatting sqref="A40:F40">
    <cfRule type="expression" dxfId="138" priority="159">
      <formula>MOD(ROW(),2)=0</formula>
    </cfRule>
  </conditionalFormatting>
  <conditionalFormatting sqref="A41:F41">
    <cfRule type="expression" dxfId="137" priority="158">
      <formula>MOD(ROW(),2)=0</formula>
    </cfRule>
  </conditionalFormatting>
  <conditionalFormatting sqref="A43:F43">
    <cfRule type="expression" dxfId="136" priority="157">
      <formula>MOD(ROW(),2)=0</formula>
    </cfRule>
  </conditionalFormatting>
  <conditionalFormatting sqref="W43 G43:H43">
    <cfRule type="expression" dxfId="135" priority="156">
      <formula>MOD(ROW(),2)=0</formula>
    </cfRule>
  </conditionalFormatting>
  <conditionalFormatting sqref="V43">
    <cfRule type="expression" dxfId="134" priority="155">
      <formula>MOD(ROW(),2)=0</formula>
    </cfRule>
  </conditionalFormatting>
  <conditionalFormatting sqref="W40 G40:H40">
    <cfRule type="expression" dxfId="133" priority="154">
      <formula>MOD(ROW(),2)=0</formula>
    </cfRule>
  </conditionalFormatting>
  <conditionalFormatting sqref="V40">
    <cfRule type="expression" dxfId="132" priority="153">
      <formula>MOD(ROW(),2)=0</formula>
    </cfRule>
  </conditionalFormatting>
  <conditionalFormatting sqref="D13:E13">
    <cfRule type="expression" dxfId="131" priority="144">
      <formula>MOD(ROW(),2)=0</formula>
    </cfRule>
  </conditionalFormatting>
  <conditionalFormatting sqref="Y84:Z84">
    <cfRule type="expression" dxfId="130" priority="150">
      <formula>MOD(ROW(),2)=0</formula>
    </cfRule>
  </conditionalFormatting>
  <conditionalFormatting sqref="A15:B16">
    <cfRule type="expression" dxfId="129" priority="148">
      <formula>MOD(ROW(),2)=0</formula>
    </cfRule>
  </conditionalFormatting>
  <conditionalFormatting sqref="C15">
    <cfRule type="expression" dxfId="128" priority="147">
      <formula>MOD(ROW(),2)=0</formula>
    </cfRule>
  </conditionalFormatting>
  <conditionalFormatting sqref="F15">
    <cfRule type="expression" dxfId="127" priority="146">
      <formula>MOD(ROW(),2)=0</formula>
    </cfRule>
  </conditionalFormatting>
  <conditionalFormatting sqref="D15:E16">
    <cfRule type="expression" dxfId="126" priority="145">
      <formula>MOD(ROW(),2)=0</formula>
    </cfRule>
  </conditionalFormatting>
  <conditionalFormatting sqref="G15:H15">
    <cfRule type="expression" dxfId="125" priority="143">
      <formula>MOD(ROW(),2)=0</formula>
    </cfRule>
  </conditionalFormatting>
  <conditionalFormatting sqref="J80:J81">
    <cfRule type="expression" dxfId="124" priority="140">
      <formula>MOD(ROW(),2)=0</formula>
    </cfRule>
  </conditionalFormatting>
  <conditionalFormatting sqref="I80:J81">
    <cfRule type="expression" dxfId="123" priority="139">
      <formula>MOD(ROW(),2)=0</formula>
    </cfRule>
  </conditionalFormatting>
  <conditionalFormatting sqref="A70:C71 E70:E71">
    <cfRule type="expression" dxfId="122" priority="138">
      <formula>MOD(ROW(),2)=0</formula>
    </cfRule>
  </conditionalFormatting>
  <conditionalFormatting sqref="G70:J71 M70:O71">
    <cfRule type="expression" dxfId="121" priority="137">
      <formula>MOD(ROW(),2)=0</formula>
    </cfRule>
  </conditionalFormatting>
  <conditionalFormatting sqref="W70:W71">
    <cfRule type="expression" dxfId="120" priority="136">
      <formula>MOD(ROW(),2)=0</formula>
    </cfRule>
  </conditionalFormatting>
  <conditionalFormatting sqref="V70:V71">
    <cfRule type="expression" dxfId="119" priority="135">
      <formula>MOD(ROW(),2)=0</formula>
    </cfRule>
  </conditionalFormatting>
  <conditionalFormatting sqref="V57">
    <cfRule type="expression" dxfId="118" priority="132">
      <formula>MOD(ROW(),2)=0</formula>
    </cfRule>
  </conditionalFormatting>
  <conditionalFormatting sqref="A57:C57 E57:F57">
    <cfRule type="expression" dxfId="117" priority="134">
      <formula>MOD(ROW(),2)=0</formula>
    </cfRule>
  </conditionalFormatting>
  <conditionalFormatting sqref="W57 Y57 G57:J57">
    <cfRule type="expression" dxfId="116" priority="133">
      <formula>MOD(ROW(),2)=0</formula>
    </cfRule>
  </conditionalFormatting>
  <conditionalFormatting sqref="A64:A65">
    <cfRule type="expression" dxfId="115" priority="131">
      <formula>MOD(ROW(),2)=0</formula>
    </cfRule>
  </conditionalFormatting>
  <conditionalFormatting sqref="A63:B63">
    <cfRule type="expression" dxfId="114" priority="130">
      <formula>MOD(ROW(),2)=0</formula>
    </cfRule>
  </conditionalFormatting>
  <conditionalFormatting sqref="B64:B65">
    <cfRule type="expression" dxfId="113" priority="129">
      <formula>MOD(ROW(),2)=0</formula>
    </cfRule>
  </conditionalFormatting>
  <conditionalFormatting sqref="M64:O65 G64:J65 Y64:Y65">
    <cfRule type="expression" dxfId="112" priority="128">
      <formula>MOD(ROW(),2)=0</formula>
    </cfRule>
  </conditionalFormatting>
  <conditionalFormatting sqref="W64:W65">
    <cfRule type="expression" dxfId="111" priority="126">
      <formula>MOD(ROW(),2)=0</formula>
    </cfRule>
  </conditionalFormatting>
  <conditionalFormatting sqref="V64:V65">
    <cfRule type="expression" dxfId="110" priority="125">
      <formula>MOD(ROW(),2)=0</formula>
    </cfRule>
  </conditionalFormatting>
  <conditionalFormatting sqref="A6:C6 E6:F6">
    <cfRule type="expression" dxfId="109" priority="124">
      <formula>MOD(ROW(),2)=0</formula>
    </cfRule>
  </conditionalFormatting>
  <conditionalFormatting sqref="G6:J6 M6:O6">
    <cfRule type="expression" dxfId="108" priority="123">
      <formula>MOD(ROW(),2)=0</formula>
    </cfRule>
  </conditionalFormatting>
  <conditionalFormatting sqref="V6:W6">
    <cfRule type="expression" dxfId="107" priority="122">
      <formula>MOD(ROW(),2)=0</formula>
    </cfRule>
  </conditionalFormatting>
  <conditionalFormatting sqref="U6">
    <cfRule type="expression" dxfId="106" priority="117">
      <formula>MOD(ROW(),2)=0</formula>
    </cfRule>
  </conditionalFormatting>
  <conditionalFormatting sqref="U6">
    <cfRule type="expression" dxfId="105" priority="116">
      <formula>MOD(ROW(),2)=0</formula>
    </cfRule>
  </conditionalFormatting>
  <conditionalFormatting sqref="M6:O6">
    <cfRule type="expression" dxfId="104" priority="120">
      <formula>MOD(ROW(),2)=0</formula>
    </cfRule>
  </conditionalFormatting>
  <conditionalFormatting sqref="R6">
    <cfRule type="expression" dxfId="103" priority="119">
      <formula>MOD(ROW(),2)=0</formula>
    </cfRule>
  </conditionalFormatting>
  <conditionalFormatting sqref="R6">
    <cfRule type="expression" dxfId="102" priority="118">
      <formula>MOD(ROW(),2)=0</formula>
    </cfRule>
  </conditionalFormatting>
  <conditionalFormatting sqref="N6:O6">
    <cfRule type="expression" dxfId="101" priority="121">
      <formula>MOD(ROW(),2)=0</formula>
    </cfRule>
  </conditionalFormatting>
  <conditionalFormatting sqref="A55:C55 E55:F55">
    <cfRule type="expression" dxfId="100" priority="115">
      <formula>MOD(ROW(),2)=0</formula>
    </cfRule>
  </conditionalFormatting>
  <conditionalFormatting sqref="A82:F82">
    <cfRule type="expression" dxfId="99" priority="113">
      <formula>MOD(ROW(),2)=0</formula>
    </cfRule>
  </conditionalFormatting>
  <conditionalFormatting sqref="V82:W82">
    <cfRule type="expression" dxfId="98" priority="111">
      <formula>MOD(ROW(),2)=0</formula>
    </cfRule>
  </conditionalFormatting>
  <conditionalFormatting sqref="G82">
    <cfRule type="expression" dxfId="97" priority="110">
      <formula>MOD(ROW(),2)=0</formula>
    </cfRule>
  </conditionalFormatting>
  <conditionalFormatting sqref="H82">
    <cfRule type="expression" dxfId="96" priority="109">
      <formula>MOD(ROW(),2)=0</formula>
    </cfRule>
  </conditionalFormatting>
  <conditionalFormatting sqref="Y82:Z82">
    <cfRule type="expression" dxfId="95" priority="108">
      <formula>MOD(ROW(),2)=0</formula>
    </cfRule>
  </conditionalFormatting>
  <conditionalFormatting sqref="J82">
    <cfRule type="expression" dxfId="94" priority="107">
      <formula>MOD(ROW(),2)=0</formula>
    </cfRule>
  </conditionalFormatting>
  <conditionalFormatting sqref="I82:J82">
    <cfRule type="expression" dxfId="93" priority="106">
      <formula>MOD(ROW(),2)=0</formula>
    </cfRule>
  </conditionalFormatting>
  <conditionalFormatting sqref="K80:L82">
    <cfRule type="expression" dxfId="92" priority="104">
      <formula>MOD(ROW(),2)=0</formula>
    </cfRule>
  </conditionalFormatting>
  <conditionalFormatting sqref="U19">
    <cfRule type="expression" dxfId="91" priority="94">
      <formula>MOD(ROW(),2)=0</formula>
    </cfRule>
  </conditionalFormatting>
  <conditionalFormatting sqref="A19:F19">
    <cfRule type="expression" dxfId="90" priority="102">
      <formula>MOD(ROW(),2)=0</formula>
    </cfRule>
  </conditionalFormatting>
  <conditionalFormatting sqref="Y19:Z19 G19:O19">
    <cfRule type="expression" dxfId="89" priority="101">
      <formula>MOD(ROW(),2)=0</formula>
    </cfRule>
  </conditionalFormatting>
  <conditionalFormatting sqref="M19:O19">
    <cfRule type="expression" dxfId="88" priority="98">
      <formula>MOD(ROW(),2)=0</formula>
    </cfRule>
  </conditionalFormatting>
  <conditionalFormatting sqref="R19">
    <cfRule type="expression" dxfId="87" priority="97">
      <formula>MOD(ROW(),2)=0</formula>
    </cfRule>
  </conditionalFormatting>
  <conditionalFormatting sqref="U19">
    <cfRule type="expression" dxfId="86" priority="95">
      <formula>MOD(ROW(),2)=0</formula>
    </cfRule>
  </conditionalFormatting>
  <conditionalFormatting sqref="V19:W19">
    <cfRule type="expression" dxfId="85" priority="100">
      <formula>MOD(ROW(),2)=0</formula>
    </cfRule>
  </conditionalFormatting>
  <conditionalFormatting sqref="N19:O19">
    <cfRule type="expression" dxfId="84" priority="99">
      <formula>MOD(ROW(),2)=0</formula>
    </cfRule>
  </conditionalFormatting>
  <conditionalFormatting sqref="R19">
    <cfRule type="expression" dxfId="83" priority="96">
      <formula>MOD(ROW(),2)=0</formula>
    </cfRule>
  </conditionalFormatting>
  <conditionalFormatting sqref="E72:E73">
    <cfRule type="expression" dxfId="82" priority="93">
      <formula>MOD(ROW(),2)=0</formula>
    </cfRule>
  </conditionalFormatting>
  <conditionalFormatting sqref="F64:F65">
    <cfRule type="expression" dxfId="81" priority="92">
      <formula>MOD(ROW(),2)=0</formula>
    </cfRule>
  </conditionalFormatting>
  <conditionalFormatting sqref="F63">
    <cfRule type="expression" dxfId="80" priority="91">
      <formula>MOD(ROW(),2)=0</formula>
    </cfRule>
  </conditionalFormatting>
  <conditionalFormatting sqref="D63:E63 C64:E65">
    <cfRule type="expression" dxfId="79" priority="90">
      <formula>MOD(ROW(),2)=0</formula>
    </cfRule>
  </conditionalFormatting>
  <conditionalFormatting sqref="D10">
    <cfRule type="expression" dxfId="78" priority="89">
      <formula>MOD(ROW(),2)=0</formula>
    </cfRule>
  </conditionalFormatting>
  <conditionalFormatting sqref="D6">
    <cfRule type="expression" dxfId="77" priority="88">
      <formula>MOD(ROW(),2)=0</formula>
    </cfRule>
  </conditionalFormatting>
  <conditionalFormatting sqref="D18">
    <cfRule type="expression" dxfId="76" priority="87">
      <formula>MOD(ROW(),2)=0</formula>
    </cfRule>
  </conditionalFormatting>
  <conditionalFormatting sqref="D32">
    <cfRule type="expression" dxfId="75" priority="86">
      <formula>MOD(ROW(),2)=0</formula>
    </cfRule>
  </conditionalFormatting>
  <conditionalFormatting sqref="D70:D71">
    <cfRule type="expression" dxfId="74" priority="74">
      <formula>MOD(ROW(),2)=0</formula>
    </cfRule>
  </conditionalFormatting>
  <conditionalFormatting sqref="D47">
    <cfRule type="expression" dxfId="73" priority="84">
      <formula>MOD(ROW(),2)=0</formula>
    </cfRule>
  </conditionalFormatting>
  <conditionalFormatting sqref="D53 D55">
    <cfRule type="expression" dxfId="72" priority="83">
      <formula>MOD(ROW(),2)=0</formula>
    </cfRule>
  </conditionalFormatting>
  <conditionalFormatting sqref="D52">
    <cfRule type="expression" dxfId="71" priority="82">
      <formula>MOD(ROW(),2)=0</formula>
    </cfRule>
  </conditionalFormatting>
  <conditionalFormatting sqref="D56">
    <cfRule type="expression" dxfId="70" priority="81">
      <formula>MOD(ROW(),2)=0</formula>
    </cfRule>
  </conditionalFormatting>
  <conditionalFormatting sqref="D57">
    <cfRule type="expression" dxfId="69" priority="80">
      <formula>MOD(ROW(),2)=0</formula>
    </cfRule>
  </conditionalFormatting>
  <conditionalFormatting sqref="D58">
    <cfRule type="expression" dxfId="68" priority="79">
      <formula>MOD(ROW(),2)=0</formula>
    </cfRule>
  </conditionalFormatting>
  <conditionalFormatting sqref="D59">
    <cfRule type="expression" dxfId="67" priority="78">
      <formula>MOD(ROW(),2)=0</formula>
    </cfRule>
  </conditionalFormatting>
  <conditionalFormatting sqref="D73">
    <cfRule type="expression" dxfId="66" priority="77">
      <formula>MOD(ROW(),2)=0</formula>
    </cfRule>
  </conditionalFormatting>
  <conditionalFormatting sqref="D72">
    <cfRule type="expression" dxfId="65" priority="76">
      <formula>MOD(ROW(),2)=0</formula>
    </cfRule>
  </conditionalFormatting>
  <conditionalFormatting sqref="D69">
    <cfRule type="expression" dxfId="64" priority="75">
      <formula>MOD(ROW(),2)=0</formula>
    </cfRule>
  </conditionalFormatting>
  <conditionalFormatting sqref="A33:F33">
    <cfRule type="expression" dxfId="63" priority="73">
      <formula>MOD(ROW(),2)=0</formula>
    </cfRule>
  </conditionalFormatting>
  <conditionalFormatting sqref="G33:O33 Y33:Z33">
    <cfRule type="expression" dxfId="62" priority="72">
      <formula>MOD(ROW(),2)=0</formula>
    </cfRule>
  </conditionalFormatting>
  <conditionalFormatting sqref="W33">
    <cfRule type="expression" dxfId="61" priority="71">
      <formula>MOD(ROW(),2)=0</formula>
    </cfRule>
  </conditionalFormatting>
  <conditionalFormatting sqref="V33">
    <cfRule type="expression" dxfId="60" priority="70">
      <formula>MOD(ROW(),2)=0</formula>
    </cfRule>
  </conditionalFormatting>
  <conditionalFormatting sqref="U33">
    <cfRule type="expression" dxfId="59" priority="64">
      <formula>MOD(ROW(),2)=0</formula>
    </cfRule>
  </conditionalFormatting>
  <conditionalFormatting sqref="N33:O33">
    <cfRule type="expression" dxfId="58" priority="69">
      <formula>MOD(ROW(),2)=0</formula>
    </cfRule>
  </conditionalFormatting>
  <conditionalFormatting sqref="M33:O33">
    <cfRule type="expression" dxfId="57" priority="68">
      <formula>MOD(ROW(),2)=0</formula>
    </cfRule>
  </conditionalFormatting>
  <conditionalFormatting sqref="U33">
    <cfRule type="expression" dxfId="56" priority="65">
      <formula>MOD(ROW(),2)=0</formula>
    </cfRule>
  </conditionalFormatting>
  <conditionalFormatting sqref="R33">
    <cfRule type="expression" dxfId="55" priority="67">
      <formula>MOD(ROW(),2)=0</formula>
    </cfRule>
  </conditionalFormatting>
  <conditionalFormatting sqref="R33">
    <cfRule type="expression" dxfId="54" priority="66">
      <formula>MOD(ROW(),2)=0</formula>
    </cfRule>
  </conditionalFormatting>
  <conditionalFormatting sqref="Q38:Q53 Q55:Q60 Q62:Q76 Q4:Q11">
    <cfRule type="expression" dxfId="53" priority="61">
      <formula>MOD(ROW(),2)=0</formula>
    </cfRule>
  </conditionalFormatting>
  <conditionalFormatting sqref="P38:Q53 P55:Q60 P62:Q76 P4:Q11">
    <cfRule type="expression" dxfId="52" priority="60">
      <formula>MOD(ROW(),2)=0</formula>
    </cfRule>
  </conditionalFormatting>
  <conditionalFormatting sqref="R80:T82">
    <cfRule type="expression" dxfId="51" priority="59">
      <formula>MOD(ROW(),2)=0</formula>
    </cfRule>
  </conditionalFormatting>
  <conditionalFormatting sqref="Q80:Q82">
    <cfRule type="expression" dxfId="50" priority="58">
      <formula>MOD(ROW(),2)=0</formula>
    </cfRule>
  </conditionalFormatting>
  <conditionalFormatting sqref="P80:Q82">
    <cfRule type="expression" dxfId="49" priority="57">
      <formula>MOD(ROW(),2)=0</formula>
    </cfRule>
  </conditionalFormatting>
  <conditionalFormatting sqref="A76:F76">
    <cfRule type="expression" dxfId="48" priority="56">
      <formula>MOD(ROW(),2)=0</formula>
    </cfRule>
  </conditionalFormatting>
  <conditionalFormatting sqref="A75:F75">
    <cfRule type="expression" dxfId="47" priority="55">
      <formula>MOD(ROW(),2)=0</formula>
    </cfRule>
  </conditionalFormatting>
  <conditionalFormatting sqref="G75:O76 Y75:Z76 R75:R76 U75:W76">
    <cfRule type="expression" dxfId="46" priority="54">
      <formula>MOD(ROW(),2)=0</formula>
    </cfRule>
  </conditionalFormatting>
  <conditionalFormatting sqref="P37:Q37">
    <cfRule type="expression" dxfId="45" priority="41">
      <formula>MOD(ROW(),2)=0</formula>
    </cfRule>
  </conditionalFormatting>
  <conditionalFormatting sqref="A37:F37">
    <cfRule type="expression" dxfId="44" priority="50">
      <formula>MOD(ROW(),2)=0</formula>
    </cfRule>
  </conditionalFormatting>
  <conditionalFormatting sqref="P83:Q83">
    <cfRule type="expression" dxfId="43" priority="26">
      <formula>MOD(ROW(),2)=0</formula>
    </cfRule>
  </conditionalFormatting>
  <conditionalFormatting sqref="A61:F61">
    <cfRule type="expression" dxfId="42" priority="48">
      <formula>MOD(ROW(),2)=0</formula>
    </cfRule>
  </conditionalFormatting>
  <conditionalFormatting sqref="W61 Y61:Z61 G61:O61 R61 U61">
    <cfRule type="expression" dxfId="41" priority="47">
      <formula>MOD(ROW(),2)=0</formula>
    </cfRule>
  </conditionalFormatting>
  <conditionalFormatting sqref="V61">
    <cfRule type="expression" dxfId="40" priority="46">
      <formula>MOD(ROW(),2)=0</formula>
    </cfRule>
  </conditionalFormatting>
  <conditionalFormatting sqref="Q61">
    <cfRule type="expression" dxfId="39" priority="45">
      <formula>MOD(ROW(),2)=0</formula>
    </cfRule>
  </conditionalFormatting>
  <conditionalFormatting sqref="P61:Q61">
    <cfRule type="expression" dxfId="38" priority="44">
      <formula>MOD(ROW(),2)=0</formula>
    </cfRule>
  </conditionalFormatting>
  <conditionalFormatting sqref="Y37:Z37 G37:O37 R37 U37:W37">
    <cfRule type="expression" dxfId="37" priority="43">
      <formula>MOD(ROW(),2)=0</formula>
    </cfRule>
  </conditionalFormatting>
  <conditionalFormatting sqref="Q37">
    <cfRule type="expression" dxfId="36" priority="42">
      <formula>MOD(ROW(),2)=0</formula>
    </cfRule>
  </conditionalFormatting>
  <conditionalFormatting sqref="Q83">
    <cfRule type="expression" dxfId="35" priority="27">
      <formula>MOD(ROW(),2)=0</formula>
    </cfRule>
  </conditionalFormatting>
  <conditionalFormatting sqref="F83">
    <cfRule type="expression" dxfId="34" priority="38">
      <formula>MOD(ROW(),2)=0</formula>
    </cfRule>
  </conditionalFormatting>
  <conditionalFormatting sqref="A83:E83">
    <cfRule type="expression" dxfId="33" priority="37">
      <formula>MOD(ROW(),2)=0</formula>
    </cfRule>
  </conditionalFormatting>
  <conditionalFormatting sqref="M83:O83 U83">
    <cfRule type="expression" dxfId="32" priority="36">
      <formula>MOD(ROW(),2)=0</formula>
    </cfRule>
  </conditionalFormatting>
  <conditionalFormatting sqref="V83:W83">
    <cfRule type="expression" dxfId="31" priority="35">
      <formula>MOD(ROW(),2)=0</formula>
    </cfRule>
  </conditionalFormatting>
  <conditionalFormatting sqref="G83">
    <cfRule type="expression" dxfId="30" priority="34">
      <formula>MOD(ROW(),2)=0</formula>
    </cfRule>
  </conditionalFormatting>
  <conditionalFormatting sqref="H83">
    <cfRule type="expression" dxfId="29" priority="33">
      <formula>MOD(ROW(),2)=0</formula>
    </cfRule>
  </conditionalFormatting>
  <conditionalFormatting sqref="Y83:Z83">
    <cfRule type="expression" dxfId="28" priority="32">
      <formula>MOD(ROW(),2)=0</formula>
    </cfRule>
  </conditionalFormatting>
  <conditionalFormatting sqref="J83">
    <cfRule type="expression" dxfId="27" priority="31">
      <formula>MOD(ROW(),2)=0</formula>
    </cfRule>
  </conditionalFormatting>
  <conditionalFormatting sqref="I83:J83">
    <cfRule type="expression" dxfId="26" priority="30">
      <formula>MOD(ROW(),2)=0</formula>
    </cfRule>
  </conditionalFormatting>
  <conditionalFormatting sqref="K83:L83">
    <cfRule type="expression" dxfId="25" priority="29">
      <formula>MOD(ROW(),2)=0</formula>
    </cfRule>
  </conditionalFormatting>
  <conditionalFormatting sqref="R83:T83">
    <cfRule type="expression" dxfId="24" priority="28">
      <formula>MOD(ROW(),2)=0</formula>
    </cfRule>
  </conditionalFormatting>
  <conditionalFormatting sqref="F67:F68">
    <cfRule type="expression" dxfId="23" priority="25">
      <formula>MOD(ROW(),2)=0</formula>
    </cfRule>
  </conditionalFormatting>
  <conditionalFormatting sqref="A67:E67 A68">
    <cfRule type="expression" dxfId="22" priority="24">
      <formula>MOD(ROW(),2)=0</formula>
    </cfRule>
  </conditionalFormatting>
  <conditionalFormatting sqref="B68:E68">
    <cfRule type="expression" dxfId="21" priority="23">
      <formula>MOD(ROW(),2)=0</formula>
    </cfRule>
  </conditionalFormatting>
  <conditionalFormatting sqref="B9:E9">
    <cfRule type="expression" dxfId="20" priority="22">
      <formula>MOD(ROW(),2)=0</formula>
    </cfRule>
  </conditionalFormatting>
  <conditionalFormatting sqref="A12:B12 D12:E12">
    <cfRule type="expression" dxfId="19" priority="21">
      <formula>MOD(ROW(),2)=0</formula>
    </cfRule>
  </conditionalFormatting>
  <conditionalFormatting sqref="C12">
    <cfRule type="expression" dxfId="18" priority="20">
      <formula>MOD(ROW(),2)=0</formula>
    </cfRule>
  </conditionalFormatting>
  <conditionalFormatting sqref="Y12:Z12 G12:O12">
    <cfRule type="expression" dxfId="17" priority="19">
      <formula>MOD(ROW(),2)=0</formula>
    </cfRule>
  </conditionalFormatting>
  <conditionalFormatting sqref="V12:W12">
    <cfRule type="expression" dxfId="16" priority="18">
      <formula>MOD(ROW(),2)=0</formula>
    </cfRule>
  </conditionalFormatting>
  <conditionalFormatting sqref="R12">
    <cfRule type="expression" dxfId="15" priority="15">
      <formula>MOD(ROW(),2)=0</formula>
    </cfRule>
  </conditionalFormatting>
  <conditionalFormatting sqref="R12">
    <cfRule type="expression" dxfId="14" priority="14">
      <formula>MOD(ROW(),2)=0</formula>
    </cfRule>
  </conditionalFormatting>
  <conditionalFormatting sqref="U12">
    <cfRule type="expression" dxfId="13" priority="12">
      <formula>MOD(ROW(),2)=0</formula>
    </cfRule>
  </conditionalFormatting>
  <conditionalFormatting sqref="N12:O12">
    <cfRule type="expression" dxfId="12" priority="17">
      <formula>MOD(ROW(),2)=0</formula>
    </cfRule>
  </conditionalFormatting>
  <conditionalFormatting sqref="M12:O12">
    <cfRule type="expression" dxfId="11" priority="16">
      <formula>MOD(ROW(),2)=0</formula>
    </cfRule>
  </conditionalFormatting>
  <conditionalFormatting sqref="U12">
    <cfRule type="expression" dxfId="10" priority="13">
      <formula>MOD(ROW(),2)=0</formula>
    </cfRule>
  </conditionalFormatting>
  <conditionalFormatting sqref="Q12">
    <cfRule type="expression" dxfId="9" priority="11">
      <formula>MOD(ROW(),2)=0</formula>
    </cfRule>
  </conditionalFormatting>
  <conditionalFormatting sqref="P12:Q12">
    <cfRule type="expression" dxfId="8" priority="10">
      <formula>MOD(ROW(),2)=0</formula>
    </cfRule>
  </conditionalFormatting>
  <conditionalFormatting sqref="A54:C54 E54:F54">
    <cfRule type="expression" dxfId="7" priority="9">
      <formula>MOD(ROW(),2)=0</formula>
    </cfRule>
  </conditionalFormatting>
  <conditionalFormatting sqref="P54:Q54">
    <cfRule type="expression" dxfId="6" priority="3">
      <formula>MOD(ROW(),2)=0</formula>
    </cfRule>
  </conditionalFormatting>
  <conditionalFormatting sqref="D54">
    <cfRule type="expression" dxfId="5" priority="7">
      <formula>MOD(ROW(),2)=0</formula>
    </cfRule>
  </conditionalFormatting>
  <conditionalFormatting sqref="W54 R54 G54:O54 Y54:Z54 U54">
    <cfRule type="expression" dxfId="4" priority="6">
      <formula>MOD(ROW(),2)=0</formula>
    </cfRule>
  </conditionalFormatting>
  <conditionalFormatting sqref="V54">
    <cfRule type="expression" dxfId="3" priority="5">
      <formula>MOD(ROW(),2)=0</formula>
    </cfRule>
  </conditionalFormatting>
  <conditionalFormatting sqref="Q54">
    <cfRule type="expression" dxfId="2" priority="4">
      <formula>MOD(ROW(),2)=0</formula>
    </cfRule>
  </conditionalFormatting>
  <conditionalFormatting sqref="T4:T76">
    <cfRule type="expression" dxfId="1" priority="2">
      <formula>MOD(ROW(),2)=0</formula>
    </cfRule>
  </conditionalFormatting>
  <conditionalFormatting sqref="S4:T76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2026-10-15T10:09:44Z</dcterms:modified>
</cp:coreProperties>
</file>