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JUNE-2026" sheetId="38" r:id="rId1"/>
    <sheet name="MAY-2026" sheetId="37" r:id="rId2"/>
    <sheet name="APR-2026" sheetId="36" r:id="rId3"/>
    <sheet name="FY-(26-27)Q1" sheetId="32" r:id="rId4"/>
  </sheets>
  <calcPr calcId="144525"/>
</workbook>
</file>

<file path=xl/calcChain.xml><?xml version="1.0" encoding="utf-8"?>
<calcChain xmlns="http://schemas.openxmlformats.org/spreadsheetml/2006/main">
  <c r="L62" i="38" l="1"/>
  <c r="L57" i="38"/>
  <c r="K62" i="38" l="1"/>
  <c r="K57" i="38"/>
  <c r="J62" i="38" l="1"/>
  <c r="J57" i="38"/>
  <c r="I62" i="38" l="1"/>
  <c r="I57" i="38"/>
  <c r="H62" i="38" l="1"/>
  <c r="H57" i="38"/>
  <c r="R17" i="32" l="1"/>
  <c r="Q17" i="32"/>
  <c r="P17" i="32"/>
  <c r="O17" i="32"/>
  <c r="J17" i="32"/>
  <c r="I17" i="32"/>
  <c r="H17" i="32"/>
  <c r="G17" i="32"/>
  <c r="G62" i="38"/>
  <c r="L71" i="32" l="1"/>
  <c r="K71" i="32"/>
  <c r="L64" i="32"/>
  <c r="K64" i="32"/>
  <c r="L60" i="32"/>
  <c r="K60" i="32"/>
  <c r="L44" i="32"/>
  <c r="K44" i="32"/>
  <c r="L32" i="32"/>
  <c r="K32" i="32"/>
  <c r="L18" i="32"/>
  <c r="K18" i="32"/>
  <c r="L15" i="32"/>
  <c r="K15" i="32"/>
  <c r="L14" i="32"/>
  <c r="K14" i="32"/>
  <c r="L13" i="32"/>
  <c r="K13" i="32"/>
  <c r="L12" i="32"/>
  <c r="K12" i="32"/>
  <c r="L8" i="32"/>
  <c r="K8" i="32"/>
  <c r="M62" i="38"/>
  <c r="N60" i="38"/>
  <c r="O60" i="38" s="1"/>
  <c r="L72" i="32" s="1"/>
  <c r="N59" i="38"/>
  <c r="O59" i="38" s="1"/>
  <c r="L70" i="32" s="1"/>
  <c r="M57" i="38"/>
  <c r="G57" i="38"/>
  <c r="N55" i="38"/>
  <c r="O55" i="38" s="1"/>
  <c r="L66" i="32" s="1"/>
  <c r="N54" i="38"/>
  <c r="O54" i="38" s="1"/>
  <c r="L65" i="32" s="1"/>
  <c r="R61" i="38"/>
  <c r="R64" i="38" s="1"/>
  <c r="N53" i="38"/>
  <c r="O53" i="38" s="1"/>
  <c r="L63" i="32" s="1"/>
  <c r="N52" i="38"/>
  <c r="O52" i="38" s="1"/>
  <c r="L62" i="32" s="1"/>
  <c r="N51" i="38"/>
  <c r="O51" i="38" s="1"/>
  <c r="L61" i="32" s="1"/>
  <c r="N50" i="38"/>
  <c r="O50" i="38" s="1"/>
  <c r="L56" i="32" s="1"/>
  <c r="N49" i="38"/>
  <c r="O49" i="38" s="1"/>
  <c r="L59" i="32" s="1"/>
  <c r="N48" i="38"/>
  <c r="O48" i="38" s="1"/>
  <c r="L58" i="32" s="1"/>
  <c r="N47" i="38"/>
  <c r="O47" i="38" s="1"/>
  <c r="L57" i="32" s="1"/>
  <c r="N46" i="38"/>
  <c r="O46" i="38" s="1"/>
  <c r="L55" i="32" s="1"/>
  <c r="N45" i="38"/>
  <c r="O45" i="38" s="1"/>
  <c r="L54" i="32" s="1"/>
  <c r="N44" i="38"/>
  <c r="O44" i="38" s="1"/>
  <c r="L52" i="32" s="1"/>
  <c r="N43" i="38"/>
  <c r="O43" i="38" s="1"/>
  <c r="L51" i="32" s="1"/>
  <c r="N42" i="38"/>
  <c r="O42" i="38" s="1"/>
  <c r="L53" i="32" s="1"/>
  <c r="N41" i="38"/>
  <c r="O41" i="38" s="1"/>
  <c r="L50" i="32" s="1"/>
  <c r="N40" i="38"/>
  <c r="O40" i="38" s="1"/>
  <c r="L49" i="32" s="1"/>
  <c r="N39" i="38"/>
  <c r="O39" i="38" s="1"/>
  <c r="L48" i="32" s="1"/>
  <c r="N38" i="38"/>
  <c r="O38" i="38" s="1"/>
  <c r="L47" i="32" s="1"/>
  <c r="N37" i="38"/>
  <c r="O37" i="38" s="1"/>
  <c r="L46" i="32" s="1"/>
  <c r="N36" i="38"/>
  <c r="O36" i="38" s="1"/>
  <c r="L45" i="32" s="1"/>
  <c r="N35" i="38"/>
  <c r="O35" i="38" s="1"/>
  <c r="L43" i="32" s="1"/>
  <c r="N34" i="38"/>
  <c r="O34" i="38" s="1"/>
  <c r="L42" i="32" s="1"/>
  <c r="N33" i="38"/>
  <c r="O33" i="38" s="1"/>
  <c r="L41" i="32" s="1"/>
  <c r="N32" i="38"/>
  <c r="O32" i="38" s="1"/>
  <c r="L40" i="32" s="1"/>
  <c r="R37" i="38"/>
  <c r="R41" i="38" s="1"/>
  <c r="N31" i="38"/>
  <c r="O31" i="38" s="1"/>
  <c r="L39" i="32" s="1"/>
  <c r="N30" i="38"/>
  <c r="O30" i="38" s="1"/>
  <c r="L37" i="32" s="1"/>
  <c r="N29" i="38"/>
  <c r="O29" i="38" s="1"/>
  <c r="L38" i="32" s="1"/>
  <c r="N28" i="38"/>
  <c r="O28" i="38" s="1"/>
  <c r="L36" i="32" s="1"/>
  <c r="N27" i="38"/>
  <c r="O27" i="38" s="1"/>
  <c r="L35" i="32" s="1"/>
  <c r="N26" i="38"/>
  <c r="O26" i="38" s="1"/>
  <c r="L34" i="32" s="1"/>
  <c r="N25" i="38"/>
  <c r="O25" i="38" s="1"/>
  <c r="L33" i="32" s="1"/>
  <c r="U30" i="38"/>
  <c r="R30" i="38"/>
  <c r="N24" i="38"/>
  <c r="O24" i="38" s="1"/>
  <c r="L31" i="32" s="1"/>
  <c r="N23" i="38"/>
  <c r="O23" i="38" s="1"/>
  <c r="L30" i="32" s="1"/>
  <c r="N22" i="38"/>
  <c r="O22" i="38" s="1"/>
  <c r="L29" i="32" s="1"/>
  <c r="N21" i="38"/>
  <c r="O21" i="38" s="1"/>
  <c r="L28" i="32" s="1"/>
  <c r="N20" i="38"/>
  <c r="O20" i="38" s="1"/>
  <c r="L27" i="32" s="1"/>
  <c r="N19" i="38"/>
  <c r="O19" i="38" s="1"/>
  <c r="L26" i="32" s="1"/>
  <c r="N18" i="38"/>
  <c r="O18" i="38" s="1"/>
  <c r="L25" i="32" s="1"/>
  <c r="N17" i="38"/>
  <c r="O17" i="38" s="1"/>
  <c r="L24" i="32" s="1"/>
  <c r="N16" i="38"/>
  <c r="O16" i="38" s="1"/>
  <c r="L22" i="32" s="1"/>
  <c r="N15" i="38"/>
  <c r="O15" i="38" s="1"/>
  <c r="L21" i="32" s="1"/>
  <c r="N14" i="38"/>
  <c r="O14" i="38" s="1"/>
  <c r="L20" i="32" s="1"/>
  <c r="N13" i="38"/>
  <c r="O13" i="38" s="1"/>
  <c r="L23" i="32" s="1"/>
  <c r="N12" i="38"/>
  <c r="O12" i="38" s="1"/>
  <c r="L19" i="32" s="1"/>
  <c r="N11" i="38"/>
  <c r="N10" i="38"/>
  <c r="O10" i="38" s="1"/>
  <c r="L16" i="32" s="1"/>
  <c r="N9" i="38"/>
  <c r="O9" i="38" s="1"/>
  <c r="L11" i="32" s="1"/>
  <c r="N8" i="38"/>
  <c r="O8" i="38" s="1"/>
  <c r="L10" i="32" s="1"/>
  <c r="N7" i="38"/>
  <c r="O7" i="38" s="1"/>
  <c r="L9" i="32" s="1"/>
  <c r="R8" i="38"/>
  <c r="R13" i="38" s="1"/>
  <c r="N6" i="38"/>
  <c r="O6" i="38" s="1"/>
  <c r="L7" i="32" s="1"/>
  <c r="N5" i="38"/>
  <c r="O5" i="38" s="1"/>
  <c r="L6" i="32" s="1"/>
  <c r="L5" i="32"/>
  <c r="N4" i="38"/>
  <c r="O4" i="38" s="1"/>
  <c r="L4" i="32" s="1"/>
  <c r="Y71" i="37"/>
  <c r="Y66" i="37"/>
  <c r="K48" i="32" l="1"/>
  <c r="K27" i="32"/>
  <c r="K20" i="32"/>
  <c r="K70" i="32"/>
  <c r="O11" i="38"/>
  <c r="L17" i="32" s="1"/>
  <c r="N17" i="32" s="1"/>
  <c r="W17" i="32" s="1"/>
  <c r="K17" i="32"/>
  <c r="M17" i="32" s="1"/>
  <c r="V17" i="32" s="1"/>
  <c r="K33" i="32"/>
  <c r="K55" i="32"/>
  <c r="K49" i="32"/>
  <c r="K22" i="32"/>
  <c r="K72" i="32"/>
  <c r="K66" i="32"/>
  <c r="K65" i="32"/>
  <c r="K63" i="32"/>
  <c r="K62" i="32"/>
  <c r="K61" i="32"/>
  <c r="K56" i="32"/>
  <c r="K59" i="32"/>
  <c r="K58" i="32"/>
  <c r="K57" i="32"/>
  <c r="K54" i="32"/>
  <c r="K52" i="32"/>
  <c r="K51" i="32"/>
  <c r="K53" i="32"/>
  <c r="K50" i="32"/>
  <c r="K47" i="32"/>
  <c r="K46" i="32"/>
  <c r="K45" i="32"/>
  <c r="K43" i="32"/>
  <c r="K30" i="32"/>
  <c r="K6" i="32"/>
  <c r="K7" i="32"/>
  <c r="K42" i="32"/>
  <c r="K41" i="32"/>
  <c r="K40" i="32"/>
  <c r="K39" i="32"/>
  <c r="K37" i="32"/>
  <c r="K38" i="32"/>
  <c r="K36" i="32"/>
  <c r="K35" i="32"/>
  <c r="K34" i="32"/>
  <c r="K31" i="32"/>
  <c r="K29" i="32"/>
  <c r="K28" i="32"/>
  <c r="K26" i="32"/>
  <c r="K25" i="32"/>
  <c r="K24" i="32"/>
  <c r="K21" i="32"/>
  <c r="K23" i="32"/>
  <c r="K19" i="32"/>
  <c r="K16" i="32"/>
  <c r="K11" i="32"/>
  <c r="K10" i="32"/>
  <c r="K9" i="32"/>
  <c r="K5" i="32"/>
  <c r="K4" i="32"/>
  <c r="N62" i="38"/>
  <c r="N57" i="38"/>
  <c r="O57" i="38" s="1"/>
  <c r="X71" i="37"/>
  <c r="X66" i="37"/>
  <c r="W71" i="37" l="1"/>
  <c r="W66" i="37"/>
  <c r="R72" i="32" l="1"/>
  <c r="Q72" i="32"/>
  <c r="P72" i="32"/>
  <c r="O72" i="32"/>
  <c r="J72" i="32"/>
  <c r="I72" i="32"/>
  <c r="H72" i="32"/>
  <c r="G72" i="32"/>
  <c r="AA69" i="37"/>
  <c r="AB69" i="37" s="1"/>
  <c r="AB68" i="37"/>
  <c r="AA68" i="37"/>
  <c r="Z71" i="37"/>
  <c r="V71" i="37"/>
  <c r="V66" i="37"/>
  <c r="M72" i="32" l="1"/>
  <c r="V72" i="32" s="1"/>
  <c r="N72" i="32"/>
  <c r="W72" i="32" s="1"/>
  <c r="U71" i="37"/>
  <c r="U66" i="37"/>
  <c r="T71" i="37" l="1"/>
  <c r="T66" i="37"/>
  <c r="S71" i="37" l="1"/>
  <c r="S66" i="37"/>
  <c r="R71" i="37" l="1"/>
  <c r="R66" i="37"/>
  <c r="Q71" i="37" l="1"/>
  <c r="Q66" i="37"/>
  <c r="P71" i="37" l="1"/>
  <c r="P66" i="37"/>
  <c r="AA16" i="37" l="1"/>
  <c r="AB16" i="37" s="1"/>
  <c r="G50" i="32"/>
  <c r="H50" i="32"/>
  <c r="O50" i="32"/>
  <c r="P50" i="32"/>
  <c r="Q50" i="32"/>
  <c r="R50" i="32"/>
  <c r="O71" i="37"/>
  <c r="O66" i="37"/>
  <c r="AA48" i="37" l="1"/>
  <c r="N71" i="37"/>
  <c r="N66" i="37"/>
  <c r="AB48" i="37" l="1"/>
  <c r="M71" i="37"/>
  <c r="M66" i="37"/>
  <c r="L71" i="37" l="1"/>
  <c r="L66" i="37"/>
  <c r="K71" i="37" l="1"/>
  <c r="K66" i="37"/>
  <c r="G10" i="32" l="1"/>
  <c r="H10" i="32"/>
  <c r="O10" i="32"/>
  <c r="P10" i="32"/>
  <c r="Q10" i="32"/>
  <c r="R10" i="32"/>
  <c r="AA10" i="37"/>
  <c r="AB10" i="37" s="1"/>
  <c r="J10" i="32" s="1"/>
  <c r="J71" i="37"/>
  <c r="J66" i="37"/>
  <c r="N10" i="32" l="1"/>
  <c r="W10" i="32" s="1"/>
  <c r="I10" i="32"/>
  <c r="M10" i="32" s="1"/>
  <c r="V10" i="32" s="1"/>
  <c r="R6" i="32"/>
  <c r="Q6" i="32"/>
  <c r="P6" i="32"/>
  <c r="O6" i="32"/>
  <c r="H6" i="32"/>
  <c r="G6" i="32"/>
  <c r="AA6" i="37"/>
  <c r="AB6" i="37" s="1"/>
  <c r="J6" i="32" s="1"/>
  <c r="I71" i="37"/>
  <c r="I66" i="37"/>
  <c r="I6" i="32" l="1"/>
  <c r="M6" i="32" s="1"/>
  <c r="V6" i="32" s="1"/>
  <c r="N6" i="32"/>
  <c r="W6" i="32" s="1"/>
  <c r="H71" i="37"/>
  <c r="H66" i="37"/>
  <c r="R59" i="32" l="1"/>
  <c r="Q59" i="32"/>
  <c r="P59" i="32"/>
  <c r="O59" i="32"/>
  <c r="G59" i="32"/>
  <c r="R58" i="32"/>
  <c r="Q58" i="32"/>
  <c r="P58" i="32"/>
  <c r="O58" i="32"/>
  <c r="G58" i="32"/>
  <c r="R52" i="32"/>
  <c r="Q52" i="32"/>
  <c r="P52" i="32"/>
  <c r="O52" i="32"/>
  <c r="H52" i="32"/>
  <c r="G52" i="32"/>
  <c r="R63" i="32"/>
  <c r="Q63" i="32"/>
  <c r="P63" i="32"/>
  <c r="O63" i="32"/>
  <c r="H63" i="32"/>
  <c r="G63" i="32"/>
  <c r="R62" i="32"/>
  <c r="Q62" i="32"/>
  <c r="P62" i="32"/>
  <c r="O62" i="32"/>
  <c r="H62" i="32"/>
  <c r="G62" i="32"/>
  <c r="AA60" i="37"/>
  <c r="AB60" i="37" s="1"/>
  <c r="AA61" i="37"/>
  <c r="AB61" i="37" s="1"/>
  <c r="J63" i="32" s="1"/>
  <c r="AA62" i="37"/>
  <c r="AB62" i="37" s="1"/>
  <c r="AA63" i="37"/>
  <c r="AB63" i="37" s="1"/>
  <c r="AA64" i="37"/>
  <c r="AB64" i="37" s="1"/>
  <c r="I63" i="32" l="1"/>
  <c r="M63" i="32" s="1"/>
  <c r="V63" i="32" s="1"/>
  <c r="N63" i="32"/>
  <c r="W63" i="32" s="1"/>
  <c r="G71" i="37"/>
  <c r="J71" i="32"/>
  <c r="Z66" i="37"/>
  <c r="G66" i="37"/>
  <c r="J66" i="32"/>
  <c r="AE61" i="37"/>
  <c r="AE64" i="37" s="1"/>
  <c r="J64" i="32"/>
  <c r="AA59" i="37"/>
  <c r="I61" i="32" s="1"/>
  <c r="AA58" i="37"/>
  <c r="AB58" i="37" s="1"/>
  <c r="AA57" i="37"/>
  <c r="AB57" i="37" s="1"/>
  <c r="AA56" i="37"/>
  <c r="AA55" i="37"/>
  <c r="AA54" i="37"/>
  <c r="AB54" i="37" s="1"/>
  <c r="AA53" i="37"/>
  <c r="AB53" i="37" s="1"/>
  <c r="AA52" i="37"/>
  <c r="AB52" i="37" s="1"/>
  <c r="AA51" i="37"/>
  <c r="AA50" i="37"/>
  <c r="AB50" i="37" s="1"/>
  <c r="AA49" i="37"/>
  <c r="AB49" i="37" s="1"/>
  <c r="AA47" i="37"/>
  <c r="AA46" i="37"/>
  <c r="AB46" i="37" s="1"/>
  <c r="AA45" i="37"/>
  <c r="AB45" i="37" s="1"/>
  <c r="AA44" i="37"/>
  <c r="AA43" i="37"/>
  <c r="AB43" i="37" s="1"/>
  <c r="AA42" i="37"/>
  <c r="AB42" i="37" s="1"/>
  <c r="AA41" i="37"/>
  <c r="AB41" i="37" s="1"/>
  <c r="J43" i="32" s="1"/>
  <c r="AA40" i="37"/>
  <c r="AB40" i="37" s="1"/>
  <c r="AA39" i="37"/>
  <c r="AB39" i="37" s="1"/>
  <c r="AA38" i="37"/>
  <c r="AB38" i="37" s="1"/>
  <c r="AA37" i="37"/>
  <c r="AB37" i="37" s="1"/>
  <c r="AE37" i="37"/>
  <c r="AE41" i="37" s="1"/>
  <c r="AA36" i="37"/>
  <c r="AB36" i="37" s="1"/>
  <c r="AA35" i="37"/>
  <c r="AB35" i="37" s="1"/>
  <c r="AA34" i="37"/>
  <c r="AB34" i="37" s="1"/>
  <c r="AA33" i="37"/>
  <c r="AB33" i="37" s="1"/>
  <c r="AA32" i="37"/>
  <c r="AB32" i="37" s="1"/>
  <c r="AA31" i="37"/>
  <c r="AB31" i="37" s="1"/>
  <c r="J33" i="32" s="1"/>
  <c r="AH30" i="37"/>
  <c r="AE30" i="37"/>
  <c r="AA30" i="37"/>
  <c r="AB30" i="37" s="1"/>
  <c r="AA29" i="37"/>
  <c r="AB29" i="37" s="1"/>
  <c r="J31" i="32" s="1"/>
  <c r="AA28" i="37"/>
  <c r="AB28" i="37" s="1"/>
  <c r="AA27" i="37"/>
  <c r="AB27" i="37" s="1"/>
  <c r="AA26" i="37"/>
  <c r="AB26" i="37" s="1"/>
  <c r="J28" i="32" s="1"/>
  <c r="AA25" i="37"/>
  <c r="I27" i="32" s="1"/>
  <c r="AA24" i="37"/>
  <c r="AB24" i="37" s="1"/>
  <c r="AA23" i="37"/>
  <c r="AB23" i="37" s="1"/>
  <c r="AA22" i="37"/>
  <c r="AB22" i="37" s="1"/>
  <c r="J24" i="32" s="1"/>
  <c r="AA21" i="37"/>
  <c r="AB21" i="37" s="1"/>
  <c r="J22" i="32" s="1"/>
  <c r="AA20" i="37"/>
  <c r="AB20" i="37" s="1"/>
  <c r="AA19" i="37"/>
  <c r="AB19" i="37" s="1"/>
  <c r="AA18" i="37"/>
  <c r="AB18" i="37" s="1"/>
  <c r="AA17" i="37"/>
  <c r="AB17" i="37" s="1"/>
  <c r="J19" i="32" s="1"/>
  <c r="J18" i="32"/>
  <c r="AA15" i="37"/>
  <c r="AB15" i="37" s="1"/>
  <c r="AA14" i="37"/>
  <c r="AB14" i="37" s="1"/>
  <c r="J15" i="32" s="1"/>
  <c r="J12" i="32"/>
  <c r="AA13" i="37"/>
  <c r="AB13" i="37" s="1"/>
  <c r="J14" i="32" s="1"/>
  <c r="AA12" i="37"/>
  <c r="AB12" i="37" s="1"/>
  <c r="AA11" i="37"/>
  <c r="AB11" i="37" s="1"/>
  <c r="J11" i="32" s="1"/>
  <c r="AE8" i="37"/>
  <c r="AE13" i="37" s="1"/>
  <c r="AA9" i="37"/>
  <c r="AB9" i="37" s="1"/>
  <c r="J9" i="32" s="1"/>
  <c r="AA8" i="37"/>
  <c r="AB8" i="37" s="1"/>
  <c r="AA7" i="37"/>
  <c r="AB7" i="37" s="1"/>
  <c r="J7" i="32" s="1"/>
  <c r="AA5" i="37"/>
  <c r="AB5" i="37" s="1"/>
  <c r="J5" i="32" s="1"/>
  <c r="AA4" i="37"/>
  <c r="AB4" i="37" s="1"/>
  <c r="J4" i="32" s="1"/>
  <c r="AB47" i="37" l="1"/>
  <c r="J50" i="32" s="1"/>
  <c r="N50" i="32" s="1"/>
  <c r="W50" i="32" s="1"/>
  <c r="I50" i="32"/>
  <c r="M50" i="32" s="1"/>
  <c r="V50" i="32" s="1"/>
  <c r="J39" i="32"/>
  <c r="J70" i="32"/>
  <c r="I62" i="32"/>
  <c r="M62" i="32" s="1"/>
  <c r="V62" i="32" s="1"/>
  <c r="J32" i="32"/>
  <c r="J34" i="32"/>
  <c r="J38" i="32"/>
  <c r="J40" i="32"/>
  <c r="J44" i="32"/>
  <c r="J48" i="32"/>
  <c r="J8" i="32"/>
  <c r="J13" i="32"/>
  <c r="J16" i="32"/>
  <c r="J20" i="32"/>
  <c r="J25" i="32"/>
  <c r="J29" i="32"/>
  <c r="J37" i="32"/>
  <c r="J41" i="32"/>
  <c r="J49" i="32"/>
  <c r="J21" i="32"/>
  <c r="J26" i="32"/>
  <c r="J30" i="32"/>
  <c r="J42" i="32"/>
  <c r="I46" i="32"/>
  <c r="J53" i="32"/>
  <c r="J55" i="32"/>
  <c r="AB55" i="37"/>
  <c r="J58" i="32" s="1"/>
  <c r="I58" i="32"/>
  <c r="M58" i="32" s="1"/>
  <c r="V58" i="32" s="1"/>
  <c r="AB56" i="37"/>
  <c r="J56" i="32" s="1"/>
  <c r="I59" i="32"/>
  <c r="M59" i="32" s="1"/>
  <c r="V59" i="32" s="1"/>
  <c r="AB51" i="37"/>
  <c r="J52" i="32" s="1"/>
  <c r="N52" i="32" s="1"/>
  <c r="W52" i="32" s="1"/>
  <c r="I52" i="32"/>
  <c r="M52" i="32" s="1"/>
  <c r="V52" i="32" s="1"/>
  <c r="AA66" i="37"/>
  <c r="AB66" i="37" s="1"/>
  <c r="AA71" i="37"/>
  <c r="J65" i="32"/>
  <c r="I53" i="32"/>
  <c r="I32" i="32"/>
  <c r="I20" i="32"/>
  <c r="I65" i="32"/>
  <c r="I47" i="32"/>
  <c r="I28" i="32"/>
  <c r="I16" i="32"/>
  <c r="I57" i="32"/>
  <c r="I45" i="32"/>
  <c r="I26" i="32"/>
  <c r="I55" i="32"/>
  <c r="I43" i="32"/>
  <c r="I24" i="32"/>
  <c r="I49" i="32"/>
  <c r="I42" i="32"/>
  <c r="I30" i="32"/>
  <c r="AB25" i="37"/>
  <c r="J27" i="32" s="1"/>
  <c r="AB44" i="37"/>
  <c r="J46" i="32" s="1"/>
  <c r="AB59" i="37"/>
  <c r="J23" i="32"/>
  <c r="I9" i="32"/>
  <c r="I7" i="32"/>
  <c r="I66" i="32"/>
  <c r="I64" i="32"/>
  <c r="I60" i="32"/>
  <c r="I56" i="32"/>
  <c r="I54" i="32"/>
  <c r="I51" i="32"/>
  <c r="I48" i="32"/>
  <c r="I44" i="32"/>
  <c r="I41" i="32"/>
  <c r="I33" i="32"/>
  <c r="I31" i="32"/>
  <c r="I29" i="32"/>
  <c r="I25" i="32"/>
  <c r="I23" i="32"/>
  <c r="I21" i="32"/>
  <c r="I18" i="32"/>
  <c r="I15" i="32"/>
  <c r="I71" i="32"/>
  <c r="I22" i="32"/>
  <c r="I19" i="32"/>
  <c r="I8" i="32"/>
  <c r="I5" i="32"/>
  <c r="I12" i="32"/>
  <c r="I14" i="32"/>
  <c r="I13" i="32"/>
  <c r="I11" i="32"/>
  <c r="I40" i="32"/>
  <c r="I39" i="32"/>
  <c r="I37" i="32"/>
  <c r="I38" i="32"/>
  <c r="I36" i="32"/>
  <c r="I35" i="32"/>
  <c r="I34" i="32"/>
  <c r="I4" i="32"/>
  <c r="I70" i="32" l="1"/>
  <c r="J59" i="32"/>
  <c r="J54" i="32"/>
  <c r="J36" i="32"/>
  <c r="J61" i="32"/>
  <c r="J62" i="32"/>
  <c r="N62" i="32" s="1"/>
  <c r="W62" i="32" s="1"/>
  <c r="J47" i="32"/>
  <c r="J45" i="32"/>
  <c r="J60" i="32"/>
  <c r="J35" i="32"/>
  <c r="J57" i="32"/>
  <c r="J51" i="32"/>
  <c r="Y68" i="36"/>
  <c r="Y63" i="36"/>
  <c r="X68" i="36" l="1"/>
  <c r="X63" i="36"/>
  <c r="W68" i="36" l="1"/>
  <c r="W63" i="36"/>
  <c r="V68" i="36" l="1"/>
  <c r="V63" i="36"/>
  <c r="AA5" i="36"/>
  <c r="AA6" i="36"/>
  <c r="AA7" i="36"/>
  <c r="AA8" i="36"/>
  <c r="AA9" i="36"/>
  <c r="AA10" i="36"/>
  <c r="AA11" i="36"/>
  <c r="AA12" i="36"/>
  <c r="AA13" i="36"/>
  <c r="AA14" i="36"/>
  <c r="AA15" i="36"/>
  <c r="AA16" i="36"/>
  <c r="AA17" i="36"/>
  <c r="AA18" i="36"/>
  <c r="AA19" i="36"/>
  <c r="AA20" i="36"/>
  <c r="AA21" i="36"/>
  <c r="AA22" i="36"/>
  <c r="AA23" i="36"/>
  <c r="AA24" i="36"/>
  <c r="AA25" i="36"/>
  <c r="AA26" i="36"/>
  <c r="AA27" i="36"/>
  <c r="AA28" i="36"/>
  <c r="AA29" i="36"/>
  <c r="AA30" i="36"/>
  <c r="AA31" i="36"/>
  <c r="AA32" i="36"/>
  <c r="AA33" i="36"/>
  <c r="AA34" i="36"/>
  <c r="AA35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AA57" i="36"/>
  <c r="AA58" i="36"/>
  <c r="AA59" i="36"/>
  <c r="AA60" i="36"/>
  <c r="AA61" i="36"/>
  <c r="U68" i="36" l="1"/>
  <c r="U63" i="36"/>
  <c r="AB26" i="36" l="1"/>
  <c r="T68" i="36"/>
  <c r="T63" i="36"/>
  <c r="S68" i="36" l="1"/>
  <c r="S63" i="36"/>
  <c r="R68" i="36"/>
  <c r="R63" i="36"/>
  <c r="Q68" i="36" l="1"/>
  <c r="Q63" i="36"/>
  <c r="P68" i="36" l="1"/>
  <c r="P63" i="36"/>
  <c r="O68" i="36" l="1"/>
  <c r="O63" i="36"/>
  <c r="R13" i="32" l="1"/>
  <c r="Q13" i="32"/>
  <c r="P13" i="32"/>
  <c r="O13" i="32"/>
  <c r="R36" i="32"/>
  <c r="Q36" i="32"/>
  <c r="P36" i="32"/>
  <c r="O36" i="32"/>
  <c r="R39" i="32"/>
  <c r="Q39" i="32"/>
  <c r="P39" i="32"/>
  <c r="O39" i="32"/>
  <c r="H29" i="32"/>
  <c r="G29" i="32"/>
  <c r="N68" i="36"/>
  <c r="N63" i="36"/>
  <c r="G39" i="32"/>
  <c r="AB37" i="36" l="1"/>
  <c r="H39" i="32" s="1"/>
  <c r="N39" i="32" s="1"/>
  <c r="W39" i="32" s="1"/>
  <c r="M39" i="32"/>
  <c r="V39" i="32" s="1"/>
  <c r="AB55" i="36"/>
  <c r="H59" i="32" s="1"/>
  <c r="N59" i="32" s="1"/>
  <c r="W59" i="32" s="1"/>
  <c r="AB54" i="36"/>
  <c r="H58" i="32" s="1"/>
  <c r="N58" i="32" s="1"/>
  <c r="W58" i="32" s="1"/>
  <c r="M68" i="36"/>
  <c r="M63" i="36"/>
  <c r="L68" i="36" l="1"/>
  <c r="L63" i="36"/>
  <c r="K68" i="36" l="1"/>
  <c r="K63" i="36"/>
  <c r="AB21" i="36" l="1"/>
  <c r="H24" i="32" s="1"/>
  <c r="G24" i="32"/>
  <c r="AB57" i="36"/>
  <c r="H60" i="32" s="1"/>
  <c r="G60" i="32"/>
  <c r="R8" i="32"/>
  <c r="Q8" i="32"/>
  <c r="P8" i="32"/>
  <c r="O8" i="32"/>
  <c r="R61" i="32"/>
  <c r="Q61" i="32"/>
  <c r="P61" i="32"/>
  <c r="O61" i="32"/>
  <c r="J68" i="36"/>
  <c r="J63" i="36"/>
  <c r="AB58" i="36" l="1"/>
  <c r="H61" i="32" s="1"/>
  <c r="N61" i="32" s="1"/>
  <c r="W61" i="32" s="1"/>
  <c r="G61" i="32"/>
  <c r="M61" i="32" s="1"/>
  <c r="V61" i="32" s="1"/>
  <c r="AE36" i="36"/>
  <c r="AE40" i="36" s="1"/>
  <c r="AB50" i="36"/>
  <c r="I68" i="36"/>
  <c r="I63" i="36"/>
  <c r="AB53" i="36" l="1"/>
  <c r="H57" i="32" s="1"/>
  <c r="G57" i="32"/>
  <c r="AB34" i="36"/>
  <c r="H36" i="32" s="1"/>
  <c r="N36" i="32" s="1"/>
  <c r="W36" i="32" s="1"/>
  <c r="G36" i="32"/>
  <c r="M36" i="32" s="1"/>
  <c r="V36" i="32" s="1"/>
  <c r="AB10" i="36"/>
  <c r="H13" i="32" s="1"/>
  <c r="N13" i="32" s="1"/>
  <c r="W13" i="32" s="1"/>
  <c r="G13" i="32"/>
  <c r="M13" i="32" s="1"/>
  <c r="V13" i="32" s="1"/>
  <c r="H68" i="36"/>
  <c r="H63" i="36"/>
  <c r="R14" i="32"/>
  <c r="Q14" i="32"/>
  <c r="P14" i="32"/>
  <c r="O14" i="32"/>
  <c r="R12" i="32"/>
  <c r="Q12" i="32"/>
  <c r="P12" i="32"/>
  <c r="O12" i="32"/>
  <c r="AB35" i="36" l="1"/>
  <c r="H38" i="32" s="1"/>
  <c r="G38" i="32"/>
  <c r="AB7" i="36"/>
  <c r="H8" i="32" s="1"/>
  <c r="N8" i="32" s="1"/>
  <c r="W8" i="32" s="1"/>
  <c r="G8" i="32"/>
  <c r="M8" i="32" s="1"/>
  <c r="V8" i="32" s="1"/>
  <c r="AB11" i="36"/>
  <c r="H14" i="32" s="1"/>
  <c r="N14" i="32" s="1"/>
  <c r="W14" i="32" s="1"/>
  <c r="G14" i="32"/>
  <c r="M14" i="32" s="1"/>
  <c r="V14" i="32" s="1"/>
  <c r="AE60" i="36"/>
  <c r="AE8" i="36"/>
  <c r="AB17" i="36" l="1"/>
  <c r="G23" i="32"/>
  <c r="R37" i="32"/>
  <c r="Q37" i="32"/>
  <c r="P37" i="32"/>
  <c r="O37" i="32"/>
  <c r="H23" i="32" l="1"/>
  <c r="R57" i="32"/>
  <c r="Q57" i="32"/>
  <c r="P57" i="32"/>
  <c r="O57" i="32"/>
  <c r="R30" i="32"/>
  <c r="Q30" i="32"/>
  <c r="P30" i="32"/>
  <c r="O30" i="32"/>
  <c r="AB27" i="36" l="1"/>
  <c r="H30" i="32" s="1"/>
  <c r="N30" i="32" s="1"/>
  <c r="W30" i="32" s="1"/>
  <c r="G30" i="32"/>
  <c r="M30" i="32" s="1"/>
  <c r="V30" i="32" s="1"/>
  <c r="M57" i="32"/>
  <c r="V57" i="32" s="1"/>
  <c r="N57" i="32"/>
  <c r="W57" i="32" s="1"/>
  <c r="G68" i="36"/>
  <c r="G63" i="36"/>
  <c r="AB36" i="36" l="1"/>
  <c r="H37" i="32" s="1"/>
  <c r="N37" i="32" s="1"/>
  <c r="W37" i="32" s="1"/>
  <c r="G37" i="32"/>
  <c r="M37" i="32" s="1"/>
  <c r="V37" i="32" s="1"/>
  <c r="R47" i="32"/>
  <c r="Q47" i="32"/>
  <c r="P47" i="32"/>
  <c r="O47" i="32"/>
  <c r="R46" i="32"/>
  <c r="Q46" i="32"/>
  <c r="P46" i="32"/>
  <c r="O46" i="32"/>
  <c r="Z68" i="36"/>
  <c r="AA66" i="36"/>
  <c r="AA65" i="36"/>
  <c r="Z63" i="36"/>
  <c r="AE63" i="36"/>
  <c r="G66" i="32"/>
  <c r="G64" i="32"/>
  <c r="G56" i="32"/>
  <c r="G55" i="32"/>
  <c r="G54" i="32"/>
  <c r="G51" i="32"/>
  <c r="G53" i="32"/>
  <c r="G49" i="32"/>
  <c r="G48" i="32"/>
  <c r="G46" i="32"/>
  <c r="G45" i="32"/>
  <c r="G44" i="32"/>
  <c r="G43" i="32"/>
  <c r="G42" i="32"/>
  <c r="G41" i="32"/>
  <c r="G35" i="32"/>
  <c r="G34" i="32"/>
  <c r="G33" i="32"/>
  <c r="G32" i="32"/>
  <c r="G31" i="32"/>
  <c r="AH29" i="36"/>
  <c r="AE29" i="36"/>
  <c r="G28" i="32"/>
  <c r="G27" i="32"/>
  <c r="G26" i="32"/>
  <c r="G25" i="32"/>
  <c r="G22" i="32"/>
  <c r="G21" i="32"/>
  <c r="G20" i="32"/>
  <c r="G19" i="32"/>
  <c r="G18" i="32"/>
  <c r="G16" i="32"/>
  <c r="G15" i="32"/>
  <c r="G12" i="32"/>
  <c r="M12" i="32" s="1"/>
  <c r="V12" i="32" s="1"/>
  <c r="G11" i="32"/>
  <c r="AE12" i="36"/>
  <c r="AJ12" i="36" s="1"/>
  <c r="G9" i="32"/>
  <c r="G7" i="32"/>
  <c r="G5" i="32"/>
  <c r="AA4" i="36"/>
  <c r="G4" i="32" s="1"/>
  <c r="AB66" i="36" l="1"/>
  <c r="H71" i="32" s="1"/>
  <c r="G71" i="32"/>
  <c r="AB65" i="36"/>
  <c r="H70" i="32" s="1"/>
  <c r="G70" i="32"/>
  <c r="G65" i="32"/>
  <c r="G47" i="32"/>
  <c r="AB38" i="36"/>
  <c r="H40" i="32" s="1"/>
  <c r="N40" i="32" s="1"/>
  <c r="G40" i="32"/>
  <c r="M40" i="32" s="1"/>
  <c r="AB31" i="36"/>
  <c r="AB23" i="36"/>
  <c r="AB6" i="36"/>
  <c r="AB24" i="36"/>
  <c r="AB60" i="36"/>
  <c r="AB12" i="36"/>
  <c r="H12" i="32" s="1"/>
  <c r="N12" i="32" s="1"/>
  <c r="W12" i="32" s="1"/>
  <c r="AB15" i="36"/>
  <c r="AB20" i="36"/>
  <c r="AB30" i="36"/>
  <c r="AB47" i="36"/>
  <c r="AB52" i="36"/>
  <c r="AB29" i="36"/>
  <c r="AB59" i="36"/>
  <c r="AB49" i="36"/>
  <c r="AB48" i="36"/>
  <c r="AB44" i="36"/>
  <c r="AB45" i="36"/>
  <c r="AB46" i="36"/>
  <c r="AB39" i="36"/>
  <c r="AB32" i="36"/>
  <c r="AB13" i="36"/>
  <c r="AB8" i="36"/>
  <c r="AB25" i="36"/>
  <c r="AB14" i="36"/>
  <c r="AB28" i="36"/>
  <c r="AB51" i="36"/>
  <c r="AB43" i="36"/>
  <c r="AB42" i="36"/>
  <c r="AB56" i="36"/>
  <c r="AB16" i="36"/>
  <c r="AB40" i="36"/>
  <c r="AB41" i="36"/>
  <c r="AB9" i="36"/>
  <c r="AB5" i="36"/>
  <c r="AB4" i="36"/>
  <c r="AB22" i="36"/>
  <c r="AB19" i="36"/>
  <c r="AB18" i="36"/>
  <c r="AB61" i="36"/>
  <c r="AB33" i="36"/>
  <c r="AA68" i="36"/>
  <c r="AA63" i="36"/>
  <c r="H64" i="32" l="1"/>
  <c r="H66" i="32"/>
  <c r="H45" i="32"/>
  <c r="H25" i="32"/>
  <c r="H7" i="32"/>
  <c r="H27" i="32"/>
  <c r="H26" i="32"/>
  <c r="H18" i="32"/>
  <c r="H22" i="32"/>
  <c r="H33" i="32"/>
  <c r="H49" i="32"/>
  <c r="H55" i="32"/>
  <c r="H65" i="32"/>
  <c r="H47" i="32"/>
  <c r="H46" i="32"/>
  <c r="H15" i="32"/>
  <c r="H32" i="32"/>
  <c r="H31" i="32"/>
  <c r="H35" i="32"/>
  <c r="H41" i="32"/>
  <c r="H5" i="32"/>
  <c r="H4" i="32"/>
  <c r="N4" i="32" s="1"/>
  <c r="H34" i="32"/>
  <c r="H48" i="32"/>
  <c r="H53" i="32"/>
  <c r="H56" i="32"/>
  <c r="H20" i="32"/>
  <c r="H21" i="32"/>
  <c r="H54" i="32"/>
  <c r="H51" i="32"/>
  <c r="H11" i="32"/>
  <c r="H16" i="32"/>
  <c r="H28" i="32"/>
  <c r="H44" i="32"/>
  <c r="H43" i="32"/>
  <c r="H19" i="32"/>
  <c r="H9" i="32"/>
  <c r="H42" i="32"/>
  <c r="M47" i="32" l="1"/>
  <c r="V47" i="32" s="1"/>
  <c r="N47" i="32"/>
  <c r="W47" i="32" s="1"/>
  <c r="M46" i="32" l="1"/>
  <c r="V46" i="32" s="1"/>
  <c r="N46" i="32" l="1"/>
  <c r="W46" i="32" s="1"/>
  <c r="R5" i="32"/>
  <c r="Q5" i="32"/>
  <c r="M5" i="32"/>
  <c r="N5" i="32"/>
  <c r="R43" i="32" l="1"/>
  <c r="Q43" i="32"/>
  <c r="P43" i="32"/>
  <c r="O43" i="32"/>
  <c r="R9" i="32"/>
  <c r="Q9" i="32"/>
  <c r="P9" i="32"/>
  <c r="O9" i="32"/>
  <c r="R29" i="32"/>
  <c r="Q29" i="32"/>
  <c r="P29" i="32"/>
  <c r="O29" i="32"/>
  <c r="R16" i="32"/>
  <c r="Q16" i="32"/>
  <c r="P16" i="32"/>
  <c r="O16" i="32"/>
  <c r="N29" i="32" l="1"/>
  <c r="W29" i="32" s="1"/>
  <c r="M29" i="32"/>
  <c r="V29" i="32" s="1"/>
  <c r="N71" i="32"/>
  <c r="M71" i="32"/>
  <c r="N70" i="32"/>
  <c r="M70" i="32"/>
  <c r="N7" i="32"/>
  <c r="M7" i="32"/>
  <c r="N15" i="32"/>
  <c r="M15" i="32"/>
  <c r="N20" i="32"/>
  <c r="M20" i="32"/>
  <c r="N24" i="32"/>
  <c r="M24" i="32"/>
  <c r="N28" i="32"/>
  <c r="M28" i="32"/>
  <c r="N33" i="32"/>
  <c r="M33" i="32"/>
  <c r="N34" i="32"/>
  <c r="M34" i="32"/>
  <c r="N41" i="32"/>
  <c r="M41" i="32"/>
  <c r="N44" i="32"/>
  <c r="M44" i="32"/>
  <c r="N53" i="32"/>
  <c r="M53" i="32"/>
  <c r="N56" i="32"/>
  <c r="M56" i="32"/>
  <c r="N66" i="32"/>
  <c r="M66" i="32"/>
  <c r="N9" i="32"/>
  <c r="W9" i="32" s="1"/>
  <c r="M9" i="32"/>
  <c r="V9" i="32" s="1"/>
  <c r="M16" i="32"/>
  <c r="V16" i="32" s="1"/>
  <c r="N21" i="32"/>
  <c r="M21" i="32"/>
  <c r="N25" i="32"/>
  <c r="M25" i="32"/>
  <c r="N35" i="32"/>
  <c r="M35" i="32"/>
  <c r="N42" i="32"/>
  <c r="M42" i="32"/>
  <c r="N45" i="32"/>
  <c r="M45" i="32"/>
  <c r="N51" i="32"/>
  <c r="M51" i="32"/>
  <c r="N60" i="32"/>
  <c r="M60" i="32"/>
  <c r="M4" i="32"/>
  <c r="N11" i="32"/>
  <c r="M11" i="32"/>
  <c r="N18" i="32"/>
  <c r="M18" i="32"/>
  <c r="M23" i="32"/>
  <c r="N22" i="32"/>
  <c r="M22" i="32"/>
  <c r="N26" i="32"/>
  <c r="M26" i="32"/>
  <c r="N31" i="32"/>
  <c r="M31" i="32"/>
  <c r="N48" i="32"/>
  <c r="M48" i="32"/>
  <c r="N54" i="32"/>
  <c r="M54" i="32"/>
  <c r="N64" i="32"/>
  <c r="M64" i="32"/>
  <c r="N19" i="32"/>
  <c r="M19" i="32"/>
  <c r="N27" i="32"/>
  <c r="M27" i="32"/>
  <c r="N32" i="32"/>
  <c r="M32" i="32"/>
  <c r="N38" i="32"/>
  <c r="M38" i="32"/>
  <c r="N43" i="32"/>
  <c r="W43" i="32" s="1"/>
  <c r="M43" i="32"/>
  <c r="V43" i="32" s="1"/>
  <c r="N49" i="32"/>
  <c r="M49" i="32"/>
  <c r="N55" i="32"/>
  <c r="M55" i="32"/>
  <c r="N65" i="32"/>
  <c r="M65" i="32"/>
  <c r="N16" i="32" l="1"/>
  <c r="W16" i="32" s="1"/>
  <c r="N23" i="32"/>
  <c r="R71" i="32" l="1"/>
  <c r="Q71" i="32"/>
  <c r="P71" i="32"/>
  <c r="R70" i="32"/>
  <c r="Q70" i="32"/>
  <c r="P70" i="32"/>
  <c r="W70" i="32" l="1"/>
  <c r="W71" i="32"/>
  <c r="P15" i="32"/>
  <c r="P24" i="32"/>
  <c r="P28" i="32"/>
  <c r="P32" i="32"/>
  <c r="P33" i="32"/>
  <c r="P38" i="32"/>
  <c r="P49" i="32"/>
  <c r="P51" i="32"/>
  <c r="P53" i="32"/>
  <c r="P60" i="32"/>
  <c r="P64" i="32"/>
  <c r="O15" i="32"/>
  <c r="O24" i="32"/>
  <c r="O28" i="32"/>
  <c r="O32" i="32"/>
  <c r="O33" i="32"/>
  <c r="O38" i="32"/>
  <c r="O49" i="32"/>
  <c r="O51" i="32"/>
  <c r="O53" i="32"/>
  <c r="O60" i="32"/>
  <c r="O64" i="32"/>
  <c r="W73" i="32" l="1"/>
  <c r="Q15" i="32"/>
  <c r="V15" i="32" s="1"/>
  <c r="Q32" i="32" l="1"/>
  <c r="V32" i="32" s="1"/>
  <c r="R15" i="32"/>
  <c r="W15" i="32" s="1"/>
  <c r="I73" i="32" l="1"/>
  <c r="K67" i="32"/>
  <c r="K73" i="32"/>
  <c r="I67" i="32"/>
  <c r="G73" i="32" l="1"/>
  <c r="G67" i="32"/>
  <c r="R32" i="32" l="1"/>
  <c r="W32" i="32" s="1"/>
  <c r="R53" i="32" l="1"/>
  <c r="W53" i="32" s="1"/>
  <c r="Q53" i="32"/>
  <c r="V53" i="32" s="1"/>
  <c r="R28" i="32" l="1"/>
  <c r="W28" i="32" s="1"/>
  <c r="Q28" i="32"/>
  <c r="V28" i="32" s="1"/>
  <c r="R38" i="32" l="1"/>
  <c r="W38" i="32" s="1"/>
  <c r="Q38" i="32"/>
  <c r="V38" i="32" s="1"/>
  <c r="R24" i="32" l="1"/>
  <c r="W24" i="32" s="1"/>
  <c r="Q24" i="32"/>
  <c r="V24" i="32" s="1"/>
  <c r="R49" i="32" l="1"/>
  <c r="W49" i="32" s="1"/>
  <c r="Q49" i="32" l="1"/>
  <c r="V49" i="32" s="1"/>
  <c r="R51" i="32"/>
  <c r="W51" i="32" s="1"/>
  <c r="R42" i="32"/>
  <c r="R26" i="32"/>
  <c r="R64" i="32"/>
  <c r="W64" i="32" s="1"/>
  <c r="R60" i="32"/>
  <c r="W60" i="32" s="1"/>
  <c r="R54" i="32"/>
  <c r="R48" i="32"/>
  <c r="R45" i="32"/>
  <c r="R44" i="32"/>
  <c r="R41" i="32"/>
  <c r="R35" i="32"/>
  <c r="R34" i="32"/>
  <c r="R33" i="32"/>
  <c r="W33" i="32" s="1"/>
  <c r="R31" i="32"/>
  <c r="R27" i="32"/>
  <c r="R25" i="32"/>
  <c r="R22" i="32"/>
  <c r="R21" i="32"/>
  <c r="R20" i="32"/>
  <c r="R19" i="32"/>
  <c r="R18" i="32"/>
  <c r="R11" i="32"/>
  <c r="R7" i="32"/>
  <c r="R4" i="32"/>
  <c r="R55" i="32" l="1"/>
  <c r="R65" i="32"/>
  <c r="R66" i="32"/>
  <c r="R40" i="32"/>
  <c r="R23" i="32"/>
  <c r="R56" i="32"/>
  <c r="Q64" i="32" l="1"/>
  <c r="V64" i="32" s="1"/>
  <c r="Q51" i="32" l="1"/>
  <c r="V51" i="32" s="1"/>
  <c r="Q33" i="32" l="1"/>
  <c r="V33" i="32" s="1"/>
  <c r="Q23" i="32" l="1"/>
  <c r="O23" i="32"/>
  <c r="V23" i="32" l="1"/>
  <c r="P23" i="32"/>
  <c r="W23" i="32" s="1"/>
  <c r="O54" i="32" l="1"/>
  <c r="P54" i="32" l="1"/>
  <c r="W54" i="32" s="1"/>
  <c r="Q54" i="32"/>
  <c r="V54" i="32" s="1"/>
  <c r="Q45" i="32" l="1"/>
  <c r="Q42" i="32"/>
  <c r="Q35" i="32"/>
  <c r="Q25" i="32"/>
  <c r="Q55" i="32"/>
  <c r="Q21" i="32"/>
  <c r="Q19" i="32"/>
  <c r="Q34" i="32"/>
  <c r="Q27" i="32"/>
  <c r="Q11" i="32"/>
  <c r="Q41" i="32"/>
  <c r="Q44" i="32"/>
  <c r="Q31" i="32"/>
  <c r="Q48" i="32"/>
  <c r="Q60" i="32"/>
  <c r="V60" i="32" s="1"/>
  <c r="Q22" i="32"/>
  <c r="Q20" i="32"/>
  <c r="Q18" i="32"/>
  <c r="Q7" i="32"/>
  <c r="Q65" i="32"/>
  <c r="Q26" i="32"/>
  <c r="Q56" i="32" l="1"/>
  <c r="Q66" i="32"/>
  <c r="Q40" i="32"/>
  <c r="Q4" i="32"/>
  <c r="P40" i="32" l="1"/>
  <c r="W40" i="32" s="1"/>
  <c r="O40" i="32" l="1"/>
  <c r="V40" i="32" s="1"/>
  <c r="O45" i="32" l="1"/>
  <c r="V45" i="32" s="1"/>
  <c r="O70" i="32"/>
  <c r="V70" i="32" s="1"/>
  <c r="P4" i="32"/>
  <c r="W4" i="32" s="1"/>
  <c r="O26" i="32"/>
  <c r="V26" i="32" s="1"/>
  <c r="O55" i="32"/>
  <c r="V55" i="32" s="1"/>
  <c r="P55" i="32"/>
  <c r="W55" i="32" s="1"/>
  <c r="O71" i="32"/>
  <c r="V71" i="32" s="1"/>
  <c r="O48" i="32"/>
  <c r="V48" i="32" s="1"/>
  <c r="O56" i="32"/>
  <c r="V56" i="32" s="1"/>
  <c r="P56" i="32"/>
  <c r="W56" i="32" s="1"/>
  <c r="O21" i="32"/>
  <c r="V21" i="32" s="1"/>
  <c r="O22" i="32"/>
  <c r="V22" i="32" s="1"/>
  <c r="P7" i="32"/>
  <c r="W7" i="32" s="1"/>
  <c r="O7" i="32"/>
  <c r="V7" i="32" s="1"/>
  <c r="O19" i="32"/>
  <c r="V19" i="32" s="1"/>
  <c r="P18" i="32"/>
  <c r="W18" i="32" s="1"/>
  <c r="O18" i="32"/>
  <c r="V18" i="32" s="1"/>
  <c r="O25" i="32"/>
  <c r="V25" i="32" s="1"/>
  <c r="O27" i="32"/>
  <c r="V27" i="32" s="1"/>
  <c r="P35" i="32"/>
  <c r="W35" i="32" s="1"/>
  <c r="O35" i="32"/>
  <c r="V35" i="32" s="1"/>
  <c r="O42" i="32"/>
  <c r="V42" i="32" s="1"/>
  <c r="P5" i="32"/>
  <c r="W5" i="32" s="1"/>
  <c r="O5" i="32"/>
  <c r="V5" i="32" s="1"/>
  <c r="P20" i="32"/>
  <c r="W20" i="32" s="1"/>
  <c r="O20" i="32"/>
  <c r="V20" i="32" s="1"/>
  <c r="O41" i="32"/>
  <c r="V41" i="32" s="1"/>
  <c r="P11" i="32"/>
  <c r="W11" i="32" s="1"/>
  <c r="O11" i="32"/>
  <c r="V11" i="32" s="1"/>
  <c r="O31" i="32"/>
  <c r="V31" i="32" s="1"/>
  <c r="O34" i="32"/>
  <c r="V34" i="32" s="1"/>
  <c r="O44" i="32"/>
  <c r="V44" i="32" s="1"/>
  <c r="V73" i="32" l="1"/>
  <c r="P65" i="32"/>
  <c r="W65" i="32" s="1"/>
  <c r="P66" i="32"/>
  <c r="W66" i="32" s="1"/>
  <c r="O65" i="32"/>
  <c r="V65" i="32" s="1"/>
  <c r="O66" i="32"/>
  <c r="V66" i="32" s="1"/>
  <c r="P25" i="32"/>
  <c r="W25" i="32" s="1"/>
  <c r="P34" i="32"/>
  <c r="W34" i="32" s="1"/>
  <c r="P31" i="32"/>
  <c r="W31" i="32" s="1"/>
  <c r="P41" i="32"/>
  <c r="W41" i="32" s="1"/>
  <c r="P19" i="32"/>
  <c r="W19" i="32" s="1"/>
  <c r="P48" i="32"/>
  <c r="W48" i="32" s="1"/>
  <c r="P42" i="32"/>
  <c r="W42" i="32" s="1"/>
  <c r="P27" i="32"/>
  <c r="W27" i="32" s="1"/>
  <c r="P22" i="32"/>
  <c r="W22" i="32" s="1"/>
  <c r="P26" i="32"/>
  <c r="W26" i="32" s="1"/>
  <c r="P21" i="32"/>
  <c r="W21" i="32" s="1"/>
  <c r="P44" i="32"/>
  <c r="W44" i="32" s="1"/>
  <c r="P45" i="32"/>
  <c r="W45" i="32" s="1"/>
  <c r="O4" i="32"/>
  <c r="V4" i="32" l="1"/>
  <c r="V67" i="32" s="1"/>
</calcChain>
</file>

<file path=xl/sharedStrings.xml><?xml version="1.0" encoding="utf-8"?>
<sst xmlns="http://schemas.openxmlformats.org/spreadsheetml/2006/main" count="1037" uniqueCount="256">
  <si>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</si>
  <si>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</si>
  <si>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</si>
  <si>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</si>
  <si>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</si>
  <si>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</si>
  <si>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</si>
  <si>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</si>
  <si>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</si>
  <si>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</si>
  <si>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</si>
  <si>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</si>
  <si>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</si>
  <si>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</si>
  <si>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</si>
  <si>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</si>
  <si>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</si>
  <si>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</si>
  <si>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</si>
  <si>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</si>
  <si>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</si>
  <si>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</si>
  <si>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</si>
  <si>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</si>
  <si>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</si>
  <si>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</si>
  <si>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</si>
  <si>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</si>
  <si>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</si>
  <si>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</si>
  <si>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</si>
  <si>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</si>
  <si>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</si>
  <si>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</si>
  <si>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</si>
  <si>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</si>
  <si>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</si>
  <si>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</si>
  <si>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</si>
  <si>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</si>
  <si>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</si>
  <si>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</si>
  <si>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</si>
  <si>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</si>
  <si>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</si>
  <si>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</si>
  <si>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</si>
  <si>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</si>
  <si>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</si>
  <si>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</si>
  <si>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</si>
  <si>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</si>
  <si>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</si>
  <si>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</si>
  <si>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</si>
  <si>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</si>
  <si>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</si>
  <si>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</si>
  <si>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</si>
  <si>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</si>
  <si>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</si>
  <si>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NA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</si>
  <si>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</si>
  <si>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</si>
  <si>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</si>
  <si>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</si>
  <si>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</si>
  <si>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</si>
  <si>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</si>
  <si>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</si>
  <si>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</si>
  <si>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</si>
  <si>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</si>
  <si>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</si>
  <si>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</si>
  <si>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</si>
  <si>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</si>
  <si>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</si>
  <si>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</si>
  <si>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</si>
  <si>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</si>
  <si>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</si>
  <si>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</si>
  <si>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</si>
  <si>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</si>
  <si>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</si>
  <si>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</si>
  <si>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</si>
  <si>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</si>
  <si>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</si>
  <si>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</si>
  <si>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</si>
  <si>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</si>
  <si>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</si>
  <si>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</si>
  <si>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</si>
  <si>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</si>
  <si>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</si>
  <si>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</si>
  <si>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</si>
  <si>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</si>
  <si>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</si>
  <si>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multipul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</si>
  <si>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</si>
  <si>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</si>
  <si>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</si>
  <si>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</si>
  <si>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</si>
  <si>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</si>
  <si>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</si>
  <si>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</si>
  <si>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</si>
  <si>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</si>
  <si>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</si>
  <si>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</si>
  <si>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</si>
  <si>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</si>
  <si>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</si>
  <si>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</si>
  <si>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</si>
  <si>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</si>
  <si>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</si>
  <si>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</si>
  <si>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</si>
  <si>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</si>
  <si>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</si>
  <si>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</si>
  <si>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</si>
  <si>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</si>
  <si>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</si>
  <si>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</si>
  <si>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</si>
  <si>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</si>
  <si>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</si>
  <si>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</si>
  <si>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</si>
  <si>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</si>
  <si>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</si>
  <si>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</si>
  <si>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</si>
  <si>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</si>
  <si>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</si>
  <si>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</si>
  <si>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</si>
  <si>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</si>
  <si>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</si>
  <si>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</si>
  <si>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</si>
  <si>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</si>
  <si>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</si>
  <si>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</si>
  <si>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</si>
  <si>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</si>
  <si>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</si>
  <si>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</si>
  <si>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</si>
  <si>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</si>
  <si>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</si>
  <si>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</si>
  <si>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Strangle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</si>
  <si>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</si>
  <si>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</si>
  <si>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</si>
  <si>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</si>
  <si>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</si>
  <si>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</si>
  <si>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</si>
  <si>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</si>
  <si>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</si>
  <si>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</si>
  <si>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</si>
  <si>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</si>
  <si>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</si>
  <si>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</si>
  <si>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</si>
  <si>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</si>
  <si>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</si>
  <si>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</si>
  <si>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</si>
  <si>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</si>
  <si>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</si>
  <si>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</si>
  <si>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</si>
  <si>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</si>
  <si>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</si>
  <si>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</si>
  <si>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</si>
  <si>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</si>
  <si>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</si>
  <si>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</si>
  <si>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</si>
  <si>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</si>
  <si>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</si>
  <si>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</si>
  <si>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</si>
  <si>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</si>
  <si>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ATS_1031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</si>
  <si>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</si>
  <si>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</si>
  <si>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</si>
  <si>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</si>
  <si>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</si>
  <si>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</si>
  <si>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</si>
  <si>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</si>
  <si>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</si>
  <si>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</si>
  <si>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</si>
  <si>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</si>
  <si>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</si>
  <si>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</si>
  <si>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</si>
  <si>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</si>
  <si>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</si>
  <si>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</si>
  <si>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</si>
  <si>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</si>
  <si>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</si>
  <si>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</si>
  <si>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</si>
  <si>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</si>
  <si>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</si>
  <si>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</si>
  <si>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NFO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</si>
  <si>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</si>
  <si>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</si>
  <si>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</si>
  <si>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</si>
  <si>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</si>
  <si>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</si>
  <si>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</si>
  <si>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</si>
  <si>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</si>
  <si>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</si>
  <si>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</si>
  <si>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</si>
  <si>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</si>
  <si>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</si>
  <si>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</si>
  <si>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</si>
  <si>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</si>
  <si>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</si>
  <si>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</si>
  <si>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</si>
  <si>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</si>
  <si>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</si>
  <si>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</si>
  <si>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</si>
  <si>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</si>
  <si>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</si>
  <si>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</si>
  <si>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</si>
  <si>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</si>
  <si>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</si>
  <si>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</si>
  <si>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strange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</si>
</sst>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3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11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8" fontId="0" fillId="2" borderId="16" xfId="0" applyNumberFormat="1" applyFont="1" applyFill="1" applyBorder="1"/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70" fontId="3" fillId="0" borderId="10" xfId="1" applyNumberFormat="1" applyFont="1" applyFill="1" applyBorder="1" applyAlignment="1">
      <alignment horizontal="right"/>
    </xf>
    <xf numFmtId="170" fontId="3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202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6B8895"/>
      <color rgb="FFE2F67C"/>
      <color rgb="FFFF7C80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5"/>
  <sheetViews>
    <sheetView tabSelected="1" topLeftCell="A31" workbookViewId="0">
      <selection activeCell="V43" sqref="V43"/>
    </sheetView>
  </sheetViews>
  <sheetFormatPr defaultRowHeight="15" outlineLevelCol="1" x14ac:dyDescent="0.25"/>
  <cols>
    <col min="1" max="1" width="10.140625" style="136" customWidth="1" outlineLevel="1"/>
    <col min="2" max="2" width="20.5703125" style="136" customWidth="1" outlineLevel="1"/>
    <col min="3" max="3" width="10.42578125" style="136" customWidth="1"/>
    <col min="4" max="4" width="13.28515625" style="136" customWidth="1"/>
    <col min="5" max="5" width="6.5703125" style="136" customWidth="1"/>
    <col min="6" max="6" width="1.7109375" style="136" customWidth="1"/>
    <col min="7" max="12" width="11.28515625" style="136" customWidth="1" outlineLevel="1"/>
    <col min="13" max="13" width="11.5703125" style="136" customWidth="1"/>
    <col min="14" max="14" width="10.42578125" style="136" customWidth="1" outlineLevel="1"/>
    <col min="15" max="15" width="10.7109375" style="136" customWidth="1" outlineLevel="1"/>
    <col min="16" max="21" width="9.140625" style="136"/>
    <col min="22" max="22" width="14.140625" style="136" customWidth="1"/>
    <col min="23" max="23" width="12" style="136" customWidth="1"/>
    <col min="24" max="16384" width="9.140625" style="136"/>
  </cols>
  <sheetData>
    <row r="1" spans="1:23" ht="15.75" thickBot="1" x14ac:dyDescent="0.3"/>
    <row r="2" spans="1:23" ht="15.75" thickBot="1" x14ac:dyDescent="0.3">
      <c r="F2" s="184"/>
      <c r="G2" s="185">
        <v>46174</v>
      </c>
      <c r="H2" s="185">
        <v>46175</v>
      </c>
      <c r="I2" s="185">
        <v>46176</v>
      </c>
      <c r="J2" s="185">
        <v>46177</v>
      </c>
      <c r="K2" s="185">
        <v>46178</v>
      </c>
      <c r="L2" s="185">
        <v>46181</v>
      </c>
      <c r="M2" s="186"/>
      <c r="N2" s="187" t="s">
        <v>248</v>
      </c>
      <c r="O2" s="188" t="s">
        <v>249</v>
      </c>
    </row>
    <row r="3" spans="1:23" x14ac:dyDescent="0.25">
      <c r="A3" s="189" t="s">
        <v>54</v>
      </c>
      <c r="B3" s="189" t="s">
        <v>70</v>
      </c>
      <c r="C3" s="189" t="s">
        <v>71</v>
      </c>
      <c r="D3" s="189" t="s">
        <v>2</v>
      </c>
      <c r="E3" s="190" t="s">
        <v>9</v>
      </c>
      <c r="F3" s="191"/>
      <c r="G3" s="182" t="s">
        <v>239</v>
      </c>
      <c r="H3" s="182" t="s">
        <v>238</v>
      </c>
      <c r="I3" s="182" t="s">
        <v>242</v>
      </c>
      <c r="J3" s="182" t="s">
        <v>241</v>
      </c>
      <c r="K3" s="182" t="s">
        <v>240</v>
      </c>
      <c r="L3" s="182" t="s">
        <v>239</v>
      </c>
      <c r="M3" s="183"/>
      <c r="N3" s="192"/>
      <c r="O3" s="183"/>
      <c r="V3" s="136" t="s">
        <v>202</v>
      </c>
      <c r="W3" s="136">
        <v>13780</v>
      </c>
    </row>
    <row r="4" spans="1:23" x14ac:dyDescent="0.25">
      <c r="A4" s="145" t="s">
        <v>25</v>
      </c>
      <c r="B4" s="44" t="s">
        <v>73</v>
      </c>
      <c r="C4" s="145" t="s">
        <v>161</v>
      </c>
      <c r="D4" s="145" t="s">
        <v>89</v>
      </c>
      <c r="E4" s="159">
        <v>3</v>
      </c>
      <c r="F4" s="193"/>
      <c r="G4" s="161">
        <v>0</v>
      </c>
      <c r="H4" s="161">
        <v>-83000</v>
      </c>
      <c r="I4" s="161">
        <v>0</v>
      </c>
      <c r="J4" s="161">
        <v>1000</v>
      </c>
      <c r="K4" s="161">
        <v>0</v>
      </c>
      <c r="L4" s="161">
        <v>0</v>
      </c>
      <c r="M4" s="177"/>
      <c r="N4" s="174">
        <f t="shared" ref="N4:N34" si="0">SUM(G4:M4)</f>
        <v>-82000</v>
      </c>
      <c r="O4" s="152">
        <f t="shared" ref="O4:O34" si="1">IFERROR(N4/E4*100,0)/10000000</f>
        <v>-0.27333333333333332</v>
      </c>
      <c r="V4" s="136" t="s">
        <v>173</v>
      </c>
      <c r="W4" s="136">
        <v>2865</v>
      </c>
    </row>
    <row r="5" spans="1:23" x14ac:dyDescent="0.25">
      <c r="A5" s="145" t="s">
        <v>220</v>
      </c>
      <c r="B5" s="44" t="s">
        <v>219</v>
      </c>
      <c r="C5" s="145" t="s">
        <v>11</v>
      </c>
      <c r="D5" s="145"/>
      <c r="E5" s="159">
        <v>0.5</v>
      </c>
      <c r="F5" s="193"/>
      <c r="G5" s="161">
        <v>8939</v>
      </c>
      <c r="H5" s="161">
        <v>-4051</v>
      </c>
      <c r="I5" s="161">
        <v>-13303</v>
      </c>
      <c r="J5" s="161">
        <v>9600</v>
      </c>
      <c r="K5" s="161">
        <v>1000</v>
      </c>
      <c r="L5" s="161">
        <v>1720</v>
      </c>
      <c r="M5" s="177"/>
      <c r="N5" s="174">
        <f t="shared" si="0"/>
        <v>3905</v>
      </c>
      <c r="O5" s="152">
        <f t="shared" si="1"/>
        <v>7.8100000000000003E-2</v>
      </c>
    </row>
    <row r="6" spans="1:23" x14ac:dyDescent="0.25">
      <c r="A6" s="145" t="s">
        <v>30</v>
      </c>
      <c r="B6" s="144" t="s">
        <v>179</v>
      </c>
      <c r="C6" s="144" t="s">
        <v>6</v>
      </c>
      <c r="D6" s="163" t="s">
        <v>140</v>
      </c>
      <c r="E6" s="159">
        <v>3</v>
      </c>
      <c r="F6" s="194"/>
      <c r="G6" s="150">
        <v>25194</v>
      </c>
      <c r="H6" s="150">
        <v>-30619</v>
      </c>
      <c r="I6" s="150">
        <v>-28000</v>
      </c>
      <c r="J6" s="150">
        <v>25135</v>
      </c>
      <c r="K6" s="150">
        <v>0</v>
      </c>
      <c r="L6" s="150">
        <v>145797</v>
      </c>
      <c r="M6" s="177"/>
      <c r="N6" s="174">
        <f t="shared" si="0"/>
        <v>137507</v>
      </c>
      <c r="O6" s="152">
        <f t="shared" si="1"/>
        <v>0.45835666666666658</v>
      </c>
      <c r="Q6" s="5"/>
      <c r="R6" s="137">
        <v>87668</v>
      </c>
    </row>
    <row r="7" spans="1:23" x14ac:dyDescent="0.25">
      <c r="A7" s="145" t="s">
        <v>136</v>
      </c>
      <c r="B7" s="144" t="s">
        <v>135</v>
      </c>
      <c r="C7" s="144" t="s">
        <v>137</v>
      </c>
      <c r="D7" s="163" t="s">
        <v>118</v>
      </c>
      <c r="E7" s="159">
        <v>3</v>
      </c>
      <c r="F7" s="194"/>
      <c r="G7" s="150">
        <v>94601</v>
      </c>
      <c r="H7" s="150">
        <v>-306910</v>
      </c>
      <c r="I7" s="150">
        <v>13873</v>
      </c>
      <c r="J7" s="150">
        <v>-31085</v>
      </c>
      <c r="K7" s="150">
        <v>-28000</v>
      </c>
      <c r="L7" s="150">
        <v>-49174</v>
      </c>
      <c r="M7" s="177"/>
      <c r="N7" s="174">
        <f t="shared" si="0"/>
        <v>-306695</v>
      </c>
      <c r="O7" s="152">
        <f t="shared" si="1"/>
        <v>-1.0223166666666668</v>
      </c>
      <c r="Q7" s="137">
        <v>624653</v>
      </c>
      <c r="R7" s="137"/>
    </row>
    <row r="8" spans="1:23" x14ac:dyDescent="0.25">
      <c r="A8" s="145" t="s">
        <v>221</v>
      </c>
      <c r="B8" s="144" t="s">
        <v>135</v>
      </c>
      <c r="C8" s="144" t="s">
        <v>97</v>
      </c>
      <c r="D8" s="163" t="s">
        <v>118</v>
      </c>
      <c r="E8" s="159">
        <v>1.5</v>
      </c>
      <c r="F8" s="194"/>
      <c r="G8" s="150">
        <v>0</v>
      </c>
      <c r="H8" s="150">
        <v>-1734</v>
      </c>
      <c r="I8" s="150">
        <v>0</v>
      </c>
      <c r="J8" s="150">
        <v>0</v>
      </c>
      <c r="K8" s="150">
        <v>0</v>
      </c>
      <c r="L8" s="150">
        <v>0</v>
      </c>
      <c r="M8" s="177"/>
      <c r="N8" s="174">
        <f t="shared" si="0"/>
        <v>-1734</v>
      </c>
      <c r="O8" s="152">
        <f t="shared" si="1"/>
        <v>-1.1560000000000001E-2</v>
      </c>
      <c r="Q8" s="137">
        <v>712322</v>
      </c>
      <c r="R8" s="137">
        <f>(Q8+Q7)/10000000*13780</f>
        <v>1842.3515499999999</v>
      </c>
    </row>
    <row r="9" spans="1:23" x14ac:dyDescent="0.25">
      <c r="A9" s="146" t="s">
        <v>35</v>
      </c>
      <c r="B9" s="144" t="s">
        <v>55</v>
      </c>
      <c r="C9" s="144" t="s">
        <v>80</v>
      </c>
      <c r="D9" s="146" t="s">
        <v>114</v>
      </c>
      <c r="E9" s="160">
        <v>15</v>
      </c>
      <c r="F9" s="195"/>
      <c r="G9" s="150">
        <v>0</v>
      </c>
      <c r="H9" s="150">
        <v>-320000</v>
      </c>
      <c r="I9" s="150">
        <v>3000</v>
      </c>
      <c r="J9" s="150">
        <v>27286</v>
      </c>
      <c r="K9" s="150">
        <v>11580</v>
      </c>
      <c r="L9" s="150">
        <v>-7900</v>
      </c>
      <c r="M9" s="177"/>
      <c r="N9" s="174">
        <f t="shared" si="0"/>
        <v>-286034</v>
      </c>
      <c r="O9" s="152">
        <f t="shared" si="1"/>
        <v>-0.19068933333333335</v>
      </c>
      <c r="Q9" s="137"/>
      <c r="R9" s="137"/>
    </row>
    <row r="10" spans="1:23" x14ac:dyDescent="0.25">
      <c r="A10" s="146" t="s">
        <v>139</v>
      </c>
      <c r="B10" s="144" t="s">
        <v>124</v>
      </c>
      <c r="C10" s="144" t="s">
        <v>138</v>
      </c>
      <c r="D10" s="146"/>
      <c r="E10" s="160">
        <v>6</v>
      </c>
      <c r="F10" s="195"/>
      <c r="G10" s="150">
        <v>44126</v>
      </c>
      <c r="H10" s="150">
        <v>60260</v>
      </c>
      <c r="I10" s="150">
        <v>-5300</v>
      </c>
      <c r="J10" s="150">
        <v>25170</v>
      </c>
      <c r="K10" s="150">
        <v>-100</v>
      </c>
      <c r="L10" s="150">
        <v>15016</v>
      </c>
      <c r="M10" s="177"/>
      <c r="N10" s="174">
        <f t="shared" si="0"/>
        <v>139172</v>
      </c>
      <c r="O10" s="152">
        <f t="shared" si="1"/>
        <v>0.23195333333333329</v>
      </c>
      <c r="Q10" s="137"/>
      <c r="R10" s="137"/>
    </row>
    <row r="11" spans="1:23" x14ac:dyDescent="0.25">
      <c r="A11" s="146" t="s">
        <v>42</v>
      </c>
      <c r="B11" s="144" t="s">
        <v>235</v>
      </c>
      <c r="C11" s="144" t="s">
        <v>86</v>
      </c>
      <c r="D11" s="146" t="s">
        <v>108</v>
      </c>
      <c r="E11" s="160">
        <v>1</v>
      </c>
      <c r="F11" s="195"/>
      <c r="G11" s="150">
        <v>-1254</v>
      </c>
      <c r="H11" s="150">
        <v>467</v>
      </c>
      <c r="I11" s="150">
        <v>-100</v>
      </c>
      <c r="J11" s="150">
        <v>100</v>
      </c>
      <c r="K11" s="150">
        <v>0</v>
      </c>
      <c r="L11" s="150">
        <v>-1533</v>
      </c>
      <c r="M11" s="177"/>
      <c r="N11" s="174">
        <f t="shared" si="0"/>
        <v>-2320</v>
      </c>
      <c r="O11" s="152">
        <f t="shared" si="1"/>
        <v>-2.3199999999999998E-2</v>
      </c>
      <c r="Q11" s="137"/>
      <c r="R11" s="137"/>
    </row>
    <row r="12" spans="1:23" x14ac:dyDescent="0.25">
      <c r="A12" s="145" t="s">
        <v>216</v>
      </c>
      <c r="B12" s="144" t="s">
        <v>235</v>
      </c>
      <c r="C12" s="145" t="s">
        <v>12</v>
      </c>
      <c r="D12" s="145" t="s">
        <v>39</v>
      </c>
      <c r="E12" s="159">
        <v>1</v>
      </c>
      <c r="F12" s="197"/>
      <c r="G12" s="150">
        <v>-50911</v>
      </c>
      <c r="H12" s="150">
        <v>-17234</v>
      </c>
      <c r="I12" s="150">
        <v>0</v>
      </c>
      <c r="J12" s="150">
        <v>-76944</v>
      </c>
      <c r="K12" s="150">
        <v>0</v>
      </c>
      <c r="L12" s="150">
        <v>-12534</v>
      </c>
      <c r="M12" s="177"/>
      <c r="N12" s="174">
        <f t="shared" si="0"/>
        <v>-157623</v>
      </c>
      <c r="O12" s="152">
        <f t="shared" si="1"/>
        <v>-1.57623</v>
      </c>
      <c r="Q12" s="137"/>
      <c r="R12" s="137"/>
    </row>
    <row r="13" spans="1:23" x14ac:dyDescent="0.25">
      <c r="A13" s="145" t="s">
        <v>44</v>
      </c>
      <c r="B13" s="144" t="s">
        <v>174</v>
      </c>
      <c r="C13" s="145" t="s">
        <v>175</v>
      </c>
      <c r="D13" s="145" t="s">
        <v>39</v>
      </c>
      <c r="E13" s="159">
        <v>1</v>
      </c>
      <c r="F13" s="197"/>
      <c r="G13" s="150">
        <v>-4875</v>
      </c>
      <c r="H13" s="150">
        <v>-57778</v>
      </c>
      <c r="I13" s="150">
        <v>0</v>
      </c>
      <c r="J13" s="150">
        <v>-8984</v>
      </c>
      <c r="K13" s="150">
        <v>0</v>
      </c>
      <c r="L13" s="150">
        <v>0</v>
      </c>
      <c r="M13" s="177"/>
      <c r="N13" s="174">
        <f t="shared" si="0"/>
        <v>-71637</v>
      </c>
      <c r="O13" s="152">
        <f t="shared" si="1"/>
        <v>-0.71636999999999995</v>
      </c>
      <c r="Q13" s="137"/>
      <c r="R13" s="196">
        <f>R6-R8</f>
        <v>85825.648449999993</v>
      </c>
    </row>
    <row r="14" spans="1:23" x14ac:dyDescent="0.25">
      <c r="A14" s="145" t="s">
        <v>51</v>
      </c>
      <c r="B14" s="144" t="s">
        <v>56</v>
      </c>
      <c r="C14" s="144" t="s">
        <v>230</v>
      </c>
      <c r="D14" s="145" t="s">
        <v>39</v>
      </c>
      <c r="E14" s="159">
        <v>1</v>
      </c>
      <c r="F14" s="193"/>
      <c r="G14" s="150">
        <v>0</v>
      </c>
      <c r="H14" s="150">
        <v>0</v>
      </c>
      <c r="I14" s="150">
        <v>0</v>
      </c>
      <c r="J14" s="150">
        <v>0</v>
      </c>
      <c r="K14" s="150">
        <v>0</v>
      </c>
      <c r="L14" s="150">
        <v>0</v>
      </c>
      <c r="M14" s="177"/>
      <c r="N14" s="174">
        <f t="shared" si="0"/>
        <v>0</v>
      </c>
      <c r="O14" s="152">
        <f t="shared" si="1"/>
        <v>0</v>
      </c>
      <c r="Q14" s="137"/>
      <c r="R14" s="137"/>
    </row>
    <row r="15" spans="1:23" x14ac:dyDescent="0.25">
      <c r="A15" s="145" t="s">
        <v>63</v>
      </c>
      <c r="B15" s="144" t="s">
        <v>116</v>
      </c>
      <c r="C15" s="144" t="s">
        <v>229</v>
      </c>
      <c r="D15" s="145" t="s">
        <v>39</v>
      </c>
      <c r="E15" s="159">
        <v>1</v>
      </c>
      <c r="F15" s="193"/>
      <c r="G15" s="150">
        <v>0</v>
      </c>
      <c r="H15" s="150">
        <v>0</v>
      </c>
      <c r="I15" s="150">
        <v>0</v>
      </c>
      <c r="J15" s="150">
        <v>0</v>
      </c>
      <c r="K15" s="150">
        <v>0</v>
      </c>
      <c r="L15" s="150">
        <v>0</v>
      </c>
      <c r="M15" s="177"/>
      <c r="N15" s="174">
        <f t="shared" si="0"/>
        <v>0</v>
      </c>
      <c r="O15" s="152">
        <f t="shared" si="1"/>
        <v>0</v>
      </c>
    </row>
    <row r="16" spans="1:23" x14ac:dyDescent="0.25">
      <c r="A16" s="145" t="s">
        <v>43</v>
      </c>
      <c r="B16" s="144" t="s">
        <v>85</v>
      </c>
      <c r="C16" s="144" t="s">
        <v>86</v>
      </c>
      <c r="D16" s="145" t="s">
        <v>108</v>
      </c>
      <c r="E16" s="160">
        <v>1</v>
      </c>
      <c r="F16" s="193"/>
      <c r="G16" s="150">
        <v>-13796</v>
      </c>
      <c r="H16" s="150">
        <v>16490</v>
      </c>
      <c r="I16" s="150">
        <v>-11009</v>
      </c>
      <c r="J16" s="150">
        <v>4924</v>
      </c>
      <c r="K16" s="150">
        <v>-1147</v>
      </c>
      <c r="L16" s="150">
        <v>-24442</v>
      </c>
      <c r="M16" s="177"/>
      <c r="N16" s="174">
        <f t="shared" si="0"/>
        <v>-28980</v>
      </c>
      <c r="O16" s="152">
        <f t="shared" si="1"/>
        <v>-0.2898</v>
      </c>
    </row>
    <row r="17" spans="1:24" x14ac:dyDescent="0.25">
      <c r="A17" s="145" t="s">
        <v>110</v>
      </c>
      <c r="B17" s="144" t="s">
        <v>85</v>
      </c>
      <c r="C17" s="144" t="s">
        <v>211</v>
      </c>
      <c r="D17" s="145"/>
      <c r="E17" s="160">
        <v>1</v>
      </c>
      <c r="F17" s="193"/>
      <c r="G17" s="150">
        <v>0</v>
      </c>
      <c r="H17" s="150">
        <v>-7000</v>
      </c>
      <c r="I17" s="150">
        <v>0</v>
      </c>
      <c r="J17" s="150">
        <v>-3000</v>
      </c>
      <c r="K17" s="150">
        <v>0</v>
      </c>
      <c r="L17" s="150">
        <v>0</v>
      </c>
      <c r="M17" s="177"/>
      <c r="N17" s="174">
        <f t="shared" si="0"/>
        <v>-10000</v>
      </c>
      <c r="O17" s="152">
        <f t="shared" si="1"/>
        <v>-0.1</v>
      </c>
    </row>
    <row r="18" spans="1:24" x14ac:dyDescent="0.25">
      <c r="A18" s="145" t="s">
        <v>95</v>
      </c>
      <c r="B18" s="144" t="s">
        <v>56</v>
      </c>
      <c r="C18" s="144" t="s">
        <v>8</v>
      </c>
      <c r="D18" s="145" t="s">
        <v>39</v>
      </c>
      <c r="E18" s="160">
        <v>1</v>
      </c>
      <c r="F18" s="193"/>
      <c r="G18" s="150">
        <v>0</v>
      </c>
      <c r="H18" s="150">
        <v>0</v>
      </c>
      <c r="I18" s="150">
        <v>0</v>
      </c>
      <c r="J18" s="150">
        <v>0</v>
      </c>
      <c r="K18" s="150">
        <v>-1300</v>
      </c>
      <c r="L18" s="150">
        <v>-100</v>
      </c>
      <c r="M18" s="177"/>
      <c r="N18" s="174">
        <f t="shared" si="0"/>
        <v>-1400</v>
      </c>
      <c r="O18" s="152">
        <f t="shared" si="1"/>
        <v>-1.4E-2</v>
      </c>
    </row>
    <row r="19" spans="1:24" x14ac:dyDescent="0.25">
      <c r="A19" s="145" t="s">
        <v>24</v>
      </c>
      <c r="B19" s="144" t="s">
        <v>74</v>
      </c>
      <c r="C19" s="144" t="s">
        <v>58</v>
      </c>
      <c r="D19" s="145" t="s">
        <v>20</v>
      </c>
      <c r="E19" s="159">
        <v>2.5</v>
      </c>
      <c r="F19" s="193"/>
      <c r="G19" s="150">
        <v>-1029</v>
      </c>
      <c r="H19" s="150">
        <v>-40083</v>
      </c>
      <c r="I19" s="150">
        <v>0</v>
      </c>
      <c r="J19" s="150">
        <v>-112512</v>
      </c>
      <c r="K19" s="150">
        <v>0</v>
      </c>
      <c r="L19" s="150">
        <v>0</v>
      </c>
      <c r="M19" s="177"/>
      <c r="N19" s="174">
        <f t="shared" si="0"/>
        <v>-153624</v>
      </c>
      <c r="O19" s="152">
        <f t="shared" si="1"/>
        <v>-0.61449600000000004</v>
      </c>
    </row>
    <row r="20" spans="1:24" x14ac:dyDescent="0.25">
      <c r="A20" s="145" t="s">
        <v>23</v>
      </c>
      <c r="B20" s="144" t="s">
        <v>75</v>
      </c>
      <c r="C20" s="144" t="s">
        <v>59</v>
      </c>
      <c r="D20" s="145" t="s">
        <v>3</v>
      </c>
      <c r="E20" s="159">
        <v>4</v>
      </c>
      <c r="F20" s="193"/>
      <c r="G20" s="150">
        <v>333357</v>
      </c>
      <c r="H20" s="150">
        <v>51478</v>
      </c>
      <c r="I20" s="150">
        <v>0</v>
      </c>
      <c r="J20" s="150">
        <v>-115563</v>
      </c>
      <c r="K20" s="150">
        <v>0</v>
      </c>
      <c r="L20" s="150">
        <v>0</v>
      </c>
      <c r="M20" s="177"/>
      <c r="N20" s="174">
        <f t="shared" si="0"/>
        <v>269272</v>
      </c>
      <c r="O20" s="152">
        <f t="shared" si="1"/>
        <v>0.67318</v>
      </c>
    </row>
    <row r="21" spans="1:24" x14ac:dyDescent="0.25">
      <c r="A21" s="145" t="s">
        <v>112</v>
      </c>
      <c r="B21" s="144" t="s">
        <v>113</v>
      </c>
      <c r="C21" s="144" t="s">
        <v>111</v>
      </c>
      <c r="D21" s="145" t="s">
        <v>154</v>
      </c>
      <c r="E21" s="159">
        <v>1.1000000000000001</v>
      </c>
      <c r="F21" s="193"/>
      <c r="G21" s="150">
        <v>0</v>
      </c>
      <c r="H21" s="150">
        <v>-1737</v>
      </c>
      <c r="I21" s="150">
        <v>-23567</v>
      </c>
      <c r="J21" s="150">
        <v>0</v>
      </c>
      <c r="K21" s="150">
        <v>0</v>
      </c>
      <c r="L21" s="150">
        <v>21010</v>
      </c>
      <c r="M21" s="177"/>
      <c r="N21" s="174">
        <f t="shared" si="0"/>
        <v>-4294</v>
      </c>
      <c r="O21" s="152">
        <f t="shared" si="1"/>
        <v>-3.9036363636363633E-2</v>
      </c>
    </row>
    <row r="22" spans="1:24" x14ac:dyDescent="0.25">
      <c r="A22" s="145" t="s">
        <v>150</v>
      </c>
      <c r="B22" s="144" t="s">
        <v>113</v>
      </c>
      <c r="C22" s="144" t="s">
        <v>130</v>
      </c>
      <c r="D22" s="145" t="s">
        <v>154</v>
      </c>
      <c r="E22" s="159">
        <v>0.25</v>
      </c>
      <c r="F22" s="193"/>
      <c r="G22" s="150">
        <v>0</v>
      </c>
      <c r="H22" s="150">
        <v>0</v>
      </c>
      <c r="I22" s="150">
        <v>0</v>
      </c>
      <c r="J22" s="150">
        <v>0</v>
      </c>
      <c r="K22" s="150">
        <v>0</v>
      </c>
      <c r="L22" s="150">
        <v>0</v>
      </c>
      <c r="M22" s="177"/>
      <c r="N22" s="174">
        <f t="shared" si="0"/>
        <v>0</v>
      </c>
      <c r="O22" s="152">
        <f t="shared" si="1"/>
        <v>0</v>
      </c>
    </row>
    <row r="23" spans="1:24" x14ac:dyDescent="0.25">
      <c r="A23" s="145" t="s">
        <v>168</v>
      </c>
      <c r="B23" s="144" t="s">
        <v>167</v>
      </c>
      <c r="C23" s="144" t="s">
        <v>228</v>
      </c>
      <c r="D23" s="145" t="s">
        <v>154</v>
      </c>
      <c r="E23" s="159">
        <v>1.5</v>
      </c>
      <c r="F23" s="193"/>
      <c r="G23" s="150">
        <v>-4000</v>
      </c>
      <c r="H23" s="150">
        <v>-128678</v>
      </c>
      <c r="I23" s="150">
        <v>-57812</v>
      </c>
      <c r="J23" s="150">
        <v>-60800</v>
      </c>
      <c r="K23" s="150">
        <v>-139000</v>
      </c>
      <c r="L23" s="150">
        <v>-143050</v>
      </c>
      <c r="M23" s="177"/>
      <c r="N23" s="174">
        <f t="shared" si="0"/>
        <v>-533340</v>
      </c>
      <c r="O23" s="152">
        <f t="shared" si="1"/>
        <v>-3.5556000000000001</v>
      </c>
    </row>
    <row r="24" spans="1:24" x14ac:dyDescent="0.25">
      <c r="A24" s="145" t="s">
        <v>32</v>
      </c>
      <c r="B24" s="144" t="s">
        <v>64</v>
      </c>
      <c r="C24" s="145" t="s">
        <v>21</v>
      </c>
      <c r="D24" s="145" t="s">
        <v>40</v>
      </c>
      <c r="E24" s="159">
        <v>1.1000000000000001</v>
      </c>
      <c r="F24" s="194"/>
      <c r="G24" s="150">
        <v>20574</v>
      </c>
      <c r="H24" s="150">
        <v>-80874</v>
      </c>
      <c r="I24" s="150">
        <v>-25113</v>
      </c>
      <c r="J24" s="150">
        <v>4606</v>
      </c>
      <c r="K24" s="150">
        <v>5000</v>
      </c>
      <c r="L24" s="150">
        <v>85825</v>
      </c>
      <c r="M24" s="177"/>
      <c r="N24" s="174">
        <f t="shared" si="0"/>
        <v>10018</v>
      </c>
      <c r="O24" s="152">
        <f t="shared" si="1"/>
        <v>9.1072727272727264E-2</v>
      </c>
    </row>
    <row r="25" spans="1:24" x14ac:dyDescent="0.25">
      <c r="A25" s="145" t="s">
        <v>98</v>
      </c>
      <c r="B25" s="144" t="s">
        <v>69</v>
      </c>
      <c r="C25" s="144" t="s">
        <v>210</v>
      </c>
      <c r="D25" s="145" t="s">
        <v>144</v>
      </c>
      <c r="E25" s="159">
        <v>2.2999999999999998</v>
      </c>
      <c r="F25" s="194"/>
      <c r="G25" s="150">
        <v>-315552</v>
      </c>
      <c r="H25" s="150">
        <v>246166</v>
      </c>
      <c r="I25" s="150">
        <v>-193000</v>
      </c>
      <c r="J25" s="150">
        <v>54945</v>
      </c>
      <c r="K25" s="150">
        <v>-5400</v>
      </c>
      <c r="L25" s="150">
        <v>-510143</v>
      </c>
      <c r="M25" s="177"/>
      <c r="N25" s="174">
        <f t="shared" si="0"/>
        <v>-722984</v>
      </c>
      <c r="O25" s="152">
        <f t="shared" si="1"/>
        <v>-3.1434086956521741</v>
      </c>
    </row>
    <row r="26" spans="1:24" x14ac:dyDescent="0.25">
      <c r="A26" s="145" t="s">
        <v>29</v>
      </c>
      <c r="B26" s="144" t="s">
        <v>22</v>
      </c>
      <c r="C26" s="144" t="s">
        <v>153</v>
      </c>
      <c r="D26" s="145" t="s">
        <v>5</v>
      </c>
      <c r="E26" s="159">
        <v>5</v>
      </c>
      <c r="F26" s="194"/>
      <c r="G26" s="150">
        <v>442350</v>
      </c>
      <c r="H26" s="150">
        <v>-186620</v>
      </c>
      <c r="I26" s="150">
        <v>0</v>
      </c>
      <c r="J26" s="150">
        <v>-386182</v>
      </c>
      <c r="K26" s="150">
        <v>0</v>
      </c>
      <c r="L26" s="150">
        <v>0</v>
      </c>
      <c r="M26" s="177"/>
      <c r="N26" s="174">
        <f t="shared" si="0"/>
        <v>-130452</v>
      </c>
      <c r="O26" s="152">
        <f t="shared" si="1"/>
        <v>-0.26090400000000002</v>
      </c>
      <c r="R26" s="136">
        <v>0</v>
      </c>
    </row>
    <row r="27" spans="1:24" x14ac:dyDescent="0.25">
      <c r="A27" s="145" t="s">
        <v>28</v>
      </c>
      <c r="B27" s="144" t="s">
        <v>157</v>
      </c>
      <c r="C27" s="144" t="s">
        <v>123</v>
      </c>
      <c r="D27" s="145" t="s">
        <v>92</v>
      </c>
      <c r="E27" s="159">
        <v>10</v>
      </c>
      <c r="F27" s="194"/>
      <c r="G27" s="150">
        <v>0</v>
      </c>
      <c r="H27" s="150">
        <v>-478657</v>
      </c>
      <c r="I27" s="150">
        <v>-391829</v>
      </c>
      <c r="J27" s="150">
        <v>748430</v>
      </c>
      <c r="K27" s="150">
        <v>0</v>
      </c>
      <c r="L27" s="150">
        <v>0</v>
      </c>
      <c r="M27" s="177"/>
      <c r="N27" s="174">
        <f t="shared" si="0"/>
        <v>-122056</v>
      </c>
      <c r="O27" s="152">
        <f t="shared" si="1"/>
        <v>-0.122056</v>
      </c>
      <c r="R27" s="136">
        <v>-271660</v>
      </c>
      <c r="U27" s="136">
        <v>90975</v>
      </c>
      <c r="X27" s="136">
        <v>-38200</v>
      </c>
    </row>
    <row r="28" spans="1:24" x14ac:dyDescent="0.25">
      <c r="A28" s="145" t="s">
        <v>194</v>
      </c>
      <c r="B28" s="144" t="s">
        <v>187</v>
      </c>
      <c r="C28" s="144" t="s">
        <v>188</v>
      </c>
      <c r="D28" s="145" t="s">
        <v>92</v>
      </c>
      <c r="E28" s="159">
        <v>13</v>
      </c>
      <c r="F28" s="193"/>
      <c r="G28" s="150">
        <v>0</v>
      </c>
      <c r="H28" s="150">
        <v>-588487</v>
      </c>
      <c r="I28" s="150">
        <v>-490788</v>
      </c>
      <c r="J28" s="150">
        <v>962063</v>
      </c>
      <c r="K28" s="150">
        <v>0</v>
      </c>
      <c r="L28" s="150">
        <v>0</v>
      </c>
      <c r="M28" s="177"/>
      <c r="N28" s="174">
        <f t="shared" si="0"/>
        <v>-117212</v>
      </c>
      <c r="O28" s="152">
        <f t="shared" si="1"/>
        <v>-9.0163076923076915E-2</v>
      </c>
      <c r="R28" s="136">
        <v>-114522</v>
      </c>
      <c r="U28" s="136">
        <v>-31616</v>
      </c>
      <c r="X28" s="136">
        <v>11900</v>
      </c>
    </row>
    <row r="29" spans="1:24" x14ac:dyDescent="0.25">
      <c r="A29" s="145" t="s">
        <v>198</v>
      </c>
      <c r="B29" s="144" t="s">
        <v>181</v>
      </c>
      <c r="C29" s="144" t="s">
        <v>183</v>
      </c>
      <c r="D29" s="145" t="s">
        <v>92</v>
      </c>
      <c r="E29" s="159">
        <v>6</v>
      </c>
      <c r="F29" s="193"/>
      <c r="G29" s="150">
        <v>0</v>
      </c>
      <c r="H29" s="150">
        <v>-251337</v>
      </c>
      <c r="I29" s="150">
        <v>-217850</v>
      </c>
      <c r="J29" s="150">
        <v>428542</v>
      </c>
      <c r="K29" s="150">
        <v>0</v>
      </c>
      <c r="L29" s="150">
        <v>0</v>
      </c>
      <c r="M29" s="177"/>
      <c r="N29" s="174">
        <f t="shared" si="0"/>
        <v>-40645</v>
      </c>
      <c r="O29" s="152">
        <f t="shared" si="1"/>
        <v>-6.7741666666666672E-2</v>
      </c>
    </row>
    <row r="30" spans="1:24" x14ac:dyDescent="0.25">
      <c r="A30" s="145" t="s">
        <v>149</v>
      </c>
      <c r="B30" s="144" t="s">
        <v>148</v>
      </c>
      <c r="C30" s="144" t="s">
        <v>142</v>
      </c>
      <c r="D30" s="145" t="s">
        <v>92</v>
      </c>
      <c r="E30" s="159">
        <v>1.5</v>
      </c>
      <c r="F30" s="193"/>
      <c r="G30" s="150">
        <v>0</v>
      </c>
      <c r="H30" s="150">
        <v>-62514</v>
      </c>
      <c r="I30" s="150">
        <v>-54153</v>
      </c>
      <c r="J30" s="150">
        <v>107287</v>
      </c>
      <c r="K30" s="150">
        <v>0</v>
      </c>
      <c r="L30" s="150">
        <v>0</v>
      </c>
      <c r="M30" s="177"/>
      <c r="N30" s="174">
        <f t="shared" si="0"/>
        <v>-9380</v>
      </c>
      <c r="O30" s="152">
        <f t="shared" si="1"/>
        <v>-6.253333333333333E-2</v>
      </c>
      <c r="R30" s="136">
        <f>SUM(R25:R28)</f>
        <v>-386182</v>
      </c>
      <c r="U30" s="136">
        <f>SUM(U27:U28)</f>
        <v>59359</v>
      </c>
    </row>
    <row r="31" spans="1:24" x14ac:dyDescent="0.25">
      <c r="A31" s="166" t="s">
        <v>209</v>
      </c>
      <c r="B31" s="144" t="s">
        <v>207</v>
      </c>
      <c r="C31" s="144" t="s">
        <v>208</v>
      </c>
      <c r="D31" s="145" t="s">
        <v>92</v>
      </c>
      <c r="E31" s="167">
        <v>1.25</v>
      </c>
      <c r="F31" s="198"/>
      <c r="G31" s="154">
        <v>0</v>
      </c>
      <c r="H31" s="154">
        <v>-62800</v>
      </c>
      <c r="I31" s="154">
        <v>-54600</v>
      </c>
      <c r="J31" s="154">
        <v>106624</v>
      </c>
      <c r="K31" s="154">
        <v>0</v>
      </c>
      <c r="L31" s="154">
        <v>0</v>
      </c>
      <c r="M31" s="178"/>
      <c r="N31" s="174">
        <f t="shared" si="0"/>
        <v>-10776</v>
      </c>
      <c r="O31" s="152">
        <f t="shared" si="1"/>
        <v>-8.6207999999999993E-2</v>
      </c>
    </row>
    <row r="32" spans="1:24" x14ac:dyDescent="0.25">
      <c r="A32" s="62" t="s">
        <v>1</v>
      </c>
      <c r="B32" s="62" t="s">
        <v>115</v>
      </c>
      <c r="C32" s="62" t="s">
        <v>250</v>
      </c>
      <c r="D32" s="144" t="s">
        <v>93</v>
      </c>
      <c r="E32" s="115">
        <v>1.5</v>
      </c>
      <c r="F32" s="199"/>
      <c r="G32" s="154">
        <v>0</v>
      </c>
      <c r="H32" s="154">
        <v>-62800</v>
      </c>
      <c r="I32" s="154">
        <v>-54147</v>
      </c>
      <c r="J32" s="154">
        <v>107300</v>
      </c>
      <c r="K32" s="154">
        <v>0</v>
      </c>
      <c r="L32" s="154">
        <v>0</v>
      </c>
      <c r="M32" s="178"/>
      <c r="N32" s="174">
        <f t="shared" si="0"/>
        <v>-9647</v>
      </c>
      <c r="O32" s="152">
        <f t="shared" si="1"/>
        <v>-6.431333333333332E-2</v>
      </c>
    </row>
    <row r="33" spans="1:18" x14ac:dyDescent="0.25">
      <c r="A33" s="145" t="s">
        <v>66</v>
      </c>
      <c r="B33" s="144" t="s">
        <v>65</v>
      </c>
      <c r="C33" s="144" t="s">
        <v>7</v>
      </c>
      <c r="D33" s="145" t="s">
        <v>154</v>
      </c>
      <c r="E33" s="159">
        <v>5</v>
      </c>
      <c r="F33" s="193"/>
      <c r="G33" s="150">
        <v>0</v>
      </c>
      <c r="H33" s="150">
        <v>-293586</v>
      </c>
      <c r="I33" s="150">
        <v>0</v>
      </c>
      <c r="J33" s="150">
        <v>321750</v>
      </c>
      <c r="K33" s="150">
        <v>0</v>
      </c>
      <c r="L33" s="150">
        <v>0</v>
      </c>
      <c r="M33" s="177"/>
      <c r="N33" s="174">
        <f t="shared" si="0"/>
        <v>28164</v>
      </c>
      <c r="O33" s="152">
        <f t="shared" si="1"/>
        <v>5.6328000000000003E-2</v>
      </c>
    </row>
    <row r="34" spans="1:18" x14ac:dyDescent="0.25">
      <c r="A34" s="144" t="s">
        <v>34</v>
      </c>
      <c r="B34" s="146" t="s">
        <v>18</v>
      </c>
      <c r="C34" s="144" t="s">
        <v>10</v>
      </c>
      <c r="D34" s="145" t="s">
        <v>154</v>
      </c>
      <c r="E34" s="119">
        <v>5</v>
      </c>
      <c r="F34" s="200"/>
      <c r="G34" s="150">
        <v>42140</v>
      </c>
      <c r="H34" s="150">
        <v>12000</v>
      </c>
      <c r="I34" s="150">
        <v>-68812</v>
      </c>
      <c r="J34" s="150">
        <v>-102587</v>
      </c>
      <c r="K34" s="150">
        <v>-95000</v>
      </c>
      <c r="L34" s="150">
        <v>-95521</v>
      </c>
      <c r="M34" s="177"/>
      <c r="N34" s="174">
        <f t="shared" si="0"/>
        <v>-307780</v>
      </c>
      <c r="O34" s="152">
        <f t="shared" si="1"/>
        <v>-0.61556</v>
      </c>
      <c r="R34" s="137"/>
    </row>
    <row r="35" spans="1:18" x14ac:dyDescent="0.25">
      <c r="A35" s="144" t="s">
        <v>133</v>
      </c>
      <c r="B35" s="146" t="s">
        <v>132</v>
      </c>
      <c r="C35" s="144" t="s">
        <v>16</v>
      </c>
      <c r="D35" s="145" t="s">
        <v>118</v>
      </c>
      <c r="E35" s="119">
        <v>0.5</v>
      </c>
      <c r="F35" s="200"/>
      <c r="G35" s="150">
        <v>35181</v>
      </c>
      <c r="H35" s="150">
        <v>51000</v>
      </c>
      <c r="I35" s="150">
        <v>61685</v>
      </c>
      <c r="J35" s="150">
        <v>-72371</v>
      </c>
      <c r="K35" s="150">
        <v>-49500</v>
      </c>
      <c r="L35" s="150">
        <v>-14559</v>
      </c>
      <c r="M35" s="177"/>
      <c r="N35" s="174">
        <f t="shared" ref="N35:N55" si="2">SUM(G35:M35)</f>
        <v>11436</v>
      </c>
      <c r="O35" s="152">
        <f t="shared" ref="O35:O55" si="3">IFERROR(N35/E35*100,0)/10000000</f>
        <v>0.22872000000000001</v>
      </c>
      <c r="Q35" s="5"/>
      <c r="R35" s="137">
        <v>-93177</v>
      </c>
    </row>
    <row r="36" spans="1:18" x14ac:dyDescent="0.25">
      <c r="A36" s="43" t="s">
        <v>68</v>
      </c>
      <c r="B36" s="144" t="s">
        <v>156</v>
      </c>
      <c r="C36" s="144" t="s">
        <v>60</v>
      </c>
      <c r="D36" s="145" t="s">
        <v>4</v>
      </c>
      <c r="E36" s="159">
        <v>0.4</v>
      </c>
      <c r="F36" s="194"/>
      <c r="G36" s="150">
        <v>-4548</v>
      </c>
      <c r="H36" s="150">
        <v>10699</v>
      </c>
      <c r="I36" s="150">
        <v>1176</v>
      </c>
      <c r="J36" s="150">
        <v>-5544</v>
      </c>
      <c r="K36" s="150">
        <v>-9000</v>
      </c>
      <c r="L36" s="150">
        <v>6760</v>
      </c>
      <c r="M36" s="177"/>
      <c r="N36" s="174">
        <f t="shared" si="2"/>
        <v>-457</v>
      </c>
      <c r="O36" s="152">
        <f t="shared" si="3"/>
        <v>-1.1424999999999999E-2</v>
      </c>
      <c r="Q36" s="5"/>
      <c r="R36" s="137"/>
    </row>
    <row r="37" spans="1:18" x14ac:dyDescent="0.25">
      <c r="A37" s="43" t="s">
        <v>145</v>
      </c>
      <c r="B37" s="144" t="s">
        <v>19</v>
      </c>
      <c r="C37" s="145" t="s">
        <v>143</v>
      </c>
      <c r="D37" s="145" t="s">
        <v>144</v>
      </c>
      <c r="E37" s="159">
        <v>0.5</v>
      </c>
      <c r="F37" s="194"/>
      <c r="G37" s="150">
        <v>109000</v>
      </c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77"/>
      <c r="N37" s="174">
        <f t="shared" si="2"/>
        <v>109000</v>
      </c>
      <c r="O37" s="152">
        <f t="shared" si="3"/>
        <v>2.1800000000000002</v>
      </c>
      <c r="Q37" s="137">
        <v>911998</v>
      </c>
      <c r="R37" s="137">
        <f>(Q38+Q37)/10000000*13780</f>
        <v>2344.5402240000003</v>
      </c>
    </row>
    <row r="38" spans="1:18" x14ac:dyDescent="0.25">
      <c r="A38" s="43" t="s">
        <v>146</v>
      </c>
      <c r="B38" s="144" t="s">
        <v>19</v>
      </c>
      <c r="C38" s="145" t="s">
        <v>143</v>
      </c>
      <c r="D38" s="145" t="s">
        <v>212</v>
      </c>
      <c r="E38" s="159">
        <v>0.5</v>
      </c>
      <c r="F38" s="194"/>
      <c r="G38" s="150">
        <v>18000</v>
      </c>
      <c r="H38" s="150">
        <v>0</v>
      </c>
      <c r="I38" s="150">
        <v>-112551</v>
      </c>
      <c r="J38" s="150">
        <v>0</v>
      </c>
      <c r="K38" s="150">
        <v>-40000</v>
      </c>
      <c r="L38" s="150">
        <v>0</v>
      </c>
      <c r="M38" s="177"/>
      <c r="N38" s="174">
        <f t="shared" si="2"/>
        <v>-134551</v>
      </c>
      <c r="O38" s="152">
        <f t="shared" si="3"/>
        <v>-2.69102</v>
      </c>
      <c r="Q38" s="137">
        <v>789410</v>
      </c>
      <c r="R38" s="137"/>
    </row>
    <row r="39" spans="1:18" x14ac:dyDescent="0.25">
      <c r="A39" s="145" t="s">
        <v>31</v>
      </c>
      <c r="B39" s="146" t="s">
        <v>155</v>
      </c>
      <c r="C39" s="145" t="s">
        <v>227</v>
      </c>
      <c r="D39" s="145" t="s">
        <v>102</v>
      </c>
      <c r="E39" s="159">
        <v>4</v>
      </c>
      <c r="F39" s="194"/>
      <c r="G39" s="150">
        <v>74000</v>
      </c>
      <c r="H39" s="150">
        <v>-40945</v>
      </c>
      <c r="I39" s="150">
        <v>-51323</v>
      </c>
      <c r="J39" s="150">
        <v>-11818</v>
      </c>
      <c r="K39" s="150">
        <v>-191000</v>
      </c>
      <c r="L39" s="150">
        <v>-50300</v>
      </c>
      <c r="M39" s="177"/>
      <c r="N39" s="174">
        <f t="shared" si="2"/>
        <v>-271386</v>
      </c>
      <c r="O39" s="152">
        <f t="shared" si="3"/>
        <v>-0.67846499999999998</v>
      </c>
      <c r="Q39" s="137"/>
      <c r="R39" s="137"/>
    </row>
    <row r="40" spans="1:18" x14ac:dyDescent="0.25">
      <c r="A40" s="145" t="s">
        <v>106</v>
      </c>
      <c r="B40" s="146" t="s">
        <v>107</v>
      </c>
      <c r="C40" s="145" t="s">
        <v>158</v>
      </c>
      <c r="D40" s="145" t="s">
        <v>108</v>
      </c>
      <c r="E40" s="159">
        <v>1</v>
      </c>
      <c r="F40" s="194"/>
      <c r="G40" s="150">
        <v>-49851</v>
      </c>
      <c r="H40" s="150">
        <v>37658</v>
      </c>
      <c r="I40" s="150">
        <v>-47501</v>
      </c>
      <c r="J40" s="150">
        <v>14484</v>
      </c>
      <c r="K40" s="150">
        <v>-7520</v>
      </c>
      <c r="L40" s="150">
        <v>-108233</v>
      </c>
      <c r="M40" s="177"/>
      <c r="N40" s="174">
        <f t="shared" si="2"/>
        <v>-160963</v>
      </c>
      <c r="O40" s="152">
        <f t="shared" si="3"/>
        <v>-1.6096299999999999</v>
      </c>
      <c r="Q40" s="137"/>
      <c r="R40" s="137"/>
    </row>
    <row r="41" spans="1:18" x14ac:dyDescent="0.25">
      <c r="A41" s="145" t="s">
        <v>234</v>
      </c>
      <c r="B41" s="146" t="s">
        <v>107</v>
      </c>
      <c r="C41" s="145" t="s">
        <v>222</v>
      </c>
      <c r="D41" s="145" t="s">
        <v>223</v>
      </c>
      <c r="E41" s="159">
        <v>0.5</v>
      </c>
      <c r="F41" s="194"/>
      <c r="G41" s="150">
        <v>12202</v>
      </c>
      <c r="H41" s="150">
        <v>183</v>
      </c>
      <c r="I41" s="150">
        <v>-48870</v>
      </c>
      <c r="J41" s="150">
        <v>8266</v>
      </c>
      <c r="K41" s="150">
        <v>-5900</v>
      </c>
      <c r="L41" s="150">
        <v>1933</v>
      </c>
      <c r="M41" s="177"/>
      <c r="N41" s="174">
        <f t="shared" si="2"/>
        <v>-32186</v>
      </c>
      <c r="O41" s="152">
        <f t="shared" si="3"/>
        <v>-0.64371999999999996</v>
      </c>
      <c r="Q41" s="137"/>
      <c r="R41" s="196">
        <f>R35-R37</f>
        <v>-95521.540223999997</v>
      </c>
    </row>
    <row r="42" spans="1:18" x14ac:dyDescent="0.25">
      <c r="A42" s="145" t="s">
        <v>52</v>
      </c>
      <c r="B42" s="146" t="s">
        <v>117</v>
      </c>
      <c r="C42" s="145" t="s">
        <v>224</v>
      </c>
      <c r="D42" s="145" t="s">
        <v>118</v>
      </c>
      <c r="E42" s="159">
        <v>3</v>
      </c>
      <c r="F42" s="194"/>
      <c r="G42" s="150">
        <v>45000</v>
      </c>
      <c r="H42" s="150">
        <v>-80684</v>
      </c>
      <c r="I42" s="150">
        <v>-98835</v>
      </c>
      <c r="J42" s="150">
        <v>17155</v>
      </c>
      <c r="K42" s="150">
        <v>8500</v>
      </c>
      <c r="L42" s="150">
        <v>47325</v>
      </c>
      <c r="M42" s="177"/>
      <c r="N42" s="174">
        <f t="shared" si="2"/>
        <v>-61539</v>
      </c>
      <c r="O42" s="152">
        <f t="shared" si="3"/>
        <v>-0.20513000000000001</v>
      </c>
      <c r="Q42" s="137"/>
    </row>
    <row r="43" spans="1:18" x14ac:dyDescent="0.25">
      <c r="A43" s="145" t="s">
        <v>45</v>
      </c>
      <c r="B43" s="146" t="s">
        <v>99</v>
      </c>
      <c r="C43" s="145" t="s">
        <v>225</v>
      </c>
      <c r="D43" s="145" t="s">
        <v>159</v>
      </c>
      <c r="E43" s="159">
        <v>3</v>
      </c>
      <c r="F43" s="194"/>
      <c r="G43" s="150">
        <v>22000</v>
      </c>
      <c r="H43" s="150">
        <v>59000</v>
      </c>
      <c r="I43" s="150">
        <v>-92900</v>
      </c>
      <c r="J43" s="150">
        <v>9000</v>
      </c>
      <c r="K43" s="150">
        <v>-62000</v>
      </c>
      <c r="L43" s="150">
        <v>-9126</v>
      </c>
      <c r="M43" s="177"/>
      <c r="N43" s="174">
        <f t="shared" si="2"/>
        <v>-74026</v>
      </c>
      <c r="O43" s="152">
        <f t="shared" si="3"/>
        <v>-0.2467533333333333</v>
      </c>
    </row>
    <row r="44" spans="1:18" x14ac:dyDescent="0.25">
      <c r="A44" s="145" t="s">
        <v>197</v>
      </c>
      <c r="B44" s="146" t="s">
        <v>189</v>
      </c>
      <c r="C44" s="145" t="s">
        <v>226</v>
      </c>
      <c r="D44" s="145" t="s">
        <v>159</v>
      </c>
      <c r="E44" s="159">
        <v>3</v>
      </c>
      <c r="F44" s="194"/>
      <c r="G44" s="150">
        <v>22000</v>
      </c>
      <c r="H44" s="150">
        <v>59200</v>
      </c>
      <c r="I44" s="150">
        <v>-93900</v>
      </c>
      <c r="J44" s="150">
        <v>9500</v>
      </c>
      <c r="K44" s="150">
        <v>-61500</v>
      </c>
      <c r="L44" s="150">
        <v>-9000</v>
      </c>
      <c r="M44" s="177"/>
      <c r="N44" s="174">
        <f t="shared" si="2"/>
        <v>-73700</v>
      </c>
      <c r="O44" s="152">
        <f t="shared" si="3"/>
        <v>-0.2456666666666667</v>
      </c>
    </row>
    <row r="45" spans="1:18" x14ac:dyDescent="0.25">
      <c r="A45" s="145" t="s">
        <v>134</v>
      </c>
      <c r="B45" s="146" t="s">
        <v>131</v>
      </c>
      <c r="C45" s="145" t="s">
        <v>17</v>
      </c>
      <c r="D45" s="145"/>
      <c r="E45" s="159">
        <v>1.5</v>
      </c>
      <c r="F45" s="194"/>
      <c r="G45" s="150">
        <v>34462</v>
      </c>
      <c r="H45" s="150">
        <v>3690</v>
      </c>
      <c r="I45" s="150">
        <v>-4324</v>
      </c>
      <c r="J45" s="150">
        <v>0</v>
      </c>
      <c r="K45" s="150">
        <v>0</v>
      </c>
      <c r="L45" s="150">
        <v>7511</v>
      </c>
      <c r="M45" s="177"/>
      <c r="N45" s="174">
        <f t="shared" si="2"/>
        <v>41339</v>
      </c>
      <c r="O45" s="152">
        <f t="shared" si="3"/>
        <v>0.2755933333333333</v>
      </c>
    </row>
    <row r="46" spans="1:18" x14ac:dyDescent="0.25">
      <c r="A46" s="145" t="s">
        <v>48</v>
      </c>
      <c r="B46" s="144" t="s">
        <v>96</v>
      </c>
      <c r="C46" s="145" t="s">
        <v>233</v>
      </c>
      <c r="D46" s="145" t="s">
        <v>144</v>
      </c>
      <c r="E46" s="159">
        <v>1</v>
      </c>
      <c r="F46" s="194"/>
      <c r="G46" s="150">
        <v>-68232</v>
      </c>
      <c r="H46" s="150">
        <v>31261</v>
      </c>
      <c r="I46" s="150">
        <v>-64423</v>
      </c>
      <c r="J46" s="150">
        <v>17667</v>
      </c>
      <c r="K46" s="150">
        <v>5432</v>
      </c>
      <c r="L46" s="150">
        <v>-81085</v>
      </c>
      <c r="M46" s="177"/>
      <c r="N46" s="174">
        <f t="shared" si="2"/>
        <v>-159380</v>
      </c>
      <c r="O46" s="152">
        <f t="shared" si="3"/>
        <v>-1.5938000000000001</v>
      </c>
    </row>
    <row r="47" spans="1:18" x14ac:dyDescent="0.25">
      <c r="A47" s="146" t="s">
        <v>171</v>
      </c>
      <c r="B47" s="144" t="s">
        <v>172</v>
      </c>
      <c r="C47" s="59" t="s">
        <v>232</v>
      </c>
      <c r="D47" s="166"/>
      <c r="E47" s="115">
        <v>0.5</v>
      </c>
      <c r="F47" s="194"/>
      <c r="G47" s="150">
        <v>0</v>
      </c>
      <c r="H47" s="150">
        <v>0</v>
      </c>
      <c r="I47" s="150">
        <v>-25000</v>
      </c>
      <c r="J47" s="150">
        <v>-218000</v>
      </c>
      <c r="K47" s="150">
        <v>0</v>
      </c>
      <c r="L47" s="150">
        <v>0</v>
      </c>
      <c r="M47" s="177"/>
      <c r="N47" s="174">
        <f t="shared" si="2"/>
        <v>-243000</v>
      </c>
      <c r="O47" s="152">
        <f t="shared" si="3"/>
        <v>-4.8600000000000003</v>
      </c>
    </row>
    <row r="48" spans="1:18" x14ac:dyDescent="0.25">
      <c r="A48" s="146" t="s">
        <v>205</v>
      </c>
      <c r="B48" s="144" t="s">
        <v>172</v>
      </c>
      <c r="C48" s="59"/>
      <c r="D48" s="166"/>
      <c r="E48" s="115">
        <v>4</v>
      </c>
      <c r="F48" s="194"/>
      <c r="G48" s="150">
        <v>0</v>
      </c>
      <c r="H48" s="150">
        <v>0</v>
      </c>
      <c r="I48" s="150">
        <v>0</v>
      </c>
      <c r="J48" s="150">
        <v>0</v>
      </c>
      <c r="K48" s="150">
        <v>0</v>
      </c>
      <c r="L48" s="150">
        <v>0</v>
      </c>
      <c r="M48" s="177"/>
      <c r="N48" s="174">
        <f t="shared" si="2"/>
        <v>0</v>
      </c>
      <c r="O48" s="152">
        <f t="shared" si="3"/>
        <v>0</v>
      </c>
    </row>
    <row r="49" spans="1:18" x14ac:dyDescent="0.25">
      <c r="A49" s="146" t="s">
        <v>206</v>
      </c>
      <c r="B49" s="144" t="s">
        <v>172</v>
      </c>
      <c r="C49" s="59"/>
      <c r="D49" s="166"/>
      <c r="E49" s="115">
        <v>4</v>
      </c>
      <c r="F49" s="194"/>
      <c r="G49" s="150">
        <v>0</v>
      </c>
      <c r="H49" s="150">
        <v>-128000</v>
      </c>
      <c r="I49" s="150">
        <v>0</v>
      </c>
      <c r="J49" s="150">
        <v>0</v>
      </c>
      <c r="K49" s="150">
        <v>0</v>
      </c>
      <c r="L49" s="150">
        <v>26000</v>
      </c>
      <c r="M49" s="177"/>
      <c r="N49" s="174">
        <f t="shared" si="2"/>
        <v>-102000</v>
      </c>
      <c r="O49" s="152">
        <f t="shared" si="3"/>
        <v>-0.255</v>
      </c>
    </row>
    <row r="50" spans="1:18" x14ac:dyDescent="0.25">
      <c r="A50" s="146" t="s">
        <v>33</v>
      </c>
      <c r="B50" s="144" t="s">
        <v>14</v>
      </c>
      <c r="C50" s="146" t="s">
        <v>13</v>
      </c>
      <c r="D50" s="144" t="s">
        <v>14</v>
      </c>
      <c r="E50" s="119">
        <v>3</v>
      </c>
      <c r="F50" s="200"/>
      <c r="G50" s="150">
        <v>88867</v>
      </c>
      <c r="H50" s="150">
        <v>-221551</v>
      </c>
      <c r="I50" s="150">
        <v>-57212</v>
      </c>
      <c r="J50" s="150">
        <v>-110596</v>
      </c>
      <c r="K50" s="150">
        <v>0</v>
      </c>
      <c r="L50" s="150">
        <v>73055</v>
      </c>
      <c r="M50" s="177"/>
      <c r="N50" s="174">
        <f t="shared" si="2"/>
        <v>-227437</v>
      </c>
      <c r="O50" s="152">
        <f t="shared" si="3"/>
        <v>-0.75812333333333326</v>
      </c>
    </row>
    <row r="51" spans="1:18" x14ac:dyDescent="0.25">
      <c r="A51" s="59" t="s">
        <v>201</v>
      </c>
      <c r="B51" s="62" t="s">
        <v>199</v>
      </c>
      <c r="C51" s="59" t="s">
        <v>200</v>
      </c>
      <c r="D51" s="145" t="s">
        <v>154</v>
      </c>
      <c r="E51" s="115">
        <v>0.5</v>
      </c>
      <c r="F51" s="23"/>
      <c r="G51" s="154">
        <v>-2542</v>
      </c>
      <c r="H51" s="154">
        <v>-10068</v>
      </c>
      <c r="I51" s="154">
        <v>-9618</v>
      </c>
      <c r="J51" s="154">
        <v>1722</v>
      </c>
      <c r="K51" s="154">
        <v>-1800</v>
      </c>
      <c r="L51" s="154">
        <v>-8654</v>
      </c>
      <c r="M51" s="178"/>
      <c r="N51" s="174">
        <f t="shared" si="2"/>
        <v>-30960</v>
      </c>
      <c r="O51" s="152">
        <f t="shared" si="3"/>
        <v>-0.61919999999999997</v>
      </c>
    </row>
    <row r="52" spans="1:18" x14ac:dyDescent="0.25">
      <c r="A52" s="59" t="s">
        <v>217</v>
      </c>
      <c r="B52" s="62" t="s">
        <v>213</v>
      </c>
      <c r="C52" s="59" t="s">
        <v>214</v>
      </c>
      <c r="D52" s="62" t="s">
        <v>213</v>
      </c>
      <c r="E52" s="115">
        <v>4</v>
      </c>
      <c r="F52" s="23"/>
      <c r="G52" s="154">
        <v>0</v>
      </c>
      <c r="H52" s="154">
        <v>-214055</v>
      </c>
      <c r="I52" s="154">
        <v>0</v>
      </c>
      <c r="J52" s="154">
        <v>-94010</v>
      </c>
      <c r="K52" s="154">
        <v>0</v>
      </c>
      <c r="L52" s="154">
        <v>0</v>
      </c>
      <c r="M52" s="178"/>
      <c r="N52" s="174">
        <f t="shared" si="2"/>
        <v>-308065</v>
      </c>
      <c r="O52" s="152">
        <f t="shared" si="3"/>
        <v>-0.77016249999999997</v>
      </c>
    </row>
    <row r="53" spans="1:18" x14ac:dyDescent="0.25">
      <c r="A53" s="59" t="s">
        <v>218</v>
      </c>
      <c r="B53" s="62" t="s">
        <v>213</v>
      </c>
      <c r="C53" s="59" t="s">
        <v>215</v>
      </c>
      <c r="D53" s="62" t="s">
        <v>213</v>
      </c>
      <c r="E53" s="115">
        <v>1</v>
      </c>
      <c r="F53" s="23"/>
      <c r="G53" s="154">
        <v>0</v>
      </c>
      <c r="H53" s="154">
        <v>-98374</v>
      </c>
      <c r="I53" s="154">
        <v>0</v>
      </c>
      <c r="J53" s="154">
        <v>-64659</v>
      </c>
      <c r="K53" s="154">
        <v>0</v>
      </c>
      <c r="L53" s="154">
        <v>0</v>
      </c>
      <c r="M53" s="178"/>
      <c r="N53" s="174">
        <f t="shared" si="2"/>
        <v>-163033</v>
      </c>
      <c r="O53" s="152">
        <f t="shared" si="3"/>
        <v>-1.6303300000000001</v>
      </c>
    </row>
    <row r="54" spans="1:18" x14ac:dyDescent="0.25">
      <c r="A54" s="59" t="s">
        <v>49</v>
      </c>
      <c r="B54" s="59" t="s">
        <v>100</v>
      </c>
      <c r="C54" s="59" t="s">
        <v>101</v>
      </c>
      <c r="D54" s="59" t="s">
        <v>100</v>
      </c>
      <c r="E54" s="115">
        <v>3</v>
      </c>
      <c r="F54" s="23"/>
      <c r="G54" s="154">
        <v>0</v>
      </c>
      <c r="H54" s="154">
        <v>-190529</v>
      </c>
      <c r="I54" s="154">
        <v>0</v>
      </c>
      <c r="J54" s="154">
        <v>-21450</v>
      </c>
      <c r="K54" s="154">
        <v>0</v>
      </c>
      <c r="L54" s="154">
        <v>0</v>
      </c>
      <c r="M54" s="178"/>
      <c r="N54" s="174">
        <f t="shared" si="2"/>
        <v>-211979</v>
      </c>
      <c r="O54" s="152">
        <f t="shared" si="3"/>
        <v>-0.70659666666666665</v>
      </c>
    </row>
    <row r="55" spans="1:18" ht="30" x14ac:dyDescent="0.25">
      <c r="A55" s="59" t="s">
        <v>41</v>
      </c>
      <c r="B55" s="59" t="s">
        <v>87</v>
      </c>
      <c r="C55" s="59" t="s">
        <v>247</v>
      </c>
      <c r="D55" s="59" t="s">
        <v>87</v>
      </c>
      <c r="E55" s="115">
        <v>2.5</v>
      </c>
      <c r="F55" s="23"/>
      <c r="G55" s="154">
        <v>-5500</v>
      </c>
      <c r="H55" s="154">
        <v>500</v>
      </c>
      <c r="I55" s="154">
        <v>12722</v>
      </c>
      <c r="J55" s="154">
        <v>-4800</v>
      </c>
      <c r="K55" s="154">
        <v>0</v>
      </c>
      <c r="L55" s="154">
        <v>10278</v>
      </c>
      <c r="M55" s="178"/>
      <c r="N55" s="174">
        <f t="shared" si="2"/>
        <v>13200</v>
      </c>
      <c r="O55" s="152">
        <f t="shared" si="3"/>
        <v>5.28E-2</v>
      </c>
    </row>
    <row r="56" spans="1:18" ht="15.75" thickBot="1" x14ac:dyDescent="0.3">
      <c r="A56" s="20"/>
      <c r="B56" s="21"/>
      <c r="C56" s="20"/>
      <c r="D56" s="22"/>
      <c r="E56" s="115"/>
      <c r="F56" s="23"/>
      <c r="G56" s="154"/>
      <c r="H56" s="154"/>
      <c r="I56" s="154"/>
      <c r="J56" s="154"/>
      <c r="K56" s="154"/>
      <c r="L56" s="154"/>
      <c r="M56" s="178"/>
      <c r="N56" s="174"/>
      <c r="O56" s="152"/>
    </row>
    <row r="57" spans="1:18" ht="15.75" thickBot="1" x14ac:dyDescent="0.3">
      <c r="A57" s="24"/>
      <c r="B57" s="25"/>
      <c r="C57" s="26"/>
      <c r="D57" s="24"/>
      <c r="E57" s="116"/>
      <c r="F57" s="16"/>
      <c r="G57" s="172">
        <f t="shared" ref="G57:M57" si="4">SUM(G4:G55)</f>
        <v>949903</v>
      </c>
      <c r="H57" s="172">
        <f t="shared" si="4"/>
        <v>-3410653</v>
      </c>
      <c r="I57" s="172">
        <f t="shared" si="4"/>
        <v>-2303384</v>
      </c>
      <c r="J57" s="172">
        <f t="shared" si="4"/>
        <v>1511651</v>
      </c>
      <c r="K57" s="172">
        <f t="shared" si="4"/>
        <v>-666655</v>
      </c>
      <c r="L57" s="172">
        <f t="shared" si="4"/>
        <v>-683124</v>
      </c>
      <c r="M57" s="139">
        <f t="shared" si="4"/>
        <v>0</v>
      </c>
      <c r="N57" s="174">
        <f>SUM(G57:M57)</f>
        <v>-4602262</v>
      </c>
      <c r="O57" s="152">
        <f>IFERROR(N57/E57*100,0)/10000000</f>
        <v>0</v>
      </c>
      <c r="R57" s="137"/>
    </row>
    <row r="58" spans="1:18" ht="15.75" thickBot="1" x14ac:dyDescent="0.3">
      <c r="A58" s="137"/>
      <c r="B58" s="137"/>
      <c r="C58" s="137"/>
      <c r="D58" s="137"/>
      <c r="E58" s="122"/>
      <c r="F58" s="137"/>
      <c r="G58" s="137"/>
      <c r="H58" s="137"/>
      <c r="I58" s="137"/>
      <c r="J58" s="137"/>
      <c r="K58" s="137"/>
      <c r="L58" s="137"/>
      <c r="M58" s="179"/>
      <c r="N58" s="137"/>
      <c r="O58" s="152"/>
      <c r="Q58" s="137"/>
    </row>
    <row r="59" spans="1:18" x14ac:dyDescent="0.25">
      <c r="A59" s="75" t="s">
        <v>36</v>
      </c>
      <c r="B59" s="76" t="s">
        <v>72</v>
      </c>
      <c r="C59" s="76" t="s">
        <v>57</v>
      </c>
      <c r="D59" s="76" t="s">
        <v>61</v>
      </c>
      <c r="E59" s="123">
        <v>30</v>
      </c>
      <c r="F59" s="181"/>
      <c r="G59" s="155">
        <v>0</v>
      </c>
      <c r="H59" s="155">
        <v>-1640000</v>
      </c>
      <c r="I59" s="155">
        <v>0</v>
      </c>
      <c r="J59" s="155">
        <v>925000</v>
      </c>
      <c r="K59" s="155">
        <v>0</v>
      </c>
      <c r="L59" s="155">
        <v>0</v>
      </c>
      <c r="M59" s="180"/>
      <c r="N59" s="174">
        <f>SUM(G59:M59)</f>
        <v>-715000</v>
      </c>
      <c r="O59" s="152">
        <f>IFERROR(N59/E59*100,0)/10000000</f>
        <v>-0.23833333333333331</v>
      </c>
      <c r="R59" s="137">
        <v>-21573</v>
      </c>
    </row>
    <row r="60" spans="1:18" x14ac:dyDescent="0.25">
      <c r="A60" s="205" t="s">
        <v>246</v>
      </c>
      <c r="B60" s="206" t="s">
        <v>245</v>
      </c>
      <c r="C60" s="206" t="s">
        <v>57</v>
      </c>
      <c r="D60" s="206"/>
      <c r="E60" s="207"/>
      <c r="F60" s="208"/>
      <c r="G60" s="165">
        <v>-15000</v>
      </c>
      <c r="H60" s="165">
        <v>-128000</v>
      </c>
      <c r="I60" s="165">
        <v>-157000</v>
      </c>
      <c r="J60" s="165">
        <v>35000</v>
      </c>
      <c r="K60" s="165">
        <v>0</v>
      </c>
      <c r="L60" s="165">
        <v>30000</v>
      </c>
      <c r="M60" s="209"/>
      <c r="N60" s="174">
        <f>SUM(G60:M60)</f>
        <v>-235000</v>
      </c>
      <c r="O60" s="152">
        <f>IFERROR(N60/E60*100,0)/10000000</f>
        <v>0</v>
      </c>
      <c r="Q60" s="5"/>
      <c r="R60" s="137"/>
    </row>
    <row r="61" spans="1:18" ht="15.75" thickBot="1" x14ac:dyDescent="0.3">
      <c r="A61" s="201"/>
      <c r="B61" s="20"/>
      <c r="C61" s="20"/>
      <c r="D61" s="20"/>
      <c r="E61" s="115"/>
      <c r="F61" s="202"/>
      <c r="G61" s="154"/>
      <c r="H61" s="154"/>
      <c r="I61" s="154"/>
      <c r="J61" s="154"/>
      <c r="K61" s="154"/>
      <c r="L61" s="154"/>
      <c r="M61" s="178"/>
      <c r="N61" s="175"/>
      <c r="O61" s="66"/>
      <c r="Q61" s="137">
        <v>140738</v>
      </c>
      <c r="R61" s="137">
        <f>(Q62+Q61)/10000000*13780</f>
        <v>358.14495600000004</v>
      </c>
    </row>
    <row r="62" spans="1:18" ht="15.75" thickBot="1" x14ac:dyDescent="0.3">
      <c r="A62" s="203"/>
      <c r="B62" s="16"/>
      <c r="C62" s="16"/>
      <c r="D62" s="16"/>
      <c r="E62" s="74"/>
      <c r="F62" s="17"/>
      <c r="G62" s="173">
        <f t="shared" ref="G62:M62" si="5">SUM(G59:G60)</f>
        <v>-15000</v>
      </c>
      <c r="H62" s="173">
        <f t="shared" si="5"/>
        <v>-1768000</v>
      </c>
      <c r="I62" s="173">
        <f t="shared" si="5"/>
        <v>-157000</v>
      </c>
      <c r="J62" s="173">
        <f t="shared" si="5"/>
        <v>960000</v>
      </c>
      <c r="K62" s="173">
        <f t="shared" si="5"/>
        <v>0</v>
      </c>
      <c r="L62" s="173">
        <f t="shared" si="5"/>
        <v>30000</v>
      </c>
      <c r="M62" s="173">
        <f t="shared" si="5"/>
        <v>0</v>
      </c>
      <c r="N62" s="176">
        <f>SUM(C62:M62)</f>
        <v>-950000</v>
      </c>
      <c r="O62" s="19"/>
      <c r="Q62" s="137">
        <v>119164</v>
      </c>
      <c r="R62" s="137"/>
    </row>
    <row r="63" spans="1:18" x14ac:dyDescent="0.25">
      <c r="Q63" s="137"/>
      <c r="R63" s="137"/>
    </row>
    <row r="64" spans="1:18" x14ac:dyDescent="0.25">
      <c r="Q64" s="137"/>
      <c r="R64" s="196">
        <f>R59-R61</f>
        <v>-21931.144956</v>
      </c>
    </row>
    <row r="65" spans="17:17" x14ac:dyDescent="0.25">
      <c r="Q65" s="137"/>
    </row>
  </sheetData>
  <conditionalFormatting sqref="F2 F47 A48:A49 O58 A42:F46 N56:O57 C48:M49 G2:O4 G42:M47 O43:O55 N42:N55 A10:O11 N6:O9 A12:M41 O12:O39 N12:N40 A3:F4 A5:M9 A50:M57 A59:O62">
    <cfRule type="expression" dxfId="201" priority="12">
      <formula>MOD(ROW(),2)=0</formula>
    </cfRule>
  </conditionalFormatting>
  <conditionalFormatting sqref="O40">
    <cfRule type="expression" dxfId="200" priority="11">
      <formula>MOD(ROW(),2)=0</formula>
    </cfRule>
  </conditionalFormatting>
  <conditionalFormatting sqref="O42">
    <cfRule type="expression" dxfId="199" priority="10">
      <formula>MOD(ROW(),2)=0</formula>
    </cfRule>
  </conditionalFormatting>
  <conditionalFormatting sqref="A47:E47">
    <cfRule type="expression" dxfId="198" priority="6">
      <formula>MOD(ROW(),2)=0</formula>
    </cfRule>
  </conditionalFormatting>
  <conditionalFormatting sqref="B48:B49">
    <cfRule type="expression" dxfId="197" priority="4">
      <formula>MOD(ROW(),2)=0</formula>
    </cfRule>
  </conditionalFormatting>
  <conditionalFormatting sqref="N5:O5">
    <cfRule type="expression" dxfId="196" priority="3">
      <formula>MOD(ROW(),2)=0</formula>
    </cfRule>
  </conditionalFormatting>
  <conditionalFormatting sqref="N41">
    <cfRule type="expression" dxfId="195" priority="2">
      <formula>MOD(ROW(),2)=0</formula>
    </cfRule>
  </conditionalFormatting>
  <conditionalFormatting sqref="O41">
    <cfRule type="expression" dxfId="194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topLeftCell="A25" zoomScale="115" zoomScaleNormal="115" workbookViewId="0">
      <selection activeCell="D32" sqref="D32"/>
    </sheetView>
  </sheetViews>
  <sheetFormatPr defaultRowHeight="15" outlineLevelCol="1" x14ac:dyDescent="0.25"/>
  <cols>
    <col min="1" max="1" width="10.5703125" style="136" customWidth="1" outlineLevel="1"/>
    <col min="2" max="2" width="20.5703125" style="136" customWidth="1" outlineLevel="1"/>
    <col min="3" max="3" width="10.42578125" style="136" customWidth="1"/>
    <col min="4" max="4" width="13.28515625" style="136" customWidth="1"/>
    <col min="5" max="5" width="6.5703125" style="136" customWidth="1"/>
    <col min="6" max="6" width="1.7109375" style="136" customWidth="1"/>
    <col min="7" max="16" width="11.28515625" style="136" hidden="1" customWidth="1" outlineLevel="1"/>
    <col min="17" max="17" width="11.28515625" style="136" customWidth="1" collapsed="1"/>
    <col min="18" max="25" width="11.28515625" style="136" customWidth="1"/>
    <col min="26" max="26" width="11.5703125" style="136" customWidth="1"/>
    <col min="27" max="27" width="10.42578125" style="136" customWidth="1" outlineLevel="1"/>
    <col min="28" max="28" width="10.7109375" style="136" customWidth="1" outlineLevel="1"/>
    <col min="29" max="34" width="9.140625" style="136"/>
    <col min="35" max="35" width="14.140625" style="136" customWidth="1"/>
    <col min="36" max="36" width="12" style="136" customWidth="1"/>
    <col min="37" max="16384" width="9.140625" style="136"/>
  </cols>
  <sheetData>
    <row r="1" spans="1:36" ht="15.75" thickBot="1" x14ac:dyDescent="0.3"/>
    <row r="2" spans="1:36" ht="15.75" thickBot="1" x14ac:dyDescent="0.3">
      <c r="F2" s="184"/>
      <c r="G2" s="185">
        <v>46146</v>
      </c>
      <c r="H2" s="185">
        <v>46147</v>
      </c>
      <c r="I2" s="185">
        <v>46148</v>
      </c>
      <c r="J2" s="185">
        <v>46149</v>
      </c>
      <c r="K2" s="185">
        <v>46150</v>
      </c>
      <c r="L2" s="185">
        <v>46153</v>
      </c>
      <c r="M2" s="185">
        <v>46154</v>
      </c>
      <c r="N2" s="185">
        <v>46155</v>
      </c>
      <c r="O2" s="185">
        <v>46156</v>
      </c>
      <c r="P2" s="185">
        <v>46157</v>
      </c>
      <c r="Q2" s="185">
        <v>46160</v>
      </c>
      <c r="R2" s="185">
        <v>46161</v>
      </c>
      <c r="S2" s="185">
        <v>46162</v>
      </c>
      <c r="T2" s="185">
        <v>46163</v>
      </c>
      <c r="U2" s="185">
        <v>46164</v>
      </c>
      <c r="V2" s="185">
        <v>46167</v>
      </c>
      <c r="W2" s="185">
        <v>46168</v>
      </c>
      <c r="X2" s="185">
        <v>46169</v>
      </c>
      <c r="Y2" s="185">
        <v>46171</v>
      </c>
      <c r="Z2" s="186"/>
      <c r="AA2" s="187" t="s">
        <v>162</v>
      </c>
      <c r="AB2" s="188" t="s">
        <v>163</v>
      </c>
    </row>
    <row r="3" spans="1:36" x14ac:dyDescent="0.25">
      <c r="A3" s="189" t="s">
        <v>54</v>
      </c>
      <c r="B3" s="189" t="s">
        <v>70</v>
      </c>
      <c r="C3" s="189" t="s">
        <v>71</v>
      </c>
      <c r="D3" s="189" t="s">
        <v>2</v>
      </c>
      <c r="E3" s="190" t="s">
        <v>9</v>
      </c>
      <c r="F3" s="191"/>
      <c r="G3" s="182" t="s">
        <v>239</v>
      </c>
      <c r="H3" s="182" t="s">
        <v>238</v>
      </c>
      <c r="I3" s="182" t="s">
        <v>242</v>
      </c>
      <c r="J3" s="182" t="s">
        <v>241</v>
      </c>
      <c r="K3" s="182" t="s">
        <v>240</v>
      </c>
      <c r="L3" s="182" t="s">
        <v>239</v>
      </c>
      <c r="M3" s="182" t="s">
        <v>238</v>
      </c>
      <c r="N3" s="182" t="s">
        <v>242</v>
      </c>
      <c r="O3" s="182" t="s">
        <v>241</v>
      </c>
      <c r="P3" s="182" t="s">
        <v>240</v>
      </c>
      <c r="Q3" s="182" t="s">
        <v>239</v>
      </c>
      <c r="R3" s="182" t="s">
        <v>238</v>
      </c>
      <c r="S3" s="182" t="s">
        <v>242</v>
      </c>
      <c r="T3" s="182" t="s">
        <v>243</v>
      </c>
      <c r="U3" s="182" t="s">
        <v>240</v>
      </c>
      <c r="V3" s="182" t="s">
        <v>239</v>
      </c>
      <c r="W3" s="182" t="s">
        <v>238</v>
      </c>
      <c r="X3" s="182" t="s">
        <v>242</v>
      </c>
      <c r="Y3" s="182" t="s">
        <v>240</v>
      </c>
      <c r="Z3" s="183"/>
      <c r="AA3" s="192"/>
      <c r="AB3" s="183"/>
      <c r="AI3" s="136" t="s">
        <v>202</v>
      </c>
      <c r="AJ3" s="136">
        <v>13780</v>
      </c>
    </row>
    <row r="4" spans="1:36" x14ac:dyDescent="0.25">
      <c r="A4" s="145" t="s">
        <v>25</v>
      </c>
      <c r="B4" s="44" t="s">
        <v>73</v>
      </c>
      <c r="C4" s="145" t="s">
        <v>161</v>
      </c>
      <c r="D4" s="145" t="s">
        <v>89</v>
      </c>
      <c r="E4" s="159">
        <v>3</v>
      </c>
      <c r="F4" s="193"/>
      <c r="G4" s="161">
        <v>0</v>
      </c>
      <c r="H4" s="161">
        <v>-156700</v>
      </c>
      <c r="I4" s="161">
        <v>0</v>
      </c>
      <c r="J4" s="161">
        <v>-151000</v>
      </c>
      <c r="K4" s="161">
        <v>0</v>
      </c>
      <c r="L4" s="161">
        <v>-300</v>
      </c>
      <c r="M4" s="161">
        <v>287000</v>
      </c>
      <c r="N4" s="161">
        <v>0</v>
      </c>
      <c r="O4" s="161">
        <v>150000</v>
      </c>
      <c r="P4" s="161">
        <v>0</v>
      </c>
      <c r="Q4" s="161">
        <v>0</v>
      </c>
      <c r="R4" s="161">
        <v>-148725</v>
      </c>
      <c r="S4" s="161">
        <v>0</v>
      </c>
      <c r="T4" s="161">
        <v>-51000</v>
      </c>
      <c r="U4" s="161">
        <v>0</v>
      </c>
      <c r="V4" s="161">
        <v>0</v>
      </c>
      <c r="W4" s="161">
        <v>-38000</v>
      </c>
      <c r="X4" s="161">
        <v>-90000</v>
      </c>
      <c r="Y4" s="161">
        <v>0</v>
      </c>
      <c r="Z4" s="177"/>
      <c r="AA4" s="174">
        <f t="shared" ref="AA4:AA5" si="0">SUM(G4:Z4)</f>
        <v>-198725</v>
      </c>
      <c r="AB4" s="152">
        <f t="shared" ref="AB4:AB5" si="1">IFERROR(AA4/E4*100,0)/10000000</f>
        <v>-0.66241666666666665</v>
      </c>
      <c r="AI4" s="136" t="s">
        <v>173</v>
      </c>
      <c r="AJ4" s="136">
        <v>2865</v>
      </c>
    </row>
    <row r="5" spans="1:36" x14ac:dyDescent="0.25">
      <c r="A5" s="145" t="s">
        <v>46</v>
      </c>
      <c r="B5" s="44" t="s">
        <v>141</v>
      </c>
      <c r="C5" s="145" t="s">
        <v>160</v>
      </c>
      <c r="D5" s="145"/>
      <c r="E5" s="159">
        <v>3</v>
      </c>
      <c r="F5" s="193"/>
      <c r="G5" s="161">
        <v>0</v>
      </c>
      <c r="H5" s="161">
        <v>0</v>
      </c>
      <c r="I5" s="161">
        <v>0</v>
      </c>
      <c r="J5" s="161">
        <v>0</v>
      </c>
      <c r="K5" s="161">
        <v>0</v>
      </c>
      <c r="L5" s="161">
        <v>0</v>
      </c>
      <c r="M5" s="161">
        <v>8800</v>
      </c>
      <c r="N5" s="161">
        <v>0</v>
      </c>
      <c r="O5" s="161">
        <v>-15000</v>
      </c>
      <c r="P5" s="161">
        <v>0</v>
      </c>
      <c r="Q5" s="161">
        <v>0</v>
      </c>
      <c r="R5" s="161">
        <v>5111</v>
      </c>
      <c r="S5" s="161">
        <v>0</v>
      </c>
      <c r="T5" s="161">
        <v>1500</v>
      </c>
      <c r="U5" s="161">
        <v>0</v>
      </c>
      <c r="V5" s="161">
        <v>0</v>
      </c>
      <c r="W5" s="161">
        <v>2000</v>
      </c>
      <c r="X5" s="161">
        <v>0</v>
      </c>
      <c r="Y5" s="161">
        <v>0</v>
      </c>
      <c r="Z5" s="177"/>
      <c r="AA5" s="174">
        <f t="shared" si="0"/>
        <v>2411</v>
      </c>
      <c r="AB5" s="152">
        <f t="shared" si="1"/>
        <v>8.0366666666666659E-3</v>
      </c>
    </row>
    <row r="6" spans="1:36" x14ac:dyDescent="0.25">
      <c r="A6" s="145" t="s">
        <v>220</v>
      </c>
      <c r="B6" s="44" t="s">
        <v>219</v>
      </c>
      <c r="C6" s="145" t="s">
        <v>11</v>
      </c>
      <c r="D6" s="145"/>
      <c r="E6" s="159">
        <v>0.5</v>
      </c>
      <c r="F6" s="193"/>
      <c r="G6" s="161">
        <v>0</v>
      </c>
      <c r="H6" s="161">
        <v>0</v>
      </c>
      <c r="I6" s="161">
        <v>100</v>
      </c>
      <c r="J6" s="161">
        <v>-2974</v>
      </c>
      <c r="K6" s="161">
        <v>0</v>
      </c>
      <c r="L6" s="161">
        <v>1640</v>
      </c>
      <c r="M6" s="161">
        <v>-7148</v>
      </c>
      <c r="N6" s="161">
        <v>-1171</v>
      </c>
      <c r="O6" s="161">
        <v>-5246</v>
      </c>
      <c r="P6" s="161">
        <v>-4350</v>
      </c>
      <c r="Q6" s="161">
        <v>2162</v>
      </c>
      <c r="R6" s="161">
        <v>20</v>
      </c>
      <c r="S6" s="161">
        <v>-642</v>
      </c>
      <c r="T6" s="161">
        <v>-5552</v>
      </c>
      <c r="U6" s="161">
        <v>-9405</v>
      </c>
      <c r="V6" s="161">
        <v>8040</v>
      </c>
      <c r="W6" s="161">
        <v>-17862</v>
      </c>
      <c r="X6" s="161">
        <v>-18004</v>
      </c>
      <c r="Y6" s="161">
        <v>15571</v>
      </c>
      <c r="Z6" s="177"/>
      <c r="AA6" s="174">
        <f t="shared" ref="AA6" si="2">SUM(G6:Z6)</f>
        <v>-44821</v>
      </c>
      <c r="AB6" s="152">
        <f t="shared" ref="AB6" si="3">IFERROR(AA6/E6*100,0)/10000000</f>
        <v>-0.89641999999999999</v>
      </c>
      <c r="AD6" s="5"/>
      <c r="AE6" s="137">
        <v>15730</v>
      </c>
    </row>
    <row r="7" spans="1:36" x14ac:dyDescent="0.25">
      <c r="A7" s="145" t="s">
        <v>30</v>
      </c>
      <c r="B7" s="144" t="s">
        <v>179</v>
      </c>
      <c r="C7" s="144" t="s">
        <v>6</v>
      </c>
      <c r="D7" s="163" t="s">
        <v>140</v>
      </c>
      <c r="E7" s="159">
        <v>3</v>
      </c>
      <c r="F7" s="194"/>
      <c r="G7" s="150">
        <v>-89314</v>
      </c>
      <c r="H7" s="150">
        <v>-135468</v>
      </c>
      <c r="I7" s="150">
        <v>-149849</v>
      </c>
      <c r="J7" s="150">
        <v>-45000</v>
      </c>
      <c r="K7" s="150">
        <v>0</v>
      </c>
      <c r="L7" s="150">
        <v>0</v>
      </c>
      <c r="M7" s="150">
        <v>163900</v>
      </c>
      <c r="N7" s="150">
        <v>0</v>
      </c>
      <c r="O7" s="150">
        <v>12796</v>
      </c>
      <c r="P7" s="150">
        <v>61758</v>
      </c>
      <c r="Q7" s="150">
        <v>111261</v>
      </c>
      <c r="R7" s="150">
        <v>-259238</v>
      </c>
      <c r="S7" s="150">
        <v>0</v>
      </c>
      <c r="T7" s="150">
        <v>-120865</v>
      </c>
      <c r="U7" s="150">
        <v>-23761</v>
      </c>
      <c r="V7" s="150">
        <v>117050</v>
      </c>
      <c r="W7" s="150">
        <v>97108</v>
      </c>
      <c r="X7" s="150">
        <v>0</v>
      </c>
      <c r="Y7" s="150">
        <v>218873</v>
      </c>
      <c r="Z7" s="177"/>
      <c r="AA7" s="174">
        <f t="shared" ref="AA7:AA33" si="4">SUM(G7:Z7)</f>
        <v>-40749</v>
      </c>
      <c r="AB7" s="152">
        <f t="shared" ref="AB7:AB33" si="5">IFERROR(AA7/E7*100,0)/10000000</f>
        <v>-0.13583000000000001</v>
      </c>
      <c r="AD7" s="137">
        <v>49803</v>
      </c>
      <c r="AE7" s="137"/>
    </row>
    <row r="8" spans="1:36" x14ac:dyDescent="0.25">
      <c r="A8" s="145" t="s">
        <v>180</v>
      </c>
      <c r="B8" s="144" t="s">
        <v>178</v>
      </c>
      <c r="C8" s="144" t="s">
        <v>231</v>
      </c>
      <c r="D8" s="163" t="s">
        <v>204</v>
      </c>
      <c r="E8" s="159">
        <v>1</v>
      </c>
      <c r="F8" s="194"/>
      <c r="G8" s="150">
        <v>-81327</v>
      </c>
      <c r="H8" s="150">
        <v>59894</v>
      </c>
      <c r="I8" s="150">
        <v>-174575</v>
      </c>
      <c r="J8" s="150">
        <v>-5000</v>
      </c>
      <c r="K8" s="150">
        <v>0</v>
      </c>
      <c r="L8" s="150">
        <v>0</v>
      </c>
      <c r="M8" s="150">
        <v>0</v>
      </c>
      <c r="N8" s="150">
        <v>0</v>
      </c>
      <c r="O8" s="150">
        <v>0</v>
      </c>
      <c r="P8" s="150">
        <v>0</v>
      </c>
      <c r="Q8" s="150">
        <v>-48582</v>
      </c>
      <c r="R8" s="150">
        <v>-20660</v>
      </c>
      <c r="S8" s="150">
        <v>0</v>
      </c>
      <c r="T8" s="150">
        <v>0</v>
      </c>
      <c r="U8" s="150">
        <v>0</v>
      </c>
      <c r="V8" s="150">
        <v>0</v>
      </c>
      <c r="W8" s="150">
        <v>0</v>
      </c>
      <c r="X8" s="150">
        <v>0</v>
      </c>
      <c r="Y8" s="150">
        <v>0</v>
      </c>
      <c r="Z8" s="177"/>
      <c r="AA8" s="174">
        <f t="shared" si="4"/>
        <v>-270250</v>
      </c>
      <c r="AB8" s="152">
        <f t="shared" si="5"/>
        <v>-2.7025000000000001</v>
      </c>
      <c r="AD8" s="137">
        <v>65533</v>
      </c>
      <c r="AE8" s="137">
        <f>(AD8+AD7)/10000000*13780</f>
        <v>158.933008</v>
      </c>
    </row>
    <row r="9" spans="1:36" x14ac:dyDescent="0.25">
      <c r="A9" s="145" t="s">
        <v>136</v>
      </c>
      <c r="B9" s="144" t="s">
        <v>135</v>
      </c>
      <c r="C9" s="144" t="s">
        <v>137</v>
      </c>
      <c r="D9" s="163" t="s">
        <v>118</v>
      </c>
      <c r="E9" s="159">
        <v>3</v>
      </c>
      <c r="F9" s="194"/>
      <c r="G9" s="150">
        <v>39887</v>
      </c>
      <c r="H9" s="150">
        <v>-78243</v>
      </c>
      <c r="I9" s="150">
        <v>109406</v>
      </c>
      <c r="J9" s="150">
        <v>-81721</v>
      </c>
      <c r="K9" s="150">
        <v>-17056</v>
      </c>
      <c r="L9" s="150">
        <v>65669</v>
      </c>
      <c r="M9" s="150">
        <v>113014</v>
      </c>
      <c r="N9" s="150">
        <v>10507</v>
      </c>
      <c r="O9" s="150">
        <v>-17057</v>
      </c>
      <c r="P9" s="150">
        <v>-105126</v>
      </c>
      <c r="Q9" s="150">
        <v>24329</v>
      </c>
      <c r="R9" s="150">
        <v>103722</v>
      </c>
      <c r="S9" s="150">
        <v>-6249</v>
      </c>
      <c r="T9" s="150">
        <v>30707</v>
      </c>
      <c r="U9" s="150">
        <v>52963</v>
      </c>
      <c r="V9" s="150">
        <v>1000</v>
      </c>
      <c r="W9" s="150">
        <v>-61148</v>
      </c>
      <c r="X9" s="150">
        <v>-70086</v>
      </c>
      <c r="Y9" s="150">
        <v>51056</v>
      </c>
      <c r="Z9" s="177"/>
      <c r="AA9" s="174">
        <f t="shared" si="4"/>
        <v>165574</v>
      </c>
      <c r="AB9" s="152">
        <f t="shared" si="5"/>
        <v>0.55191333333333337</v>
      </c>
      <c r="AD9" s="137"/>
      <c r="AE9" s="137"/>
    </row>
    <row r="10" spans="1:36" x14ac:dyDescent="0.25">
      <c r="A10" s="145" t="s">
        <v>221</v>
      </c>
      <c r="B10" s="144" t="s">
        <v>135</v>
      </c>
      <c r="C10" s="144" t="s">
        <v>97</v>
      </c>
      <c r="D10" s="163" t="s">
        <v>118</v>
      </c>
      <c r="E10" s="159">
        <v>1.5</v>
      </c>
      <c r="F10" s="194"/>
      <c r="G10" s="150">
        <v>0</v>
      </c>
      <c r="H10" s="150">
        <v>0</v>
      </c>
      <c r="I10" s="150">
        <v>0</v>
      </c>
      <c r="J10" s="150">
        <v>-52000</v>
      </c>
      <c r="K10" s="150">
        <v>-64129</v>
      </c>
      <c r="L10" s="150">
        <v>105081</v>
      </c>
      <c r="M10" s="150">
        <v>-74382</v>
      </c>
      <c r="N10" s="150">
        <v>54380</v>
      </c>
      <c r="O10" s="150">
        <v>-85479</v>
      </c>
      <c r="P10" s="150">
        <v>-89445</v>
      </c>
      <c r="Q10" s="150">
        <v>31024</v>
      </c>
      <c r="R10" s="150">
        <v>0</v>
      </c>
      <c r="S10" s="150">
        <v>0</v>
      </c>
      <c r="T10" s="150">
        <v>-400</v>
      </c>
      <c r="U10" s="150">
        <v>0</v>
      </c>
      <c r="V10" s="150">
        <v>-340</v>
      </c>
      <c r="W10" s="150">
        <v>0</v>
      </c>
      <c r="X10" s="150">
        <v>0</v>
      </c>
      <c r="Y10" s="150">
        <v>593</v>
      </c>
      <c r="Z10" s="177"/>
      <c r="AA10" s="174">
        <f t="shared" ref="AA10" si="6">SUM(G10:Z10)</f>
        <v>-175097</v>
      </c>
      <c r="AB10" s="152">
        <f t="shared" ref="AB10" si="7">IFERROR(AA10/E10*100,0)/10000000</f>
        <v>-1.1673133333333332</v>
      </c>
      <c r="AD10" s="137"/>
      <c r="AE10" s="137"/>
    </row>
    <row r="11" spans="1:36" x14ac:dyDescent="0.25">
      <c r="A11" s="146" t="s">
        <v>35</v>
      </c>
      <c r="B11" s="144" t="s">
        <v>55</v>
      </c>
      <c r="C11" s="144" t="s">
        <v>80</v>
      </c>
      <c r="D11" s="146" t="s">
        <v>114</v>
      </c>
      <c r="E11" s="160">
        <v>15</v>
      </c>
      <c r="F11" s="195"/>
      <c r="G11" s="150">
        <v>0</v>
      </c>
      <c r="H11" s="150">
        <v>150000</v>
      </c>
      <c r="I11" s="150">
        <v>1000</v>
      </c>
      <c r="J11" s="150">
        <v>-890466</v>
      </c>
      <c r="K11" s="150">
        <v>0</v>
      </c>
      <c r="L11" s="150">
        <v>0</v>
      </c>
      <c r="M11" s="150">
        <v>605000</v>
      </c>
      <c r="N11" s="150">
        <v>-336000</v>
      </c>
      <c r="O11" s="150">
        <v>-200000</v>
      </c>
      <c r="P11" s="150">
        <v>0</v>
      </c>
      <c r="Q11" s="150">
        <v>-375000</v>
      </c>
      <c r="R11" s="150">
        <v>0</v>
      </c>
      <c r="S11" s="150">
        <v>0</v>
      </c>
      <c r="T11" s="150">
        <v>-290000</v>
      </c>
      <c r="U11" s="150">
        <v>0</v>
      </c>
      <c r="V11" s="150">
        <v>0</v>
      </c>
      <c r="W11" s="150">
        <v>520000</v>
      </c>
      <c r="X11" s="150">
        <v>20000</v>
      </c>
      <c r="Y11" s="150">
        <v>21000</v>
      </c>
      <c r="Z11" s="177"/>
      <c r="AA11" s="174">
        <f t="shared" si="4"/>
        <v>-774466</v>
      </c>
      <c r="AB11" s="152">
        <f t="shared" si="5"/>
        <v>-0.5163106666666667</v>
      </c>
      <c r="AD11" s="137"/>
      <c r="AE11" s="137"/>
    </row>
    <row r="12" spans="1:36" x14ac:dyDescent="0.25">
      <c r="A12" s="146" t="s">
        <v>193</v>
      </c>
      <c r="B12" s="144" t="s">
        <v>185</v>
      </c>
      <c r="C12" s="144" t="s">
        <v>184</v>
      </c>
      <c r="D12" s="146" t="s">
        <v>114</v>
      </c>
      <c r="E12" s="160">
        <v>3</v>
      </c>
      <c r="F12" s="195"/>
      <c r="G12" s="150">
        <v>0</v>
      </c>
      <c r="H12" s="150">
        <v>25000</v>
      </c>
      <c r="I12" s="150">
        <v>-3000</v>
      </c>
      <c r="J12" s="150">
        <v>-125000</v>
      </c>
      <c r="K12" s="150">
        <v>0</v>
      </c>
      <c r="L12" s="150">
        <v>0</v>
      </c>
      <c r="M12" s="150">
        <v>100000</v>
      </c>
      <c r="N12" s="150">
        <v>-59000</v>
      </c>
      <c r="O12" s="150">
        <v>-66000</v>
      </c>
      <c r="P12" s="150">
        <v>0</v>
      </c>
      <c r="Q12" s="150">
        <v>-63000</v>
      </c>
      <c r="R12" s="150">
        <v>0</v>
      </c>
      <c r="S12" s="150">
        <v>0</v>
      </c>
      <c r="T12" s="150">
        <v>0</v>
      </c>
      <c r="U12" s="150">
        <v>0</v>
      </c>
      <c r="V12" s="150">
        <v>0</v>
      </c>
      <c r="W12" s="150">
        <v>0</v>
      </c>
      <c r="X12" s="150">
        <v>0</v>
      </c>
      <c r="Y12" s="150">
        <v>0</v>
      </c>
      <c r="Z12" s="177"/>
      <c r="AA12" s="174">
        <f t="shared" si="4"/>
        <v>-191000</v>
      </c>
      <c r="AB12" s="152">
        <f t="shared" si="5"/>
        <v>-0.6366666666666666</v>
      </c>
      <c r="AD12" s="137"/>
      <c r="AE12" s="137"/>
    </row>
    <row r="13" spans="1:36" x14ac:dyDescent="0.25">
      <c r="A13" s="146" t="s">
        <v>192</v>
      </c>
      <c r="B13" s="144" t="s">
        <v>186</v>
      </c>
      <c r="C13" s="144" t="s">
        <v>182</v>
      </c>
      <c r="D13" s="146" t="s">
        <v>114</v>
      </c>
      <c r="E13" s="160">
        <v>3</v>
      </c>
      <c r="F13" s="195"/>
      <c r="G13" s="150">
        <v>0</v>
      </c>
      <c r="H13" s="150">
        <v>30000</v>
      </c>
      <c r="I13" s="150">
        <v>-3000</v>
      </c>
      <c r="J13" s="150">
        <v>-120000</v>
      </c>
      <c r="K13" s="150">
        <v>0</v>
      </c>
      <c r="L13" s="150">
        <v>0</v>
      </c>
      <c r="M13" s="150">
        <v>100000</v>
      </c>
      <c r="N13" s="150">
        <v>-59000</v>
      </c>
      <c r="O13" s="150">
        <v>-130000</v>
      </c>
      <c r="P13" s="150">
        <v>0</v>
      </c>
      <c r="Q13" s="150">
        <v>-62500</v>
      </c>
      <c r="R13" s="150">
        <v>0</v>
      </c>
      <c r="S13" s="150">
        <v>0</v>
      </c>
      <c r="T13" s="150">
        <v>0</v>
      </c>
      <c r="U13" s="150">
        <v>0</v>
      </c>
      <c r="V13" s="150">
        <v>0</v>
      </c>
      <c r="W13" s="150">
        <v>0</v>
      </c>
      <c r="X13" s="150">
        <v>0</v>
      </c>
      <c r="Y13" s="150">
        <v>0</v>
      </c>
      <c r="Z13" s="177"/>
      <c r="AA13" s="174">
        <f t="shared" si="4"/>
        <v>-244500</v>
      </c>
      <c r="AB13" s="152">
        <f t="shared" si="5"/>
        <v>-0.81499999999999995</v>
      </c>
      <c r="AD13" s="137"/>
      <c r="AE13" s="196">
        <f>AE6-AE8</f>
        <v>15571.066992</v>
      </c>
    </row>
    <row r="14" spans="1:36" x14ac:dyDescent="0.25">
      <c r="A14" s="146" t="s">
        <v>125</v>
      </c>
      <c r="B14" s="144" t="s">
        <v>124</v>
      </c>
      <c r="C14" s="144" t="s">
        <v>244</v>
      </c>
      <c r="D14" s="146" t="s">
        <v>118</v>
      </c>
      <c r="E14" s="160">
        <v>4</v>
      </c>
      <c r="F14" s="195"/>
      <c r="G14" s="150">
        <v>0</v>
      </c>
      <c r="H14" s="150">
        <v>0</v>
      </c>
      <c r="I14" s="150">
        <v>0</v>
      </c>
      <c r="J14" s="150">
        <v>-255000</v>
      </c>
      <c r="K14" s="150">
        <v>0</v>
      </c>
      <c r="L14" s="150">
        <v>0</v>
      </c>
      <c r="M14" s="150">
        <v>0</v>
      </c>
      <c r="N14" s="150">
        <v>0</v>
      </c>
      <c r="O14" s="150">
        <v>0</v>
      </c>
      <c r="P14" s="150">
        <v>0</v>
      </c>
      <c r="Q14" s="150">
        <v>0</v>
      </c>
      <c r="R14" s="150">
        <v>0</v>
      </c>
      <c r="S14" s="150">
        <v>0</v>
      </c>
      <c r="T14" s="150">
        <v>0</v>
      </c>
      <c r="U14" s="150">
        <v>0</v>
      </c>
      <c r="V14" s="150">
        <v>0</v>
      </c>
      <c r="W14" s="150">
        <v>0</v>
      </c>
      <c r="X14" s="150">
        <v>0</v>
      </c>
      <c r="Y14" s="150">
        <v>0</v>
      </c>
      <c r="Z14" s="177"/>
      <c r="AA14" s="174">
        <f t="shared" si="4"/>
        <v>-255000</v>
      </c>
      <c r="AB14" s="152">
        <f t="shared" si="5"/>
        <v>-0.63749999999999996</v>
      </c>
      <c r="AD14" s="137"/>
      <c r="AE14" s="137"/>
    </row>
    <row r="15" spans="1:36" x14ac:dyDescent="0.25">
      <c r="A15" s="146" t="s">
        <v>139</v>
      </c>
      <c r="B15" s="144" t="s">
        <v>124</v>
      </c>
      <c r="C15" s="144" t="s">
        <v>138</v>
      </c>
      <c r="D15" s="146"/>
      <c r="E15" s="160">
        <v>6</v>
      </c>
      <c r="F15" s="195"/>
      <c r="G15" s="150">
        <v>-74731</v>
      </c>
      <c r="H15" s="150">
        <v>-135701</v>
      </c>
      <c r="I15" s="150">
        <v>-26000</v>
      </c>
      <c r="J15" s="150">
        <v>-160166</v>
      </c>
      <c r="K15" s="150">
        <v>2531</v>
      </c>
      <c r="L15" s="150">
        <v>60262</v>
      </c>
      <c r="M15" s="150">
        <v>300611</v>
      </c>
      <c r="N15" s="150">
        <v>-76918</v>
      </c>
      <c r="O15" s="150">
        <v>-66968</v>
      </c>
      <c r="P15" s="150">
        <v>-200</v>
      </c>
      <c r="Q15" s="150">
        <v>43222</v>
      </c>
      <c r="R15" s="150">
        <v>-14013</v>
      </c>
      <c r="S15" s="150">
        <v>41466</v>
      </c>
      <c r="T15" s="150">
        <v>-6200</v>
      </c>
      <c r="U15" s="150">
        <v>-500</v>
      </c>
      <c r="V15" s="150">
        <v>70823</v>
      </c>
      <c r="W15" s="150">
        <v>-226329</v>
      </c>
      <c r="X15" s="150">
        <v>165720</v>
      </c>
      <c r="Y15" s="150">
        <v>50</v>
      </c>
      <c r="Z15" s="177"/>
      <c r="AA15" s="174">
        <f t="shared" si="4"/>
        <v>-103041</v>
      </c>
      <c r="AB15" s="152">
        <f t="shared" si="5"/>
        <v>-0.171735</v>
      </c>
    </row>
    <row r="16" spans="1:36" x14ac:dyDescent="0.25">
      <c r="A16" s="146" t="s">
        <v>42</v>
      </c>
      <c r="B16" s="144" t="s">
        <v>235</v>
      </c>
      <c r="C16" s="144" t="s">
        <v>86</v>
      </c>
      <c r="D16" s="146" t="s">
        <v>108</v>
      </c>
      <c r="E16" s="160">
        <v>1</v>
      </c>
      <c r="F16" s="195"/>
      <c r="G16" s="150">
        <v>0</v>
      </c>
      <c r="H16" s="150">
        <v>0</v>
      </c>
      <c r="I16" s="150">
        <v>0</v>
      </c>
      <c r="J16" s="150">
        <v>0</v>
      </c>
      <c r="K16" s="150">
        <v>0</v>
      </c>
      <c r="L16" s="150">
        <v>0</v>
      </c>
      <c r="M16" s="150">
        <v>0</v>
      </c>
      <c r="N16" s="150">
        <v>0</v>
      </c>
      <c r="O16" s="150">
        <v>564</v>
      </c>
      <c r="P16" s="150">
        <v>-376</v>
      </c>
      <c r="Q16" s="150">
        <v>-775</v>
      </c>
      <c r="R16" s="150">
        <v>172</v>
      </c>
      <c r="S16" s="150">
        <v>542</v>
      </c>
      <c r="T16" s="150">
        <v>186</v>
      </c>
      <c r="U16" s="150">
        <v>100</v>
      </c>
      <c r="V16" s="150">
        <v>1383</v>
      </c>
      <c r="W16" s="150">
        <v>-150</v>
      </c>
      <c r="X16" s="150">
        <v>930</v>
      </c>
      <c r="Y16" s="150">
        <v>-1172</v>
      </c>
      <c r="Z16" s="177"/>
      <c r="AA16" s="174">
        <f t="shared" ref="AA16" si="8">SUM(G16:Z16)</f>
        <v>1404</v>
      </c>
      <c r="AB16" s="152">
        <f t="shared" ref="AB16" si="9">IFERROR(AA16/E16*100,0)/10000000</f>
        <v>1.404E-2</v>
      </c>
    </row>
    <row r="17" spans="1:37" x14ac:dyDescent="0.25">
      <c r="A17" s="145" t="s">
        <v>216</v>
      </c>
      <c r="B17" s="144" t="s">
        <v>235</v>
      </c>
      <c r="C17" s="145" t="s">
        <v>12</v>
      </c>
      <c r="D17" s="145" t="s">
        <v>39</v>
      </c>
      <c r="E17" s="159">
        <v>1</v>
      </c>
      <c r="F17" s="197"/>
      <c r="G17" s="150">
        <v>-9015</v>
      </c>
      <c r="H17" s="150">
        <v>-45361</v>
      </c>
      <c r="I17" s="150">
        <v>2653</v>
      </c>
      <c r="J17" s="150">
        <v>-58319</v>
      </c>
      <c r="K17" s="150">
        <v>0</v>
      </c>
      <c r="L17" s="150">
        <v>-7777</v>
      </c>
      <c r="M17" s="150">
        <v>1145</v>
      </c>
      <c r="N17" s="150">
        <v>0</v>
      </c>
      <c r="O17" s="150">
        <v>32096</v>
      </c>
      <c r="P17" s="150">
        <v>0</v>
      </c>
      <c r="Q17" s="150">
        <v>-1462</v>
      </c>
      <c r="R17" s="150">
        <v>0</v>
      </c>
      <c r="S17" s="150">
        <v>0</v>
      </c>
      <c r="T17" s="150">
        <v>48536</v>
      </c>
      <c r="U17" s="150">
        <v>-14166</v>
      </c>
      <c r="V17" s="150">
        <v>43770</v>
      </c>
      <c r="W17" s="150">
        <v>-24704</v>
      </c>
      <c r="X17" s="150">
        <v>-2625</v>
      </c>
      <c r="Y17" s="150">
        <v>0</v>
      </c>
      <c r="Z17" s="177"/>
      <c r="AA17" s="174">
        <f t="shared" si="4"/>
        <v>-35229</v>
      </c>
      <c r="AB17" s="152">
        <f t="shared" si="5"/>
        <v>-0.35228999999999999</v>
      </c>
    </row>
    <row r="18" spans="1:37" x14ac:dyDescent="0.25">
      <c r="A18" s="145" t="s">
        <v>44</v>
      </c>
      <c r="B18" s="144" t="s">
        <v>174</v>
      </c>
      <c r="C18" s="145" t="s">
        <v>175</v>
      </c>
      <c r="D18" s="145" t="s">
        <v>39</v>
      </c>
      <c r="E18" s="159">
        <v>1</v>
      </c>
      <c r="F18" s="197"/>
      <c r="G18" s="150">
        <v>0</v>
      </c>
      <c r="H18" s="150">
        <v>-61941</v>
      </c>
      <c r="I18" s="150">
        <v>0</v>
      </c>
      <c r="J18" s="150">
        <v>-4581</v>
      </c>
      <c r="K18" s="150">
        <v>0</v>
      </c>
      <c r="L18" s="150">
        <v>0</v>
      </c>
      <c r="M18" s="150">
        <v>11116</v>
      </c>
      <c r="N18" s="150">
        <v>0</v>
      </c>
      <c r="O18" s="150">
        <v>-3295</v>
      </c>
      <c r="P18" s="150">
        <v>0</v>
      </c>
      <c r="Q18" s="150">
        <v>0</v>
      </c>
      <c r="R18" s="150">
        <v>0</v>
      </c>
      <c r="S18" s="150">
        <v>0</v>
      </c>
      <c r="T18" s="150">
        <v>56881</v>
      </c>
      <c r="U18" s="150">
        <v>0</v>
      </c>
      <c r="V18" s="150">
        <v>0</v>
      </c>
      <c r="W18" s="150">
        <v>27547</v>
      </c>
      <c r="X18" s="150">
        <v>0</v>
      </c>
      <c r="Y18" s="150">
        <v>0</v>
      </c>
      <c r="Z18" s="177"/>
      <c r="AA18" s="174">
        <f t="shared" si="4"/>
        <v>25727</v>
      </c>
      <c r="AB18" s="152">
        <f t="shared" si="5"/>
        <v>0.25727</v>
      </c>
    </row>
    <row r="19" spans="1:37" x14ac:dyDescent="0.25">
      <c r="A19" s="145" t="s">
        <v>51</v>
      </c>
      <c r="B19" s="144" t="s">
        <v>56</v>
      </c>
      <c r="C19" s="144" t="s">
        <v>230</v>
      </c>
      <c r="D19" s="145" t="s">
        <v>39</v>
      </c>
      <c r="E19" s="159">
        <v>1</v>
      </c>
      <c r="F19" s="193"/>
      <c r="G19" s="150">
        <v>0</v>
      </c>
      <c r="H19" s="150">
        <v>0</v>
      </c>
      <c r="I19" s="150">
        <v>0</v>
      </c>
      <c r="J19" s="150">
        <v>-111000</v>
      </c>
      <c r="K19" s="150">
        <v>0</v>
      </c>
      <c r="L19" s="150">
        <v>1000</v>
      </c>
      <c r="M19" s="150">
        <v>0</v>
      </c>
      <c r="N19" s="150">
        <v>1000</v>
      </c>
      <c r="O19" s="150">
        <v>0</v>
      </c>
      <c r="P19" s="150">
        <v>7000</v>
      </c>
      <c r="Q19" s="150">
        <v>0</v>
      </c>
      <c r="R19" s="150">
        <v>0</v>
      </c>
      <c r="S19" s="150">
        <v>0</v>
      </c>
      <c r="T19" s="150">
        <v>24000</v>
      </c>
      <c r="U19" s="150">
        <v>1700</v>
      </c>
      <c r="V19" s="150">
        <v>2400</v>
      </c>
      <c r="W19" s="150">
        <v>-6000</v>
      </c>
      <c r="X19" s="150">
        <v>-9000</v>
      </c>
      <c r="Y19" s="150">
        <v>0</v>
      </c>
      <c r="Z19" s="177"/>
      <c r="AA19" s="174">
        <f t="shared" si="4"/>
        <v>-88900</v>
      </c>
      <c r="AB19" s="152">
        <f t="shared" si="5"/>
        <v>-0.88900000000000001</v>
      </c>
    </row>
    <row r="20" spans="1:37" x14ac:dyDescent="0.25">
      <c r="A20" s="145" t="s">
        <v>63</v>
      </c>
      <c r="B20" s="144" t="s">
        <v>116</v>
      </c>
      <c r="C20" s="144" t="s">
        <v>229</v>
      </c>
      <c r="D20" s="145" t="s">
        <v>39</v>
      </c>
      <c r="E20" s="159">
        <v>1</v>
      </c>
      <c r="F20" s="193"/>
      <c r="G20" s="150">
        <v>0</v>
      </c>
      <c r="H20" s="150">
        <v>0</v>
      </c>
      <c r="I20" s="150">
        <v>0</v>
      </c>
      <c r="J20" s="150">
        <v>-140000</v>
      </c>
      <c r="K20" s="150">
        <v>0</v>
      </c>
      <c r="L20" s="150">
        <v>0</v>
      </c>
      <c r="M20" s="150">
        <v>0</v>
      </c>
      <c r="N20" s="150">
        <v>0</v>
      </c>
      <c r="O20" s="150">
        <v>80000</v>
      </c>
      <c r="P20" s="150">
        <v>0</v>
      </c>
      <c r="Q20" s="150">
        <v>0</v>
      </c>
      <c r="R20" s="150">
        <v>-6086</v>
      </c>
      <c r="S20" s="150">
        <v>0</v>
      </c>
      <c r="T20" s="150">
        <v>0</v>
      </c>
      <c r="U20" s="150">
        <v>0</v>
      </c>
      <c r="V20" s="150">
        <v>0</v>
      </c>
      <c r="W20" s="150">
        <v>0</v>
      </c>
      <c r="X20" s="150">
        <v>0</v>
      </c>
      <c r="Y20" s="150">
        <v>0</v>
      </c>
      <c r="Z20" s="177"/>
      <c r="AA20" s="174">
        <f t="shared" si="4"/>
        <v>-66086</v>
      </c>
      <c r="AB20" s="152">
        <f t="shared" si="5"/>
        <v>-0.66086</v>
      </c>
    </row>
    <row r="21" spans="1:37" x14ac:dyDescent="0.25">
      <c r="A21" s="145" t="s">
        <v>43</v>
      </c>
      <c r="B21" s="144" t="s">
        <v>85</v>
      </c>
      <c r="C21" s="144" t="s">
        <v>86</v>
      </c>
      <c r="D21" s="145" t="s">
        <v>108</v>
      </c>
      <c r="E21" s="160">
        <v>1</v>
      </c>
      <c r="F21" s="193"/>
      <c r="G21" s="150">
        <v>13724</v>
      </c>
      <c r="H21" s="150">
        <v>9034</v>
      </c>
      <c r="I21" s="150">
        <v>30997</v>
      </c>
      <c r="J21" s="150">
        <v>11233</v>
      </c>
      <c r="K21" s="150">
        <v>-401</v>
      </c>
      <c r="L21" s="150">
        <v>-20411</v>
      </c>
      <c r="M21" s="150">
        <v>-37294</v>
      </c>
      <c r="N21" s="150">
        <v>6929</v>
      </c>
      <c r="O21" s="150">
        <v>13665</v>
      </c>
      <c r="P21" s="150">
        <v>-3835</v>
      </c>
      <c r="Q21" s="150">
        <v>-8400</v>
      </c>
      <c r="R21" s="150">
        <v>11710</v>
      </c>
      <c r="S21" s="150">
        <v>4610</v>
      </c>
      <c r="T21" s="150">
        <v>2245</v>
      </c>
      <c r="U21" s="150">
        <v>1100</v>
      </c>
      <c r="V21" s="150">
        <v>20660</v>
      </c>
      <c r="W21" s="150">
        <v>-692</v>
      </c>
      <c r="X21" s="150">
        <v>5950</v>
      </c>
      <c r="Y21" s="150">
        <v>-18500</v>
      </c>
      <c r="Z21" s="177"/>
      <c r="AA21" s="174">
        <f t="shared" si="4"/>
        <v>42324</v>
      </c>
      <c r="AB21" s="152">
        <f t="shared" si="5"/>
        <v>0.42324000000000001</v>
      </c>
    </row>
    <row r="22" spans="1:37" x14ac:dyDescent="0.25">
      <c r="A22" s="145" t="s">
        <v>110</v>
      </c>
      <c r="B22" s="144" t="s">
        <v>85</v>
      </c>
      <c r="C22" s="144" t="s">
        <v>211</v>
      </c>
      <c r="D22" s="145"/>
      <c r="E22" s="160">
        <v>1</v>
      </c>
      <c r="F22" s="193"/>
      <c r="G22" s="150">
        <v>0</v>
      </c>
      <c r="H22" s="150">
        <v>0</v>
      </c>
      <c r="I22" s="150">
        <v>15000</v>
      </c>
      <c r="J22" s="150">
        <v>-58000</v>
      </c>
      <c r="K22" s="150">
        <v>0</v>
      </c>
      <c r="L22" s="150">
        <v>-100</v>
      </c>
      <c r="M22" s="150">
        <v>0</v>
      </c>
      <c r="N22" s="150">
        <v>0</v>
      </c>
      <c r="O22" s="150">
        <v>-58500</v>
      </c>
      <c r="P22" s="150">
        <v>0</v>
      </c>
      <c r="Q22" s="150">
        <v>0</v>
      </c>
      <c r="R22" s="150">
        <v>0</v>
      </c>
      <c r="S22" s="150">
        <v>0</v>
      </c>
      <c r="T22" s="150">
        <v>-9000</v>
      </c>
      <c r="U22" s="150">
        <v>0</v>
      </c>
      <c r="V22" s="150">
        <v>0</v>
      </c>
      <c r="W22" s="150">
        <v>0</v>
      </c>
      <c r="X22" s="150">
        <v>12000</v>
      </c>
      <c r="Y22" s="150">
        <v>0</v>
      </c>
      <c r="Z22" s="177"/>
      <c r="AA22" s="174">
        <f t="shared" si="4"/>
        <v>-98600</v>
      </c>
      <c r="AB22" s="152">
        <f t="shared" si="5"/>
        <v>-0.98599999999999999</v>
      </c>
    </row>
    <row r="23" spans="1:37" x14ac:dyDescent="0.25">
      <c r="A23" s="145" t="s">
        <v>95</v>
      </c>
      <c r="B23" s="144" t="s">
        <v>56</v>
      </c>
      <c r="C23" s="144" t="s">
        <v>8</v>
      </c>
      <c r="D23" s="145" t="s">
        <v>39</v>
      </c>
      <c r="E23" s="160">
        <v>1</v>
      </c>
      <c r="F23" s="193"/>
      <c r="G23" s="150">
        <v>0</v>
      </c>
      <c r="H23" s="150">
        <v>3996</v>
      </c>
      <c r="I23" s="150">
        <v>0</v>
      </c>
      <c r="J23" s="150">
        <v>-113450</v>
      </c>
      <c r="K23" s="150">
        <v>0</v>
      </c>
      <c r="L23" s="150">
        <v>0</v>
      </c>
      <c r="M23" s="150">
        <v>44462</v>
      </c>
      <c r="N23" s="150">
        <v>0</v>
      </c>
      <c r="O23" s="150">
        <v>-86337</v>
      </c>
      <c r="P23" s="150">
        <v>0</v>
      </c>
      <c r="Q23" s="150">
        <v>0</v>
      </c>
      <c r="R23" s="150">
        <v>0</v>
      </c>
      <c r="S23" s="150">
        <v>0</v>
      </c>
      <c r="T23" s="150">
        <v>16099</v>
      </c>
      <c r="U23" s="150">
        <v>0</v>
      </c>
      <c r="V23" s="150">
        <v>0</v>
      </c>
      <c r="W23" s="150">
        <v>-23909</v>
      </c>
      <c r="X23" s="150">
        <v>0</v>
      </c>
      <c r="Y23" s="150">
        <v>0</v>
      </c>
      <c r="Z23" s="177"/>
      <c r="AA23" s="174">
        <f t="shared" si="4"/>
        <v>-159139</v>
      </c>
      <c r="AB23" s="152">
        <f t="shared" si="5"/>
        <v>-1.5913900000000001</v>
      </c>
    </row>
    <row r="24" spans="1:37" x14ac:dyDescent="0.25">
      <c r="A24" s="145" t="s">
        <v>24</v>
      </c>
      <c r="B24" s="144" t="s">
        <v>74</v>
      </c>
      <c r="C24" s="144" t="s">
        <v>58</v>
      </c>
      <c r="D24" s="145" t="s">
        <v>20</v>
      </c>
      <c r="E24" s="159">
        <v>2.5</v>
      </c>
      <c r="F24" s="193"/>
      <c r="G24" s="150">
        <v>74300</v>
      </c>
      <c r="H24" s="150">
        <v>54896</v>
      </c>
      <c r="I24" s="150">
        <v>-123000</v>
      </c>
      <c r="J24" s="150">
        <v>-92751</v>
      </c>
      <c r="K24" s="150">
        <v>0</v>
      </c>
      <c r="L24" s="150">
        <v>0</v>
      </c>
      <c r="M24" s="150">
        <v>30224</v>
      </c>
      <c r="N24" s="150">
        <v>0</v>
      </c>
      <c r="O24" s="150">
        <v>27513</v>
      </c>
      <c r="P24" s="150">
        <v>0</v>
      </c>
      <c r="Q24" s="150">
        <v>21944</v>
      </c>
      <c r="R24" s="150">
        <v>66248</v>
      </c>
      <c r="S24" s="150">
        <v>0</v>
      </c>
      <c r="T24" s="150">
        <v>59359</v>
      </c>
      <c r="U24" s="150">
        <v>-134039</v>
      </c>
      <c r="V24" s="150">
        <v>0</v>
      </c>
      <c r="W24" s="150">
        <v>95303</v>
      </c>
      <c r="X24" s="150">
        <v>-588</v>
      </c>
      <c r="Y24" s="150">
        <v>0</v>
      </c>
      <c r="Z24" s="177"/>
      <c r="AA24" s="174">
        <f t="shared" si="4"/>
        <v>79409</v>
      </c>
      <c r="AB24" s="152">
        <f t="shared" si="5"/>
        <v>0.31763599999999997</v>
      </c>
    </row>
    <row r="25" spans="1:37" x14ac:dyDescent="0.25">
      <c r="A25" s="145" t="s">
        <v>23</v>
      </c>
      <c r="B25" s="144" t="s">
        <v>75</v>
      </c>
      <c r="C25" s="144" t="s">
        <v>59</v>
      </c>
      <c r="D25" s="145" t="s">
        <v>3</v>
      </c>
      <c r="E25" s="159">
        <v>4</v>
      </c>
      <c r="F25" s="193"/>
      <c r="G25" s="150">
        <v>-60222</v>
      </c>
      <c r="H25" s="150">
        <v>-72063</v>
      </c>
      <c r="I25" s="150">
        <v>-254076</v>
      </c>
      <c r="J25" s="150">
        <v>-181719</v>
      </c>
      <c r="K25" s="150">
        <v>0</v>
      </c>
      <c r="L25" s="150">
        <v>0</v>
      </c>
      <c r="M25" s="150">
        <v>146544</v>
      </c>
      <c r="N25" s="150">
        <v>0</v>
      </c>
      <c r="O25" s="150">
        <v>106643</v>
      </c>
      <c r="P25" s="150">
        <v>0</v>
      </c>
      <c r="Q25" s="150">
        <v>130280</v>
      </c>
      <c r="R25" s="150">
        <v>101872</v>
      </c>
      <c r="S25" s="150">
        <v>0</v>
      </c>
      <c r="T25" s="150">
        <v>-66867</v>
      </c>
      <c r="U25" s="150">
        <v>-200039</v>
      </c>
      <c r="V25" s="150">
        <v>0</v>
      </c>
      <c r="W25" s="150">
        <v>63822</v>
      </c>
      <c r="X25" s="150">
        <v>-5127</v>
      </c>
      <c r="Y25" s="150">
        <v>0</v>
      </c>
      <c r="Z25" s="177"/>
      <c r="AA25" s="174">
        <f t="shared" si="4"/>
        <v>-290952</v>
      </c>
      <c r="AB25" s="152">
        <f t="shared" si="5"/>
        <v>-0.72738000000000003</v>
      </c>
    </row>
    <row r="26" spans="1:37" x14ac:dyDescent="0.25">
      <c r="A26" s="145" t="s">
        <v>112</v>
      </c>
      <c r="B26" s="144" t="s">
        <v>113</v>
      </c>
      <c r="C26" s="144" t="s">
        <v>111</v>
      </c>
      <c r="D26" s="145" t="s">
        <v>154</v>
      </c>
      <c r="E26" s="159">
        <v>1.1000000000000001</v>
      </c>
      <c r="F26" s="193"/>
      <c r="G26" s="150">
        <v>-30272</v>
      </c>
      <c r="H26" s="150">
        <v>12309</v>
      </c>
      <c r="I26" s="150">
        <v>-19774</v>
      </c>
      <c r="J26" s="150">
        <v>-56313</v>
      </c>
      <c r="K26" s="150">
        <v>0</v>
      </c>
      <c r="L26" s="150">
        <v>9300</v>
      </c>
      <c r="M26" s="150">
        <v>-15640</v>
      </c>
      <c r="N26" s="150">
        <v>-37774</v>
      </c>
      <c r="O26" s="150">
        <v>-16249</v>
      </c>
      <c r="P26" s="150">
        <v>-28294</v>
      </c>
      <c r="Q26" s="150">
        <v>26515</v>
      </c>
      <c r="R26" s="150">
        <v>37458</v>
      </c>
      <c r="S26" s="150">
        <v>-43039</v>
      </c>
      <c r="T26" s="150">
        <v>0</v>
      </c>
      <c r="U26" s="150">
        <v>0</v>
      </c>
      <c r="V26" s="150">
        <v>1396</v>
      </c>
      <c r="W26" s="150">
        <v>0</v>
      </c>
      <c r="X26" s="150">
        <v>8811</v>
      </c>
      <c r="Y26" s="150">
        <v>-26716</v>
      </c>
      <c r="Z26" s="177"/>
      <c r="AA26" s="174">
        <f t="shared" si="4"/>
        <v>-178282</v>
      </c>
      <c r="AB26" s="152">
        <f t="shared" si="5"/>
        <v>-1.6207454545454545</v>
      </c>
      <c r="AE26" s="136">
        <v>5199</v>
      </c>
    </row>
    <row r="27" spans="1:37" x14ac:dyDescent="0.25">
      <c r="A27" s="145" t="s">
        <v>150</v>
      </c>
      <c r="B27" s="144" t="s">
        <v>113</v>
      </c>
      <c r="C27" s="144" t="s">
        <v>130</v>
      </c>
      <c r="D27" s="145" t="s">
        <v>154</v>
      </c>
      <c r="E27" s="159">
        <v>0.25</v>
      </c>
      <c r="F27" s="193"/>
      <c r="G27" s="150">
        <v>0</v>
      </c>
      <c r="H27" s="150">
        <v>0</v>
      </c>
      <c r="I27" s="150">
        <v>0</v>
      </c>
      <c r="J27" s="150">
        <v>-76253</v>
      </c>
      <c r="K27" s="150">
        <v>0</v>
      </c>
      <c r="L27" s="150">
        <v>0</v>
      </c>
      <c r="M27" s="150">
        <v>0</v>
      </c>
      <c r="N27" s="150">
        <v>0</v>
      </c>
      <c r="O27" s="150">
        <v>0</v>
      </c>
      <c r="P27" s="150">
        <v>0</v>
      </c>
      <c r="Q27" s="150">
        <v>0</v>
      </c>
      <c r="R27" s="150">
        <v>0</v>
      </c>
      <c r="S27" s="150">
        <v>0</v>
      </c>
      <c r="T27" s="150">
        <v>0</v>
      </c>
      <c r="U27" s="150">
        <v>0</v>
      </c>
      <c r="V27" s="150">
        <v>0</v>
      </c>
      <c r="W27" s="150">
        <v>0</v>
      </c>
      <c r="X27" s="150">
        <v>0</v>
      </c>
      <c r="Y27" s="150">
        <v>0</v>
      </c>
      <c r="Z27" s="177"/>
      <c r="AA27" s="174">
        <f t="shared" si="4"/>
        <v>-76253</v>
      </c>
      <c r="AB27" s="152">
        <f t="shared" si="5"/>
        <v>-3.0501200000000002</v>
      </c>
      <c r="AE27" s="136">
        <v>4005</v>
      </c>
      <c r="AH27" s="136">
        <v>90975</v>
      </c>
      <c r="AK27" s="136">
        <v>-38200</v>
      </c>
    </row>
    <row r="28" spans="1:37" x14ac:dyDescent="0.25">
      <c r="A28" s="145" t="s">
        <v>168</v>
      </c>
      <c r="B28" s="144" t="s">
        <v>167</v>
      </c>
      <c r="C28" s="144" t="s">
        <v>228</v>
      </c>
      <c r="D28" s="145" t="s">
        <v>154</v>
      </c>
      <c r="E28" s="159">
        <v>1.5</v>
      </c>
      <c r="F28" s="193"/>
      <c r="G28" s="150">
        <v>-44200</v>
      </c>
      <c r="H28" s="150">
        <v>46000</v>
      </c>
      <c r="I28" s="150">
        <v>80000</v>
      </c>
      <c r="J28" s="150">
        <v>-128000</v>
      </c>
      <c r="K28" s="150">
        <v>0</v>
      </c>
      <c r="L28" s="150">
        <v>35000</v>
      </c>
      <c r="M28" s="150">
        <v>8000</v>
      </c>
      <c r="N28" s="150">
        <v>-21000</v>
      </c>
      <c r="O28" s="150">
        <v>18000</v>
      </c>
      <c r="P28" s="150">
        <v>-240000</v>
      </c>
      <c r="Q28" s="150">
        <v>59542</v>
      </c>
      <c r="R28" s="150">
        <v>-270000</v>
      </c>
      <c r="S28" s="150">
        <v>105000</v>
      </c>
      <c r="T28" s="150">
        <v>-111119</v>
      </c>
      <c r="U28" s="150">
        <v>32000</v>
      </c>
      <c r="V28" s="150">
        <v>61559</v>
      </c>
      <c r="W28" s="150">
        <v>121612</v>
      </c>
      <c r="X28" s="150">
        <v>-30000</v>
      </c>
      <c r="Y28" s="150">
        <v>275313</v>
      </c>
      <c r="Z28" s="177"/>
      <c r="AA28" s="174">
        <f t="shared" si="4"/>
        <v>-2293</v>
      </c>
      <c r="AB28" s="152">
        <f t="shared" si="5"/>
        <v>-1.5286666666666669E-2</v>
      </c>
      <c r="AE28" s="136">
        <v>-5157</v>
      </c>
      <c r="AH28" s="136">
        <v>-31616</v>
      </c>
      <c r="AK28" s="136">
        <v>11900</v>
      </c>
    </row>
    <row r="29" spans="1:37" x14ac:dyDescent="0.25">
      <c r="A29" s="145" t="s">
        <v>32</v>
      </c>
      <c r="B29" s="144" t="s">
        <v>64</v>
      </c>
      <c r="C29" s="145" t="s">
        <v>21</v>
      </c>
      <c r="D29" s="145" t="s">
        <v>40</v>
      </c>
      <c r="E29" s="159">
        <v>1.1000000000000001</v>
      </c>
      <c r="F29" s="194"/>
      <c r="G29" s="150">
        <v>1615</v>
      </c>
      <c r="H29" s="150">
        <v>81570</v>
      </c>
      <c r="I29" s="150">
        <v>-79164</v>
      </c>
      <c r="J29" s="150">
        <v>18000</v>
      </c>
      <c r="K29" s="150">
        <v>-23000</v>
      </c>
      <c r="L29" s="150">
        <v>69536</v>
      </c>
      <c r="M29" s="150">
        <v>50466</v>
      </c>
      <c r="N29" s="150">
        <v>8507</v>
      </c>
      <c r="O29" s="150">
        <v>-98936</v>
      </c>
      <c r="P29" s="150">
        <v>72368</v>
      </c>
      <c r="Q29" s="150">
        <v>-10692</v>
      </c>
      <c r="R29" s="150">
        <v>-25458</v>
      </c>
      <c r="S29" s="150">
        <v>-127854</v>
      </c>
      <c r="T29" s="150">
        <v>51359</v>
      </c>
      <c r="U29" s="150">
        <v>43571</v>
      </c>
      <c r="V29" s="150">
        <v>50</v>
      </c>
      <c r="W29" s="150">
        <v>-42654</v>
      </c>
      <c r="X29" s="150">
        <v>52928</v>
      </c>
      <c r="Y29" s="150">
        <v>-141813</v>
      </c>
      <c r="Z29" s="177"/>
      <c r="AA29" s="174">
        <f t="shared" si="4"/>
        <v>-99601</v>
      </c>
      <c r="AB29" s="152">
        <f t="shared" si="5"/>
        <v>-0.90546363636363636</v>
      </c>
    </row>
    <row r="30" spans="1:37" x14ac:dyDescent="0.25">
      <c r="A30" s="145" t="s">
        <v>119</v>
      </c>
      <c r="B30" s="144" t="s">
        <v>64</v>
      </c>
      <c r="C30" s="145" t="s">
        <v>236</v>
      </c>
      <c r="D30" s="145" t="s">
        <v>40</v>
      </c>
      <c r="E30" s="159">
        <v>0.5</v>
      </c>
      <c r="F30" s="194"/>
      <c r="G30" s="150">
        <v>-32000</v>
      </c>
      <c r="H30" s="150">
        <v>-50500</v>
      </c>
      <c r="I30" s="150">
        <v>18000</v>
      </c>
      <c r="J30" s="150">
        <v>-95000</v>
      </c>
      <c r="K30" s="150">
        <v>1000</v>
      </c>
      <c r="L30" s="150">
        <v>69000</v>
      </c>
      <c r="M30" s="150">
        <v>0</v>
      </c>
      <c r="N30" s="150">
        <v>-58500</v>
      </c>
      <c r="O30" s="150">
        <v>25000</v>
      </c>
      <c r="P30" s="150">
        <v>-12000</v>
      </c>
      <c r="Q30" s="150">
        <v>6694</v>
      </c>
      <c r="R30" s="150">
        <v>0</v>
      </c>
      <c r="S30" s="150">
        <v>0</v>
      </c>
      <c r="T30" s="150">
        <v>0</v>
      </c>
      <c r="U30" s="150">
        <v>0</v>
      </c>
      <c r="V30" s="150">
        <v>0</v>
      </c>
      <c r="W30" s="150">
        <v>0</v>
      </c>
      <c r="X30" s="150">
        <v>0</v>
      </c>
      <c r="Y30" s="150">
        <v>0</v>
      </c>
      <c r="Z30" s="177"/>
      <c r="AA30" s="174">
        <f t="shared" si="4"/>
        <v>-128306</v>
      </c>
      <c r="AB30" s="152">
        <f t="shared" si="5"/>
        <v>-2.5661200000000002</v>
      </c>
      <c r="AE30" s="136">
        <f>SUM(AE25:AE28)</f>
        <v>4047</v>
      </c>
      <c r="AH30" s="136">
        <f>SUM(AH27:AH28)</f>
        <v>59359</v>
      </c>
    </row>
    <row r="31" spans="1:37" x14ac:dyDescent="0.25">
      <c r="A31" s="145" t="s">
        <v>98</v>
      </c>
      <c r="B31" s="144" t="s">
        <v>69</v>
      </c>
      <c r="C31" s="144" t="s">
        <v>210</v>
      </c>
      <c r="D31" s="145" t="s">
        <v>109</v>
      </c>
      <c r="E31" s="159">
        <v>2.2999999999999998</v>
      </c>
      <c r="F31" s="194"/>
      <c r="G31" s="150">
        <v>227231</v>
      </c>
      <c r="H31" s="150">
        <v>73500</v>
      </c>
      <c r="I31" s="150">
        <v>432863</v>
      </c>
      <c r="J31" s="150">
        <v>185121</v>
      </c>
      <c r="K31" s="150">
        <v>-27635</v>
      </c>
      <c r="L31" s="150">
        <v>-298645</v>
      </c>
      <c r="M31" s="150">
        <v>-692681</v>
      </c>
      <c r="N31" s="150">
        <v>166144</v>
      </c>
      <c r="O31" s="150">
        <v>283223</v>
      </c>
      <c r="P31" s="150">
        <v>-144800</v>
      </c>
      <c r="Q31" s="150">
        <v>-172000</v>
      </c>
      <c r="R31" s="150">
        <v>172000</v>
      </c>
      <c r="S31" s="150">
        <v>44815</v>
      </c>
      <c r="T31" s="150">
        <v>34323</v>
      </c>
      <c r="U31" s="150">
        <v>136162</v>
      </c>
      <c r="V31" s="150">
        <v>411426</v>
      </c>
      <c r="W31" s="150">
        <v>21776</v>
      </c>
      <c r="X31" s="150">
        <v>278045</v>
      </c>
      <c r="Y31" s="150">
        <v>-442839</v>
      </c>
      <c r="Z31" s="177"/>
      <c r="AA31" s="174">
        <f t="shared" si="4"/>
        <v>688029</v>
      </c>
      <c r="AB31" s="152">
        <f t="shared" si="5"/>
        <v>2.9914304347826084</v>
      </c>
    </row>
    <row r="32" spans="1:37" x14ac:dyDescent="0.25">
      <c r="A32" s="145" t="s">
        <v>29</v>
      </c>
      <c r="B32" s="144" t="s">
        <v>22</v>
      </c>
      <c r="C32" s="144" t="s">
        <v>153</v>
      </c>
      <c r="D32" s="145" t="s">
        <v>5</v>
      </c>
      <c r="E32" s="159">
        <v>5</v>
      </c>
      <c r="F32" s="194"/>
      <c r="G32" s="150">
        <v>0</v>
      </c>
      <c r="H32" s="150">
        <v>91000</v>
      </c>
      <c r="I32" s="150">
        <v>-485000</v>
      </c>
      <c r="J32" s="150">
        <v>0</v>
      </c>
      <c r="K32" s="150">
        <v>0</v>
      </c>
      <c r="L32" s="150">
        <v>0</v>
      </c>
      <c r="M32" s="150">
        <v>316425</v>
      </c>
      <c r="N32" s="150">
        <v>0</v>
      </c>
      <c r="O32" s="150">
        <v>278700</v>
      </c>
      <c r="P32" s="150">
        <v>0</v>
      </c>
      <c r="Q32" s="150">
        <v>203108</v>
      </c>
      <c r="R32" s="150">
        <v>384770</v>
      </c>
      <c r="S32" s="150">
        <v>0</v>
      </c>
      <c r="T32" s="150">
        <v>16821</v>
      </c>
      <c r="U32" s="150">
        <v>-311000</v>
      </c>
      <c r="V32" s="150">
        <v>0</v>
      </c>
      <c r="W32" s="150">
        <v>342162</v>
      </c>
      <c r="X32" s="150">
        <v>4050</v>
      </c>
      <c r="Y32" s="150">
        <v>0</v>
      </c>
      <c r="Z32" s="177"/>
      <c r="AA32" s="174">
        <f t="shared" si="4"/>
        <v>841036</v>
      </c>
      <c r="AB32" s="152">
        <f t="shared" si="5"/>
        <v>1.682072</v>
      </c>
    </row>
    <row r="33" spans="1:31" x14ac:dyDescent="0.25">
      <c r="A33" s="145" t="s">
        <v>28</v>
      </c>
      <c r="B33" s="144" t="s">
        <v>157</v>
      </c>
      <c r="C33" s="144" t="s">
        <v>123</v>
      </c>
      <c r="D33" s="145" t="s">
        <v>92</v>
      </c>
      <c r="E33" s="159">
        <v>10</v>
      </c>
      <c r="F33" s="194"/>
      <c r="G33" s="150">
        <v>0</v>
      </c>
      <c r="H33" s="150">
        <v>-450000</v>
      </c>
      <c r="I33" s="150">
        <v>350000</v>
      </c>
      <c r="J33" s="150">
        <v>315000</v>
      </c>
      <c r="K33" s="150">
        <v>1000</v>
      </c>
      <c r="L33" s="150">
        <v>0</v>
      </c>
      <c r="M33" s="150">
        <v>30000</v>
      </c>
      <c r="N33" s="150">
        <v>-480000</v>
      </c>
      <c r="O33" s="150">
        <v>-506000</v>
      </c>
      <c r="P33" s="150">
        <v>0</v>
      </c>
      <c r="Q33" s="150">
        <v>-1300</v>
      </c>
      <c r="R33" s="150">
        <v>630000</v>
      </c>
      <c r="S33" s="150">
        <v>14125</v>
      </c>
      <c r="T33" s="150">
        <v>304670</v>
      </c>
      <c r="U33" s="150">
        <v>0</v>
      </c>
      <c r="V33" s="150">
        <v>0</v>
      </c>
      <c r="W33" s="150">
        <v>-433430</v>
      </c>
      <c r="X33" s="150">
        <v>195470</v>
      </c>
      <c r="Y33" s="150">
        <v>0</v>
      </c>
      <c r="Z33" s="177"/>
      <c r="AA33" s="174">
        <f t="shared" si="4"/>
        <v>-30465</v>
      </c>
      <c r="AB33" s="152">
        <f t="shared" si="5"/>
        <v>-3.0464999999999999E-2</v>
      </c>
    </row>
    <row r="34" spans="1:31" x14ac:dyDescent="0.25">
      <c r="A34" s="145" t="s">
        <v>194</v>
      </c>
      <c r="B34" s="144" t="s">
        <v>187</v>
      </c>
      <c r="C34" s="144" t="s">
        <v>188</v>
      </c>
      <c r="D34" s="145" t="s">
        <v>92</v>
      </c>
      <c r="E34" s="159">
        <v>13</v>
      </c>
      <c r="F34" s="193"/>
      <c r="G34" s="150">
        <v>0</v>
      </c>
      <c r="H34" s="150">
        <v>-435000</v>
      </c>
      <c r="I34" s="150">
        <v>355000</v>
      </c>
      <c r="J34" s="150">
        <v>325000</v>
      </c>
      <c r="K34" s="150">
        <v>-2000</v>
      </c>
      <c r="L34" s="150">
        <v>0</v>
      </c>
      <c r="M34" s="150">
        <v>30000</v>
      </c>
      <c r="N34" s="150">
        <v>-480000</v>
      </c>
      <c r="O34" s="150">
        <v>-580000</v>
      </c>
      <c r="P34" s="150">
        <v>0</v>
      </c>
      <c r="Q34" s="150">
        <v>-3077</v>
      </c>
      <c r="R34" s="150">
        <v>1023900</v>
      </c>
      <c r="S34" s="150">
        <v>29034</v>
      </c>
      <c r="T34" s="150">
        <v>370833</v>
      </c>
      <c r="U34" s="150">
        <v>0</v>
      </c>
      <c r="V34" s="150">
        <v>0</v>
      </c>
      <c r="W34" s="150">
        <v>-543250</v>
      </c>
      <c r="X34" s="150">
        <v>266831</v>
      </c>
      <c r="Y34" s="150">
        <v>0</v>
      </c>
      <c r="Z34" s="177"/>
      <c r="AA34" s="174">
        <f t="shared" ref="AA34:AA64" si="10">SUM(G34:Z34)</f>
        <v>357271</v>
      </c>
      <c r="AB34" s="152">
        <f t="shared" ref="AB34:AB64" si="11">IFERROR(AA34/E34*100,0)/10000000</f>
        <v>0.27482384615384614</v>
      </c>
      <c r="AE34" s="137"/>
    </row>
    <row r="35" spans="1:31" x14ac:dyDescent="0.25">
      <c r="A35" s="145" t="s">
        <v>198</v>
      </c>
      <c r="B35" s="144" t="s">
        <v>181</v>
      </c>
      <c r="C35" s="144" t="s">
        <v>183</v>
      </c>
      <c r="D35" s="145" t="s">
        <v>92</v>
      </c>
      <c r="E35" s="159">
        <v>6</v>
      </c>
      <c r="F35" s="193"/>
      <c r="G35" s="150">
        <v>0</v>
      </c>
      <c r="H35" s="150">
        <v>-126000</v>
      </c>
      <c r="I35" s="150">
        <v>100000</v>
      </c>
      <c r="J35" s="150">
        <v>91000</v>
      </c>
      <c r="K35" s="150">
        <v>-500</v>
      </c>
      <c r="L35" s="150">
        <v>0</v>
      </c>
      <c r="M35" s="150">
        <v>9000</v>
      </c>
      <c r="N35" s="150">
        <v>-136000</v>
      </c>
      <c r="O35" s="150">
        <v>-163000</v>
      </c>
      <c r="P35" s="150">
        <v>0</v>
      </c>
      <c r="Q35" s="150">
        <v>-922</v>
      </c>
      <c r="R35" s="150">
        <v>368281</v>
      </c>
      <c r="S35" s="150">
        <v>13291</v>
      </c>
      <c r="T35" s="150">
        <v>165436</v>
      </c>
      <c r="U35" s="150">
        <v>0</v>
      </c>
      <c r="V35" s="150">
        <v>0</v>
      </c>
      <c r="W35" s="150">
        <v>-240186</v>
      </c>
      <c r="X35" s="150">
        <v>119000</v>
      </c>
      <c r="Y35" s="150">
        <v>0</v>
      </c>
      <c r="Z35" s="177"/>
      <c r="AA35" s="174">
        <f t="shared" si="10"/>
        <v>199400</v>
      </c>
      <c r="AB35" s="152">
        <f t="shared" si="11"/>
        <v>0.33233333333333337</v>
      </c>
      <c r="AD35" s="5"/>
      <c r="AE35" s="137">
        <v>17901</v>
      </c>
    </row>
    <row r="36" spans="1:31" x14ac:dyDescent="0.25">
      <c r="A36" s="145" t="s">
        <v>149</v>
      </c>
      <c r="B36" s="144" t="s">
        <v>148</v>
      </c>
      <c r="C36" s="144" t="s">
        <v>142</v>
      </c>
      <c r="D36" s="145" t="s">
        <v>92</v>
      </c>
      <c r="E36" s="159">
        <v>1.5</v>
      </c>
      <c r="F36" s="193"/>
      <c r="G36" s="150">
        <v>0</v>
      </c>
      <c r="H36" s="150">
        <v>-64000</v>
      </c>
      <c r="I36" s="150">
        <v>48000</v>
      </c>
      <c r="J36" s="150">
        <v>45000</v>
      </c>
      <c r="K36" s="150">
        <v>-500</v>
      </c>
      <c r="L36" s="150">
        <v>0</v>
      </c>
      <c r="M36" s="150">
        <v>5000</v>
      </c>
      <c r="N36" s="150">
        <v>-70000</v>
      </c>
      <c r="O36" s="150">
        <v>-88000</v>
      </c>
      <c r="P36" s="150">
        <v>0</v>
      </c>
      <c r="Q36" s="150">
        <v>-300</v>
      </c>
      <c r="R36" s="150">
        <v>92330</v>
      </c>
      <c r="S36" s="150">
        <v>3700</v>
      </c>
      <c r="T36" s="150">
        <v>41310</v>
      </c>
      <c r="U36" s="150">
        <v>0</v>
      </c>
      <c r="V36" s="150">
        <v>0</v>
      </c>
      <c r="W36" s="150">
        <v>-59889</v>
      </c>
      <c r="X36" s="150">
        <v>29775</v>
      </c>
      <c r="Y36" s="150">
        <v>0</v>
      </c>
      <c r="Z36" s="177"/>
      <c r="AA36" s="174">
        <f t="shared" si="10"/>
        <v>-17574</v>
      </c>
      <c r="AB36" s="152">
        <f t="shared" si="11"/>
        <v>-0.11716</v>
      </c>
      <c r="AD36" s="5"/>
      <c r="AE36" s="137"/>
    </row>
    <row r="37" spans="1:31" x14ac:dyDescent="0.25">
      <c r="A37" s="166" t="s">
        <v>209</v>
      </c>
      <c r="B37" s="144" t="s">
        <v>207</v>
      </c>
      <c r="C37" s="144" t="s">
        <v>208</v>
      </c>
      <c r="D37" s="145" t="s">
        <v>92</v>
      </c>
      <c r="E37" s="167">
        <v>1.25</v>
      </c>
      <c r="F37" s="198"/>
      <c r="G37" s="154">
        <v>0</v>
      </c>
      <c r="H37" s="154">
        <v>-64000</v>
      </c>
      <c r="I37" s="154">
        <v>48000</v>
      </c>
      <c r="J37" s="154">
        <v>45000</v>
      </c>
      <c r="K37" s="154">
        <v>-500</v>
      </c>
      <c r="L37" s="154">
        <v>0</v>
      </c>
      <c r="M37" s="154">
        <v>5000</v>
      </c>
      <c r="N37" s="154">
        <v>-70000</v>
      </c>
      <c r="O37" s="154">
        <v>-83000</v>
      </c>
      <c r="P37" s="154">
        <v>0</v>
      </c>
      <c r="Q37" s="154">
        <v>-425</v>
      </c>
      <c r="R37" s="154">
        <v>92511</v>
      </c>
      <c r="S37" s="154">
        <v>3550</v>
      </c>
      <c r="T37" s="154">
        <v>41235</v>
      </c>
      <c r="U37" s="154">
        <v>0</v>
      </c>
      <c r="V37" s="154">
        <v>0</v>
      </c>
      <c r="W37" s="154">
        <v>-60000</v>
      </c>
      <c r="X37" s="154">
        <v>29387</v>
      </c>
      <c r="Y37" s="154">
        <v>0</v>
      </c>
      <c r="Z37" s="178"/>
      <c r="AA37" s="174">
        <f t="shared" si="10"/>
        <v>-13242</v>
      </c>
      <c r="AB37" s="152">
        <f t="shared" si="11"/>
        <v>-0.105936</v>
      </c>
      <c r="AD37" s="137">
        <v>48119</v>
      </c>
      <c r="AE37" s="137">
        <f>(AD38+AD37)/10000000*13780</f>
        <v>157.28354199999998</v>
      </c>
    </row>
    <row r="38" spans="1:31" x14ac:dyDescent="0.25">
      <c r="A38" s="62" t="s">
        <v>1</v>
      </c>
      <c r="B38" s="62" t="s">
        <v>115</v>
      </c>
      <c r="C38" s="62" t="s">
        <v>253</v>
      </c>
      <c r="D38" s="144" t="s">
        <v>93</v>
      </c>
      <c r="E38" s="115">
        <v>1.5</v>
      </c>
      <c r="F38" s="199"/>
      <c r="G38" s="154">
        <v>0</v>
      </c>
      <c r="H38" s="154">
        <v>-64000</v>
      </c>
      <c r="I38" s="154">
        <v>48000</v>
      </c>
      <c r="J38" s="154">
        <v>45000</v>
      </c>
      <c r="K38" s="154">
        <v>-500</v>
      </c>
      <c r="L38" s="154">
        <v>0</v>
      </c>
      <c r="M38" s="154">
        <v>5000</v>
      </c>
      <c r="N38" s="154">
        <v>-70000</v>
      </c>
      <c r="O38" s="154">
        <v>-86000</v>
      </c>
      <c r="P38" s="154">
        <v>0</v>
      </c>
      <c r="Q38" s="154">
        <v>-210</v>
      </c>
      <c r="R38" s="154">
        <v>92274</v>
      </c>
      <c r="S38" s="154">
        <v>3550</v>
      </c>
      <c r="T38" s="154">
        <v>41492</v>
      </c>
      <c r="U38" s="154">
        <v>0</v>
      </c>
      <c r="V38" s="154">
        <v>0</v>
      </c>
      <c r="W38" s="154">
        <v>-60533</v>
      </c>
      <c r="X38" s="154">
        <v>29837</v>
      </c>
      <c r="Y38" s="154">
        <v>0</v>
      </c>
      <c r="Z38" s="178"/>
      <c r="AA38" s="174">
        <f t="shared" si="10"/>
        <v>-16090</v>
      </c>
      <c r="AB38" s="152">
        <f t="shared" si="11"/>
        <v>-0.10726666666666665</v>
      </c>
      <c r="AD38" s="137">
        <v>66020</v>
      </c>
      <c r="AE38" s="137"/>
    </row>
    <row r="39" spans="1:31" x14ac:dyDescent="0.25">
      <c r="A39" s="145" t="s">
        <v>66</v>
      </c>
      <c r="B39" s="144" t="s">
        <v>65</v>
      </c>
      <c r="C39" s="144" t="s">
        <v>7</v>
      </c>
      <c r="D39" s="145" t="s">
        <v>154</v>
      </c>
      <c r="E39" s="159">
        <v>5</v>
      </c>
      <c r="F39" s="193"/>
      <c r="G39" s="150">
        <v>0</v>
      </c>
      <c r="H39" s="150">
        <v>-113337</v>
      </c>
      <c r="I39" s="150">
        <v>0</v>
      </c>
      <c r="J39" s="150">
        <v>-25000</v>
      </c>
      <c r="K39" s="150">
        <v>0</v>
      </c>
      <c r="L39" s="150">
        <v>0</v>
      </c>
      <c r="M39" s="150">
        <v>263247</v>
      </c>
      <c r="N39" s="150">
        <v>0</v>
      </c>
      <c r="O39" s="150">
        <v>222637</v>
      </c>
      <c r="P39" s="150">
        <v>0</v>
      </c>
      <c r="Q39" s="150">
        <v>0</v>
      </c>
      <c r="R39" s="150">
        <v>507515</v>
      </c>
      <c r="S39" s="150">
        <v>0</v>
      </c>
      <c r="T39" s="150">
        <v>-196449</v>
      </c>
      <c r="U39" s="150">
        <v>0</v>
      </c>
      <c r="V39" s="150">
        <v>0</v>
      </c>
      <c r="W39" s="150">
        <v>6889</v>
      </c>
      <c r="X39" s="150">
        <v>178726</v>
      </c>
      <c r="Y39" s="150">
        <v>0</v>
      </c>
      <c r="Z39" s="177"/>
      <c r="AA39" s="174">
        <f t="shared" si="10"/>
        <v>844228</v>
      </c>
      <c r="AB39" s="152">
        <f t="shared" si="11"/>
        <v>1.688456</v>
      </c>
      <c r="AD39" s="137"/>
      <c r="AE39" s="137"/>
    </row>
    <row r="40" spans="1:31" x14ac:dyDescent="0.25">
      <c r="A40" s="144" t="s">
        <v>34</v>
      </c>
      <c r="B40" s="146" t="s">
        <v>18</v>
      </c>
      <c r="C40" s="144" t="s">
        <v>10</v>
      </c>
      <c r="D40" s="145" t="s">
        <v>154</v>
      </c>
      <c r="E40" s="119">
        <v>5</v>
      </c>
      <c r="F40" s="200"/>
      <c r="G40" s="150">
        <v>101487</v>
      </c>
      <c r="H40" s="150">
        <v>-30944</v>
      </c>
      <c r="I40" s="150">
        <v>-299979</v>
      </c>
      <c r="J40" s="150">
        <v>-244898</v>
      </c>
      <c r="K40" s="150">
        <v>-200000</v>
      </c>
      <c r="L40" s="150">
        <v>36873</v>
      </c>
      <c r="M40" s="150">
        <v>46086</v>
      </c>
      <c r="N40" s="150">
        <v>-63687</v>
      </c>
      <c r="O40" s="150">
        <v>-36516</v>
      </c>
      <c r="P40" s="150">
        <v>129260</v>
      </c>
      <c r="Q40" s="150">
        <v>152628</v>
      </c>
      <c r="R40" s="150">
        <v>-14592</v>
      </c>
      <c r="S40" s="150">
        <v>15819</v>
      </c>
      <c r="T40" s="150">
        <v>-65859</v>
      </c>
      <c r="U40" s="150">
        <v>-179874</v>
      </c>
      <c r="V40" s="150">
        <v>-24927</v>
      </c>
      <c r="W40" s="150">
        <v>0</v>
      </c>
      <c r="X40" s="150">
        <v>0</v>
      </c>
      <c r="Y40" s="150">
        <v>48284</v>
      </c>
      <c r="Z40" s="177"/>
      <c r="AA40" s="174">
        <f t="shared" si="10"/>
        <v>-630839</v>
      </c>
      <c r="AB40" s="152">
        <f t="shared" si="11"/>
        <v>-1.2616780000000001</v>
      </c>
      <c r="AD40" s="137"/>
      <c r="AE40" s="137"/>
    </row>
    <row r="41" spans="1:31" x14ac:dyDescent="0.25">
      <c r="A41" s="144" t="s">
        <v>133</v>
      </c>
      <c r="B41" s="146" t="s">
        <v>132</v>
      </c>
      <c r="C41" s="144" t="s">
        <v>16</v>
      </c>
      <c r="D41" s="145" t="s">
        <v>118</v>
      </c>
      <c r="E41" s="119">
        <v>0.5</v>
      </c>
      <c r="F41" s="200"/>
      <c r="G41" s="150">
        <v>-136</v>
      </c>
      <c r="H41" s="150">
        <v>-72694</v>
      </c>
      <c r="I41" s="150">
        <v>5031</v>
      </c>
      <c r="J41" s="150">
        <v>-42713</v>
      </c>
      <c r="K41" s="150">
        <v>-28500</v>
      </c>
      <c r="L41" s="150">
        <v>-3197</v>
      </c>
      <c r="M41" s="150">
        <v>50620</v>
      </c>
      <c r="N41" s="150">
        <v>-5718</v>
      </c>
      <c r="O41" s="150">
        <v>50901</v>
      </c>
      <c r="P41" s="150">
        <v>-14735</v>
      </c>
      <c r="Q41" s="150">
        <v>11914</v>
      </c>
      <c r="R41" s="150">
        <v>0</v>
      </c>
      <c r="S41" s="150">
        <v>24588</v>
      </c>
      <c r="T41" s="150">
        <v>72311</v>
      </c>
      <c r="U41" s="150">
        <v>16798</v>
      </c>
      <c r="V41" s="150">
        <v>-29907</v>
      </c>
      <c r="W41" s="150">
        <v>-10359</v>
      </c>
      <c r="X41" s="150">
        <v>-24749</v>
      </c>
      <c r="Y41" s="150">
        <v>-21931</v>
      </c>
      <c r="Z41" s="177"/>
      <c r="AA41" s="174">
        <f t="shared" si="10"/>
        <v>-22476</v>
      </c>
      <c r="AB41" s="152">
        <f t="shared" si="11"/>
        <v>-0.44951999999999998</v>
      </c>
      <c r="AD41" s="137"/>
      <c r="AE41" s="196">
        <f>AE35-AE37</f>
        <v>17743.716457999999</v>
      </c>
    </row>
    <row r="42" spans="1:31" x14ac:dyDescent="0.25">
      <c r="A42" s="146" t="s">
        <v>26</v>
      </c>
      <c r="B42" s="144" t="s">
        <v>156</v>
      </c>
      <c r="C42" s="144" t="s">
        <v>15</v>
      </c>
      <c r="D42" s="146" t="s">
        <v>40</v>
      </c>
      <c r="E42" s="160">
        <v>0.6</v>
      </c>
      <c r="F42" s="195"/>
      <c r="G42" s="150">
        <v>0</v>
      </c>
      <c r="H42" s="150">
        <v>56826</v>
      </c>
      <c r="I42" s="150">
        <v>0</v>
      </c>
      <c r="J42" s="150">
        <v>0</v>
      </c>
      <c r="K42" s="150">
        <v>0</v>
      </c>
      <c r="L42" s="150">
        <v>0</v>
      </c>
      <c r="M42" s="150">
        <v>0</v>
      </c>
      <c r="N42" s="150">
        <v>0</v>
      </c>
      <c r="O42" s="150">
        <v>0</v>
      </c>
      <c r="P42" s="150">
        <v>0</v>
      </c>
      <c r="Q42" s="150">
        <v>0</v>
      </c>
      <c r="R42" s="150">
        <v>0</v>
      </c>
      <c r="S42" s="150">
        <v>0</v>
      </c>
      <c r="T42" s="150">
        <v>0</v>
      </c>
      <c r="U42" s="150">
        <v>0</v>
      </c>
      <c r="V42" s="150">
        <v>0</v>
      </c>
      <c r="W42" s="150">
        <v>0</v>
      </c>
      <c r="X42" s="150">
        <v>0</v>
      </c>
      <c r="Y42" s="150">
        <v>0</v>
      </c>
      <c r="Z42" s="177"/>
      <c r="AA42" s="174">
        <f t="shared" si="10"/>
        <v>56826</v>
      </c>
      <c r="AB42" s="152">
        <f t="shared" si="11"/>
        <v>0.94710000000000005</v>
      </c>
      <c r="AD42" s="137"/>
    </row>
    <row r="43" spans="1:31" x14ac:dyDescent="0.25">
      <c r="A43" s="43" t="s">
        <v>68</v>
      </c>
      <c r="B43" s="144" t="s">
        <v>156</v>
      </c>
      <c r="C43" s="144" t="s">
        <v>60</v>
      </c>
      <c r="D43" s="145" t="s">
        <v>4</v>
      </c>
      <c r="E43" s="159">
        <v>0.4</v>
      </c>
      <c r="F43" s="194"/>
      <c r="G43" s="150">
        <v>-3009</v>
      </c>
      <c r="H43" s="150">
        <v>-41003</v>
      </c>
      <c r="I43" s="150">
        <v>1418</v>
      </c>
      <c r="J43" s="150">
        <v>-7197</v>
      </c>
      <c r="K43" s="150">
        <v>0</v>
      </c>
      <c r="L43" s="150">
        <v>-5359</v>
      </c>
      <c r="M43" s="150">
        <v>36543</v>
      </c>
      <c r="N43" s="150">
        <v>-30436</v>
      </c>
      <c r="O43" s="150">
        <v>-37195</v>
      </c>
      <c r="P43" s="150">
        <v>-1157</v>
      </c>
      <c r="Q43" s="150">
        <v>40364</v>
      </c>
      <c r="R43" s="150">
        <v>49203</v>
      </c>
      <c r="S43" s="150">
        <v>7500</v>
      </c>
      <c r="T43" s="150">
        <v>-1525</v>
      </c>
      <c r="U43" s="150">
        <v>-6593</v>
      </c>
      <c r="V43" s="150">
        <v>18444</v>
      </c>
      <c r="W43" s="150">
        <v>-53451</v>
      </c>
      <c r="X43" s="150">
        <v>14521</v>
      </c>
      <c r="Y43" s="150">
        <v>9700</v>
      </c>
      <c r="Z43" s="177"/>
      <c r="AA43" s="174">
        <f t="shared" si="10"/>
        <v>-9232</v>
      </c>
      <c r="AB43" s="152">
        <f t="shared" si="11"/>
        <v>-0.23080000000000001</v>
      </c>
    </row>
    <row r="44" spans="1:31" x14ac:dyDescent="0.25">
      <c r="A44" s="43" t="s">
        <v>145</v>
      </c>
      <c r="B44" s="144" t="s">
        <v>19</v>
      </c>
      <c r="C44" s="145" t="s">
        <v>143</v>
      </c>
      <c r="D44" s="145" t="s">
        <v>109</v>
      </c>
      <c r="E44" s="159">
        <v>0.5</v>
      </c>
      <c r="F44" s="194"/>
      <c r="G44" s="150">
        <v>0</v>
      </c>
      <c r="H44" s="150">
        <v>0</v>
      </c>
      <c r="I44" s="150">
        <v>0</v>
      </c>
      <c r="J44" s="150">
        <v>0</v>
      </c>
      <c r="K44" s="150">
        <v>0</v>
      </c>
      <c r="L44" s="150">
        <v>-45000</v>
      </c>
      <c r="M44" s="150">
        <v>17000</v>
      </c>
      <c r="N44" s="150">
        <v>-160000</v>
      </c>
      <c r="O44" s="150">
        <v>50000</v>
      </c>
      <c r="P44" s="150">
        <v>-9600</v>
      </c>
      <c r="Q44" s="150">
        <v>-33608</v>
      </c>
      <c r="R44" s="150">
        <v>-8791</v>
      </c>
      <c r="S44" s="150">
        <v>-43766</v>
      </c>
      <c r="T44" s="150">
        <v>0</v>
      </c>
      <c r="U44" s="150">
        <v>0</v>
      </c>
      <c r="V44" s="150">
        <v>-60908</v>
      </c>
      <c r="W44" s="150">
        <v>0</v>
      </c>
      <c r="X44" s="150">
        <v>-24000</v>
      </c>
      <c r="Y44" s="150">
        <v>0</v>
      </c>
      <c r="Z44" s="177"/>
      <c r="AA44" s="174">
        <f t="shared" si="10"/>
        <v>-318673</v>
      </c>
      <c r="AB44" s="152">
        <f t="shared" si="11"/>
        <v>-6.3734599999999997</v>
      </c>
    </row>
    <row r="45" spans="1:31" x14ac:dyDescent="0.25">
      <c r="A45" s="43" t="s">
        <v>146</v>
      </c>
      <c r="B45" s="144" t="s">
        <v>19</v>
      </c>
      <c r="C45" s="145" t="s">
        <v>143</v>
      </c>
      <c r="D45" s="145" t="s">
        <v>147</v>
      </c>
      <c r="E45" s="159">
        <v>0.5</v>
      </c>
      <c r="F45" s="194"/>
      <c r="G45" s="150">
        <v>0</v>
      </c>
      <c r="H45" s="150">
        <v>-15000</v>
      </c>
      <c r="I45" s="150">
        <v>5000</v>
      </c>
      <c r="J45" s="150">
        <v>-50000</v>
      </c>
      <c r="K45" s="150">
        <v>0</v>
      </c>
      <c r="L45" s="150">
        <v>0</v>
      </c>
      <c r="M45" s="150">
        <v>31000</v>
      </c>
      <c r="N45" s="150">
        <v>-46000</v>
      </c>
      <c r="O45" s="150">
        <v>-55000</v>
      </c>
      <c r="P45" s="150">
        <v>-6000</v>
      </c>
      <c r="Q45" s="150">
        <v>-79560</v>
      </c>
      <c r="R45" s="150">
        <v>0</v>
      </c>
      <c r="S45" s="150">
        <v>0</v>
      </c>
      <c r="T45" s="150">
        <v>0</v>
      </c>
      <c r="U45" s="150">
        <v>-39000</v>
      </c>
      <c r="V45" s="150">
        <v>0</v>
      </c>
      <c r="W45" s="150">
        <v>0</v>
      </c>
      <c r="X45" s="150">
        <v>-16000</v>
      </c>
      <c r="Y45" s="150">
        <v>64000</v>
      </c>
      <c r="Z45" s="177"/>
      <c r="AA45" s="174">
        <f t="shared" si="10"/>
        <v>-206560</v>
      </c>
      <c r="AB45" s="152">
        <f t="shared" si="11"/>
        <v>-4.1311999999999998</v>
      </c>
    </row>
    <row r="46" spans="1:31" x14ac:dyDescent="0.25">
      <c r="A46" s="145" t="s">
        <v>31</v>
      </c>
      <c r="B46" s="146" t="s">
        <v>155</v>
      </c>
      <c r="C46" s="145" t="s">
        <v>227</v>
      </c>
      <c r="D46" s="145" t="s">
        <v>102</v>
      </c>
      <c r="E46" s="159">
        <v>4</v>
      </c>
      <c r="F46" s="194"/>
      <c r="G46" s="150">
        <v>-35300</v>
      </c>
      <c r="H46" s="150">
        <v>-80000</v>
      </c>
      <c r="I46" s="150">
        <v>-18000</v>
      </c>
      <c r="J46" s="150">
        <v>-145000</v>
      </c>
      <c r="K46" s="150">
        <v>1000</v>
      </c>
      <c r="L46" s="150">
        <v>-99000</v>
      </c>
      <c r="M46" s="150">
        <v>11000</v>
      </c>
      <c r="N46" s="150">
        <v>17000</v>
      </c>
      <c r="O46" s="150">
        <v>38000</v>
      </c>
      <c r="P46" s="150">
        <v>-156000</v>
      </c>
      <c r="Q46" s="150">
        <v>-54000</v>
      </c>
      <c r="R46" s="150">
        <v>128721</v>
      </c>
      <c r="S46" s="150">
        <v>106753</v>
      </c>
      <c r="T46" s="150">
        <v>31672</v>
      </c>
      <c r="U46" s="150">
        <v>8000</v>
      </c>
      <c r="V46" s="150">
        <v>-617</v>
      </c>
      <c r="W46" s="150">
        <v>-58000</v>
      </c>
      <c r="X46" s="150">
        <v>-48000</v>
      </c>
      <c r="Y46" s="150">
        <v>68000</v>
      </c>
      <c r="Z46" s="177"/>
      <c r="AA46" s="174">
        <f t="shared" si="10"/>
        <v>-283771</v>
      </c>
      <c r="AB46" s="152">
        <f t="shared" si="11"/>
        <v>-0.70942749999999999</v>
      </c>
    </row>
    <row r="47" spans="1:31" x14ac:dyDescent="0.25">
      <c r="A47" s="145" t="s">
        <v>106</v>
      </c>
      <c r="B47" s="146" t="s">
        <v>107</v>
      </c>
      <c r="C47" s="145" t="s">
        <v>158</v>
      </c>
      <c r="D47" s="145" t="s">
        <v>108</v>
      </c>
      <c r="E47" s="159">
        <v>1</v>
      </c>
      <c r="F47" s="194"/>
      <c r="G47" s="150">
        <v>46983</v>
      </c>
      <c r="H47" s="150">
        <v>7501</v>
      </c>
      <c r="I47" s="150">
        <v>84232</v>
      </c>
      <c r="J47" s="150">
        <v>52317</v>
      </c>
      <c r="K47" s="150">
        <v>-15263</v>
      </c>
      <c r="L47" s="150">
        <v>-60961</v>
      </c>
      <c r="M47" s="150">
        <v>-120014</v>
      </c>
      <c r="N47" s="150">
        <v>41263</v>
      </c>
      <c r="O47" s="150">
        <v>33817</v>
      </c>
      <c r="P47" s="150">
        <v>-45270</v>
      </c>
      <c r="Q47" s="150">
        <v>-34400</v>
      </c>
      <c r="R47" s="150">
        <v>44617</v>
      </c>
      <c r="S47" s="150">
        <v>15095</v>
      </c>
      <c r="T47" s="150">
        <v>12924</v>
      </c>
      <c r="U47" s="150">
        <v>-2891</v>
      </c>
      <c r="V47" s="150">
        <v>60996</v>
      </c>
      <c r="W47" s="150">
        <v>1620</v>
      </c>
      <c r="X47" s="150">
        <v>14898</v>
      </c>
      <c r="Y47" s="150">
        <v>-62531</v>
      </c>
      <c r="Z47" s="177"/>
      <c r="AA47" s="174">
        <f t="shared" si="10"/>
        <v>74933</v>
      </c>
      <c r="AB47" s="152">
        <f t="shared" si="11"/>
        <v>0.74933000000000005</v>
      </c>
    </row>
    <row r="48" spans="1:31" x14ac:dyDescent="0.25">
      <c r="A48" s="145" t="s">
        <v>234</v>
      </c>
      <c r="B48" s="146" t="s">
        <v>107</v>
      </c>
      <c r="C48" s="145" t="s">
        <v>222</v>
      </c>
      <c r="D48" s="145" t="s">
        <v>223</v>
      </c>
      <c r="E48" s="159">
        <v>0.5</v>
      </c>
      <c r="F48" s="194"/>
      <c r="G48" s="150">
        <v>0</v>
      </c>
      <c r="H48" s="150">
        <v>0</v>
      </c>
      <c r="I48" s="150">
        <v>0</v>
      </c>
      <c r="J48" s="150">
        <v>0</v>
      </c>
      <c r="K48" s="150">
        <v>0</v>
      </c>
      <c r="L48" s="150">
        <v>0</v>
      </c>
      <c r="M48" s="150">
        <v>0</v>
      </c>
      <c r="N48" s="150">
        <v>0</v>
      </c>
      <c r="O48" s="150">
        <v>-479</v>
      </c>
      <c r="P48" s="150">
        <v>-2716</v>
      </c>
      <c r="Q48" s="150">
        <v>-500</v>
      </c>
      <c r="R48" s="150">
        <v>-800</v>
      </c>
      <c r="S48" s="150">
        <v>0</v>
      </c>
      <c r="T48" s="150">
        <v>-4062</v>
      </c>
      <c r="U48" s="150">
        <v>1845</v>
      </c>
      <c r="V48" s="150">
        <v>9043</v>
      </c>
      <c r="W48" s="150">
        <v>-18075</v>
      </c>
      <c r="X48" s="150">
        <v>-4188</v>
      </c>
      <c r="Y48" s="150">
        <v>17743</v>
      </c>
      <c r="Z48" s="177"/>
      <c r="AA48" s="174">
        <f t="shared" si="10"/>
        <v>-2189</v>
      </c>
      <c r="AB48" s="152">
        <f t="shared" si="11"/>
        <v>-4.3779999999999999E-2</v>
      </c>
    </row>
    <row r="49" spans="1:31" x14ac:dyDescent="0.25">
      <c r="A49" s="145" t="s">
        <v>52</v>
      </c>
      <c r="B49" s="146" t="s">
        <v>117</v>
      </c>
      <c r="C49" s="145" t="s">
        <v>224</v>
      </c>
      <c r="D49" s="145" t="s">
        <v>118</v>
      </c>
      <c r="E49" s="159">
        <v>3</v>
      </c>
      <c r="F49" s="194"/>
      <c r="G49" s="150">
        <v>0</v>
      </c>
      <c r="H49" s="150">
        <v>6500</v>
      </c>
      <c r="I49" s="150">
        <v>-265000</v>
      </c>
      <c r="J49" s="150">
        <v>-109000</v>
      </c>
      <c r="K49" s="150">
        <v>500</v>
      </c>
      <c r="L49" s="150">
        <v>59000</v>
      </c>
      <c r="M49" s="150">
        <v>31000</v>
      </c>
      <c r="N49" s="150">
        <v>68000</v>
      </c>
      <c r="O49" s="150">
        <v>11000</v>
      </c>
      <c r="P49" s="150">
        <v>-1000</v>
      </c>
      <c r="Q49" s="150">
        <v>77778</v>
      </c>
      <c r="R49" s="150">
        <v>0</v>
      </c>
      <c r="S49" s="150">
        <v>50000</v>
      </c>
      <c r="T49" s="150">
        <v>8000</v>
      </c>
      <c r="U49" s="150">
        <v>48000</v>
      </c>
      <c r="V49" s="150">
        <v>60046</v>
      </c>
      <c r="W49" s="150">
        <v>29608</v>
      </c>
      <c r="X49" s="150">
        <v>42000</v>
      </c>
      <c r="Y49" s="150">
        <v>58000</v>
      </c>
      <c r="Z49" s="177"/>
      <c r="AA49" s="174">
        <f t="shared" si="10"/>
        <v>174432</v>
      </c>
      <c r="AB49" s="152">
        <f t="shared" si="11"/>
        <v>0.58143999999999996</v>
      </c>
    </row>
    <row r="50" spans="1:31" x14ac:dyDescent="0.25">
      <c r="A50" s="145" t="s">
        <v>45</v>
      </c>
      <c r="B50" s="146" t="s">
        <v>99</v>
      </c>
      <c r="C50" s="145" t="s">
        <v>225</v>
      </c>
      <c r="D50" s="145" t="s">
        <v>159</v>
      </c>
      <c r="E50" s="159">
        <v>3</v>
      </c>
      <c r="F50" s="194"/>
      <c r="G50" s="150">
        <v>-66500</v>
      </c>
      <c r="H50" s="150">
        <v>83000</v>
      </c>
      <c r="I50" s="150">
        <v>-55000</v>
      </c>
      <c r="J50" s="150">
        <v>-78000</v>
      </c>
      <c r="K50" s="150">
        <v>11000</v>
      </c>
      <c r="L50" s="150">
        <v>63000</v>
      </c>
      <c r="M50" s="150">
        <v>43000</v>
      </c>
      <c r="N50" s="150">
        <v>-119000</v>
      </c>
      <c r="O50" s="150">
        <v>-18000</v>
      </c>
      <c r="P50" s="150">
        <v>-49000</v>
      </c>
      <c r="Q50" s="150">
        <v>16185</v>
      </c>
      <c r="R50" s="150">
        <v>114686</v>
      </c>
      <c r="S50" s="150">
        <v>69000</v>
      </c>
      <c r="T50" s="150">
        <v>-65640</v>
      </c>
      <c r="U50" s="150">
        <v>-12500</v>
      </c>
      <c r="V50" s="150">
        <v>39320</v>
      </c>
      <c r="W50" s="150">
        <v>19000</v>
      </c>
      <c r="X50" s="150">
        <v>60000</v>
      </c>
      <c r="Y50" s="150">
        <v>22000</v>
      </c>
      <c r="Z50" s="177"/>
      <c r="AA50" s="174">
        <f t="shared" si="10"/>
        <v>76551</v>
      </c>
      <c r="AB50" s="152">
        <f t="shared" si="11"/>
        <v>0.25517000000000001</v>
      </c>
    </row>
    <row r="51" spans="1:31" x14ac:dyDescent="0.25">
      <c r="A51" s="145" t="s">
        <v>197</v>
      </c>
      <c r="B51" s="146" t="s">
        <v>189</v>
      </c>
      <c r="C51" s="145" t="s">
        <v>226</v>
      </c>
      <c r="D51" s="145" t="s">
        <v>159</v>
      </c>
      <c r="E51" s="159">
        <v>3</v>
      </c>
      <c r="F51" s="194"/>
      <c r="G51" s="150">
        <v>-33300</v>
      </c>
      <c r="H51" s="150">
        <v>83000</v>
      </c>
      <c r="I51" s="150">
        <v>-55000</v>
      </c>
      <c r="J51" s="150">
        <v>-78000</v>
      </c>
      <c r="K51" s="150">
        <v>8000</v>
      </c>
      <c r="L51" s="150">
        <v>63000</v>
      </c>
      <c r="M51" s="150">
        <v>43000</v>
      </c>
      <c r="N51" s="150">
        <v>-123000</v>
      </c>
      <c r="O51" s="150">
        <v>-18000</v>
      </c>
      <c r="P51" s="150">
        <v>-46000</v>
      </c>
      <c r="Q51" s="150">
        <v>68536</v>
      </c>
      <c r="R51" s="150">
        <v>110724</v>
      </c>
      <c r="S51" s="150">
        <v>69000</v>
      </c>
      <c r="T51" s="150">
        <v>-65640</v>
      </c>
      <c r="U51" s="150">
        <v>-12500</v>
      </c>
      <c r="V51" s="150">
        <v>38591</v>
      </c>
      <c r="W51" s="150">
        <v>18000</v>
      </c>
      <c r="X51" s="150">
        <v>60000</v>
      </c>
      <c r="Y51" s="150">
        <v>22000</v>
      </c>
      <c r="Z51" s="177"/>
      <c r="AA51" s="174">
        <f t="shared" si="10"/>
        <v>152411</v>
      </c>
      <c r="AB51" s="152">
        <f t="shared" si="11"/>
        <v>0.50803666666666658</v>
      </c>
    </row>
    <row r="52" spans="1:31" x14ac:dyDescent="0.25">
      <c r="A52" s="145" t="s">
        <v>134</v>
      </c>
      <c r="B52" s="146" t="s">
        <v>131</v>
      </c>
      <c r="C52" s="145" t="s">
        <v>17</v>
      </c>
      <c r="D52" s="145"/>
      <c r="E52" s="159">
        <v>1.5</v>
      </c>
      <c r="F52" s="194"/>
      <c r="G52" s="150">
        <v>-700</v>
      </c>
      <c r="H52" s="150">
        <v>10350</v>
      </c>
      <c r="I52" s="150">
        <v>-88158</v>
      </c>
      <c r="J52" s="150">
        <v>-5000</v>
      </c>
      <c r="K52" s="150">
        <v>0</v>
      </c>
      <c r="L52" s="150">
        <v>28423</v>
      </c>
      <c r="M52" s="150">
        <v>27004</v>
      </c>
      <c r="N52" s="150">
        <v>-63753</v>
      </c>
      <c r="O52" s="150">
        <v>3731</v>
      </c>
      <c r="P52" s="150">
        <v>13370</v>
      </c>
      <c r="Q52" s="150">
        <v>33960</v>
      </c>
      <c r="R52" s="150">
        <v>0</v>
      </c>
      <c r="S52" s="150">
        <v>19629</v>
      </c>
      <c r="T52" s="150">
        <v>-5883</v>
      </c>
      <c r="U52" s="150">
        <v>1322</v>
      </c>
      <c r="V52" s="150">
        <v>20170</v>
      </c>
      <c r="W52" s="150">
        <v>-12215</v>
      </c>
      <c r="X52" s="150">
        <v>29269</v>
      </c>
      <c r="Y52" s="150">
        <v>0</v>
      </c>
      <c r="Z52" s="177"/>
      <c r="AA52" s="174">
        <f t="shared" si="10"/>
        <v>11519</v>
      </c>
      <c r="AB52" s="152">
        <f t="shared" si="11"/>
        <v>7.6793333333333325E-2</v>
      </c>
    </row>
    <row r="53" spans="1:31" x14ac:dyDescent="0.25">
      <c r="A53" s="145" t="s">
        <v>48</v>
      </c>
      <c r="B53" s="144" t="s">
        <v>96</v>
      </c>
      <c r="C53" s="145" t="s">
        <v>233</v>
      </c>
      <c r="D53" s="145" t="s">
        <v>109</v>
      </c>
      <c r="E53" s="159">
        <v>1</v>
      </c>
      <c r="F53" s="194"/>
      <c r="G53" s="150">
        <v>58500</v>
      </c>
      <c r="H53" s="150">
        <v>1305</v>
      </c>
      <c r="I53" s="150">
        <v>27811</v>
      </c>
      <c r="J53" s="150">
        <v>47443</v>
      </c>
      <c r="K53" s="150">
        <v>28870</v>
      </c>
      <c r="L53" s="150">
        <v>-26287</v>
      </c>
      <c r="M53" s="150">
        <v>-135007</v>
      </c>
      <c r="N53" s="150">
        <v>53595</v>
      </c>
      <c r="O53" s="150">
        <v>5304</v>
      </c>
      <c r="P53" s="150">
        <v>-44617</v>
      </c>
      <c r="Q53" s="150">
        <v>-74199</v>
      </c>
      <c r="R53" s="150">
        <v>56905</v>
      </c>
      <c r="S53" s="150">
        <v>12260</v>
      </c>
      <c r="T53" s="150">
        <v>35394</v>
      </c>
      <c r="U53" s="150">
        <v>31713</v>
      </c>
      <c r="V53" s="150">
        <v>62982</v>
      </c>
      <c r="W53" s="150">
        <v>46290</v>
      </c>
      <c r="X53" s="150">
        <v>48817</v>
      </c>
      <c r="Y53" s="150">
        <v>-4511</v>
      </c>
      <c r="Z53" s="177"/>
      <c r="AA53" s="174">
        <f t="shared" si="10"/>
        <v>232568</v>
      </c>
      <c r="AB53" s="152">
        <f t="shared" si="11"/>
        <v>2.3256800000000002</v>
      </c>
    </row>
    <row r="54" spans="1:31" x14ac:dyDescent="0.25">
      <c r="A54" s="146" t="s">
        <v>171</v>
      </c>
      <c r="B54" s="144" t="s">
        <v>172</v>
      </c>
      <c r="C54" s="59" t="s">
        <v>232</v>
      </c>
      <c r="D54" s="166"/>
      <c r="E54" s="115">
        <v>0.5</v>
      </c>
      <c r="F54" s="194"/>
      <c r="G54" s="150">
        <v>0</v>
      </c>
      <c r="H54" s="150">
        <v>0</v>
      </c>
      <c r="I54" s="150">
        <v>24000</v>
      </c>
      <c r="J54" s="150">
        <v>-128000</v>
      </c>
      <c r="K54" s="150">
        <v>0</v>
      </c>
      <c r="L54" s="150">
        <v>0</v>
      </c>
      <c r="M54" s="150">
        <v>0</v>
      </c>
      <c r="N54" s="150">
        <v>-6500</v>
      </c>
      <c r="O54" s="150">
        <v>108000</v>
      </c>
      <c r="P54" s="150">
        <v>0</v>
      </c>
      <c r="Q54" s="150">
        <v>-27500</v>
      </c>
      <c r="R54" s="150">
        <v>0</v>
      </c>
      <c r="S54" s="150">
        <v>0</v>
      </c>
      <c r="T54" s="150">
        <v>222000</v>
      </c>
      <c r="U54" s="150">
        <v>0</v>
      </c>
      <c r="V54" s="150">
        <v>0</v>
      </c>
      <c r="W54" s="150">
        <v>0</v>
      </c>
      <c r="X54" s="150">
        <v>160000</v>
      </c>
      <c r="Y54" s="150">
        <v>0</v>
      </c>
      <c r="Z54" s="177"/>
      <c r="AA54" s="174">
        <f t="shared" si="10"/>
        <v>352000</v>
      </c>
      <c r="AB54" s="152">
        <f t="shared" si="11"/>
        <v>7.04</v>
      </c>
    </row>
    <row r="55" spans="1:31" x14ac:dyDescent="0.25">
      <c r="A55" s="146" t="s">
        <v>205</v>
      </c>
      <c r="B55" s="144" t="s">
        <v>172</v>
      </c>
      <c r="C55" s="59"/>
      <c r="D55" s="166"/>
      <c r="E55" s="115">
        <v>4</v>
      </c>
      <c r="F55" s="194"/>
      <c r="G55" s="150">
        <v>-19500</v>
      </c>
      <c r="H55" s="150">
        <v>0</v>
      </c>
      <c r="I55" s="150">
        <v>8000</v>
      </c>
      <c r="J55" s="150">
        <v>500</v>
      </c>
      <c r="K55" s="150">
        <v>0</v>
      </c>
      <c r="L55" s="150">
        <v>11000</v>
      </c>
      <c r="M55" s="150">
        <v>0</v>
      </c>
      <c r="N55" s="150">
        <v>-25000</v>
      </c>
      <c r="O55" s="150">
        <v>-35000</v>
      </c>
      <c r="P55" s="150">
        <v>-20000</v>
      </c>
      <c r="Q55" s="150">
        <v>0</v>
      </c>
      <c r="R55" s="150">
        <v>0</v>
      </c>
      <c r="S55" s="150">
        <v>-26500</v>
      </c>
      <c r="T55" s="150">
        <v>200</v>
      </c>
      <c r="U55" s="150">
        <v>0</v>
      </c>
      <c r="V55" s="150">
        <v>0</v>
      </c>
      <c r="W55" s="150">
        <v>0</v>
      </c>
      <c r="X55" s="150">
        <v>0</v>
      </c>
      <c r="Y55" s="150">
        <v>0</v>
      </c>
      <c r="Z55" s="177"/>
      <c r="AA55" s="174">
        <f t="shared" si="10"/>
        <v>-106300</v>
      </c>
      <c r="AB55" s="152">
        <f t="shared" si="11"/>
        <v>-0.26574999999999999</v>
      </c>
    </row>
    <row r="56" spans="1:31" x14ac:dyDescent="0.25">
      <c r="A56" s="146" t="s">
        <v>206</v>
      </c>
      <c r="B56" s="144" t="s">
        <v>172</v>
      </c>
      <c r="C56" s="59"/>
      <c r="D56" s="166"/>
      <c r="E56" s="115">
        <v>4</v>
      </c>
      <c r="F56" s="194"/>
      <c r="G56" s="150">
        <v>-500</v>
      </c>
      <c r="H56" s="150">
        <v>150000</v>
      </c>
      <c r="I56" s="150">
        <v>0</v>
      </c>
      <c r="J56" s="150">
        <v>-1000</v>
      </c>
      <c r="K56" s="150">
        <v>3000</v>
      </c>
      <c r="L56" s="150">
        <v>-34000</v>
      </c>
      <c r="M56" s="150">
        <v>-140000</v>
      </c>
      <c r="N56" s="150">
        <v>0</v>
      </c>
      <c r="O56" s="150">
        <v>0</v>
      </c>
      <c r="P56" s="150">
        <v>-7000</v>
      </c>
      <c r="Q56" s="150">
        <v>0</v>
      </c>
      <c r="R56" s="150">
        <v>0</v>
      </c>
      <c r="S56" s="150">
        <v>0</v>
      </c>
      <c r="T56" s="150">
        <v>0</v>
      </c>
      <c r="U56" s="150">
        <v>17000</v>
      </c>
      <c r="V56" s="150">
        <v>29000</v>
      </c>
      <c r="W56" s="150">
        <v>130000</v>
      </c>
      <c r="X56" s="150">
        <v>0</v>
      </c>
      <c r="Y56" s="150">
        <v>-800</v>
      </c>
      <c r="Z56" s="177"/>
      <c r="AA56" s="174">
        <f t="shared" si="10"/>
        <v>145700</v>
      </c>
      <c r="AB56" s="152">
        <f t="shared" si="11"/>
        <v>0.36425000000000002</v>
      </c>
    </row>
    <row r="57" spans="1:31" x14ac:dyDescent="0.25">
      <c r="A57" s="146" t="s">
        <v>33</v>
      </c>
      <c r="B57" s="144" t="s">
        <v>14</v>
      </c>
      <c r="C57" s="146" t="s">
        <v>13</v>
      </c>
      <c r="D57" s="145" t="s">
        <v>154</v>
      </c>
      <c r="E57" s="119">
        <v>3</v>
      </c>
      <c r="F57" s="200"/>
      <c r="G57" s="150">
        <v>-48522</v>
      </c>
      <c r="H57" s="150">
        <v>73579</v>
      </c>
      <c r="I57" s="150">
        <v>101256</v>
      </c>
      <c r="J57" s="150">
        <v>-308992</v>
      </c>
      <c r="K57" s="150">
        <v>0</v>
      </c>
      <c r="L57" s="150">
        <v>24749</v>
      </c>
      <c r="M57" s="150">
        <v>309013</v>
      </c>
      <c r="N57" s="150">
        <v>0</v>
      </c>
      <c r="O57" s="150">
        <v>89413</v>
      </c>
      <c r="P57" s="150">
        <v>0</v>
      </c>
      <c r="Q57" s="150">
        <v>62928</v>
      </c>
      <c r="R57" s="150">
        <v>-125982</v>
      </c>
      <c r="S57" s="150">
        <v>-14857</v>
      </c>
      <c r="T57" s="150">
        <v>-93373</v>
      </c>
      <c r="U57" s="150">
        <v>0</v>
      </c>
      <c r="V57" s="150">
        <v>52250</v>
      </c>
      <c r="W57" s="150">
        <v>254491</v>
      </c>
      <c r="X57" s="150">
        <v>162521</v>
      </c>
      <c r="Y57" s="150">
        <v>0</v>
      </c>
      <c r="Z57" s="177"/>
      <c r="AA57" s="174">
        <f t="shared" si="10"/>
        <v>538474</v>
      </c>
      <c r="AB57" s="152">
        <f t="shared" si="11"/>
        <v>1.7949133333333336</v>
      </c>
      <c r="AE57" s="137"/>
    </row>
    <row r="58" spans="1:31" x14ac:dyDescent="0.25">
      <c r="A58" s="146" t="s">
        <v>105</v>
      </c>
      <c r="B58" s="146" t="s">
        <v>0</v>
      </c>
      <c r="C58" s="59" t="s">
        <v>97</v>
      </c>
      <c r="D58" s="166" t="s">
        <v>57</v>
      </c>
      <c r="E58" s="115">
        <v>1.5</v>
      </c>
      <c r="F58" s="23"/>
      <c r="G58" s="154">
        <v>-36545</v>
      </c>
      <c r="H58" s="154">
        <v>50000</v>
      </c>
      <c r="I58" s="154">
        <v>21824</v>
      </c>
      <c r="J58" s="154">
        <v>0</v>
      </c>
      <c r="K58" s="154">
        <v>0</v>
      </c>
      <c r="L58" s="154">
        <v>0</v>
      </c>
      <c r="M58" s="154">
        <v>0</v>
      </c>
      <c r="N58" s="154">
        <v>0</v>
      </c>
      <c r="O58" s="154">
        <v>0</v>
      </c>
      <c r="P58" s="154">
        <v>0</v>
      </c>
      <c r="Q58" s="154">
        <v>0</v>
      </c>
      <c r="R58" s="154">
        <v>0</v>
      </c>
      <c r="S58" s="154">
        <v>0</v>
      </c>
      <c r="T58" s="154">
        <v>0</v>
      </c>
      <c r="U58" s="154">
        <v>0</v>
      </c>
      <c r="V58" s="154">
        <v>0</v>
      </c>
      <c r="W58" s="154">
        <v>0</v>
      </c>
      <c r="X58" s="154">
        <v>0</v>
      </c>
      <c r="Y58" s="154">
        <v>0</v>
      </c>
      <c r="Z58" s="178"/>
      <c r="AA58" s="174">
        <f t="shared" si="10"/>
        <v>35279</v>
      </c>
      <c r="AB58" s="152">
        <f t="shared" si="11"/>
        <v>0.23519333333333331</v>
      </c>
      <c r="AD58" s="137"/>
    </row>
    <row r="59" spans="1:31" x14ac:dyDescent="0.25">
      <c r="A59" s="59" t="s">
        <v>201</v>
      </c>
      <c r="B59" s="62" t="s">
        <v>199</v>
      </c>
      <c r="C59" s="59" t="s">
        <v>200</v>
      </c>
      <c r="D59" s="145" t="s">
        <v>154</v>
      </c>
      <c r="E59" s="115">
        <v>0.5</v>
      </c>
      <c r="F59" s="23"/>
      <c r="G59" s="154">
        <v>1518</v>
      </c>
      <c r="H59" s="154">
        <v>-6205</v>
      </c>
      <c r="I59" s="154">
        <v>26986</v>
      </c>
      <c r="J59" s="154">
        <v>-18600</v>
      </c>
      <c r="K59" s="154">
        <v>-35000</v>
      </c>
      <c r="L59" s="154">
        <v>-2167</v>
      </c>
      <c r="M59" s="154">
        <v>-1118</v>
      </c>
      <c r="N59" s="154">
        <v>-9939</v>
      </c>
      <c r="O59" s="154">
        <v>5008</v>
      </c>
      <c r="P59" s="154">
        <v>-700</v>
      </c>
      <c r="Q59" s="154">
        <v>-4033</v>
      </c>
      <c r="R59" s="154">
        <v>159</v>
      </c>
      <c r="S59" s="154">
        <v>4462</v>
      </c>
      <c r="T59" s="154">
        <v>0</v>
      </c>
      <c r="U59" s="154">
        <v>100</v>
      </c>
      <c r="V59" s="154">
        <v>-14986</v>
      </c>
      <c r="W59" s="154">
        <v>3252</v>
      </c>
      <c r="X59" s="154">
        <v>7919</v>
      </c>
      <c r="Y59" s="154">
        <v>-1112</v>
      </c>
      <c r="Z59" s="178"/>
      <c r="AA59" s="174">
        <f t="shared" si="10"/>
        <v>-44456</v>
      </c>
      <c r="AB59" s="152">
        <f t="shared" si="11"/>
        <v>-0.88912000000000002</v>
      </c>
      <c r="AE59" s="137">
        <v>-21573</v>
      </c>
    </row>
    <row r="60" spans="1:31" x14ac:dyDescent="0.25">
      <c r="A60" s="59" t="s">
        <v>217</v>
      </c>
      <c r="B60" s="62" t="s">
        <v>213</v>
      </c>
      <c r="C60" s="59" t="s">
        <v>214</v>
      </c>
      <c r="D60" s="145" t="s">
        <v>154</v>
      </c>
      <c r="E60" s="115">
        <v>4</v>
      </c>
      <c r="F60" s="23"/>
      <c r="G60" s="154">
        <v>0</v>
      </c>
      <c r="H60" s="154">
        <v>-225359</v>
      </c>
      <c r="I60" s="154">
        <v>0</v>
      </c>
      <c r="J60" s="154">
        <v>-179558</v>
      </c>
      <c r="K60" s="154">
        <v>0</v>
      </c>
      <c r="L60" s="154">
        <v>0</v>
      </c>
      <c r="M60" s="154">
        <v>60412</v>
      </c>
      <c r="N60" s="154">
        <v>0</v>
      </c>
      <c r="O60" s="154">
        <v>38570</v>
      </c>
      <c r="P60" s="154">
        <v>0</v>
      </c>
      <c r="Q60" s="154">
        <v>0</v>
      </c>
      <c r="R60" s="154">
        <v>107783</v>
      </c>
      <c r="S60" s="154">
        <v>0</v>
      </c>
      <c r="T60" s="154">
        <v>-89206</v>
      </c>
      <c r="U60" s="154">
        <v>0</v>
      </c>
      <c r="V60" s="154">
        <v>0</v>
      </c>
      <c r="W60" s="154">
        <v>31037</v>
      </c>
      <c r="X60" s="154">
        <v>49962</v>
      </c>
      <c r="Y60" s="154">
        <v>0</v>
      </c>
      <c r="Z60" s="178"/>
      <c r="AA60" s="174">
        <f t="shared" si="10"/>
        <v>-206359</v>
      </c>
      <c r="AB60" s="152">
        <f t="shared" si="11"/>
        <v>-0.51589750000000001</v>
      </c>
      <c r="AD60" s="5"/>
      <c r="AE60" s="137"/>
    </row>
    <row r="61" spans="1:31" x14ac:dyDescent="0.25">
      <c r="A61" s="59" t="s">
        <v>218</v>
      </c>
      <c r="B61" s="62" t="s">
        <v>213</v>
      </c>
      <c r="C61" s="59" t="s">
        <v>215</v>
      </c>
      <c r="D61" s="145" t="s">
        <v>154</v>
      </c>
      <c r="E61" s="115">
        <v>1</v>
      </c>
      <c r="F61" s="23"/>
      <c r="G61" s="154">
        <v>0</v>
      </c>
      <c r="H61" s="154">
        <v>-85207</v>
      </c>
      <c r="I61" s="154">
        <v>0</v>
      </c>
      <c r="J61" s="154">
        <v>-95000</v>
      </c>
      <c r="K61" s="154">
        <v>0</v>
      </c>
      <c r="L61" s="154">
        <v>0</v>
      </c>
      <c r="M61" s="154">
        <v>141453</v>
      </c>
      <c r="N61" s="154">
        <v>0</v>
      </c>
      <c r="O61" s="154">
        <v>191404</v>
      </c>
      <c r="P61" s="154">
        <v>0</v>
      </c>
      <c r="Q61" s="154">
        <v>0</v>
      </c>
      <c r="R61" s="154">
        <v>-126671</v>
      </c>
      <c r="S61" s="154">
        <v>0</v>
      </c>
      <c r="T61" s="154">
        <v>-71123</v>
      </c>
      <c r="U61" s="154">
        <v>0</v>
      </c>
      <c r="V61" s="154">
        <v>0</v>
      </c>
      <c r="W61" s="154">
        <v>7749</v>
      </c>
      <c r="X61" s="154">
        <v>-15315</v>
      </c>
      <c r="Y61" s="154">
        <v>0</v>
      </c>
      <c r="Z61" s="178"/>
      <c r="AA61" s="174">
        <f t="shared" si="10"/>
        <v>-52710</v>
      </c>
      <c r="AB61" s="152">
        <f t="shared" si="11"/>
        <v>-0.52710000000000001</v>
      </c>
      <c r="AD61" s="137">
        <v>140738</v>
      </c>
      <c r="AE61" s="137">
        <f>(AD62+AD61)/10000000*13780</f>
        <v>358.14495600000004</v>
      </c>
    </row>
    <row r="62" spans="1:31" x14ac:dyDescent="0.25">
      <c r="A62" s="59" t="s">
        <v>122</v>
      </c>
      <c r="B62" s="59" t="s">
        <v>100</v>
      </c>
      <c r="C62" s="59" t="s">
        <v>38</v>
      </c>
      <c r="D62" s="145" t="s">
        <v>88</v>
      </c>
      <c r="E62" s="115">
        <v>1.5</v>
      </c>
      <c r="F62" s="23"/>
      <c r="G62" s="154">
        <v>0</v>
      </c>
      <c r="H62" s="154">
        <v>0</v>
      </c>
      <c r="I62" s="154">
        <v>0</v>
      </c>
      <c r="J62" s="154">
        <v>0</v>
      </c>
      <c r="K62" s="154">
        <v>0</v>
      </c>
      <c r="L62" s="154">
        <v>0</v>
      </c>
      <c r="M62" s="154">
        <v>0</v>
      </c>
      <c r="N62" s="154">
        <v>0</v>
      </c>
      <c r="O62" s="154">
        <v>0</v>
      </c>
      <c r="P62" s="154">
        <v>0</v>
      </c>
      <c r="Q62" s="154">
        <v>0</v>
      </c>
      <c r="R62" s="154">
        <v>0</v>
      </c>
      <c r="S62" s="154">
        <v>0</v>
      </c>
      <c r="T62" s="154">
        <v>0</v>
      </c>
      <c r="U62" s="154">
        <v>0</v>
      </c>
      <c r="V62" s="154">
        <v>0</v>
      </c>
      <c r="W62" s="154">
        <v>0</v>
      </c>
      <c r="X62" s="154">
        <v>0</v>
      </c>
      <c r="Y62" s="154">
        <v>0</v>
      </c>
      <c r="Z62" s="178"/>
      <c r="AA62" s="174">
        <f t="shared" si="10"/>
        <v>0</v>
      </c>
      <c r="AB62" s="152">
        <f t="shared" si="11"/>
        <v>0</v>
      </c>
      <c r="AD62" s="137">
        <v>119164</v>
      </c>
      <c r="AE62" s="137"/>
    </row>
    <row r="63" spans="1:31" x14ac:dyDescent="0.25">
      <c r="A63" s="59" t="s">
        <v>49</v>
      </c>
      <c r="B63" s="59" t="s">
        <v>100</v>
      </c>
      <c r="C63" s="59" t="s">
        <v>101</v>
      </c>
      <c r="D63" s="145" t="s">
        <v>88</v>
      </c>
      <c r="E63" s="115">
        <v>3</v>
      </c>
      <c r="F63" s="23"/>
      <c r="G63" s="154">
        <v>0</v>
      </c>
      <c r="H63" s="154">
        <v>-69000</v>
      </c>
      <c r="I63" s="154">
        <v>0</v>
      </c>
      <c r="J63" s="154">
        <v>-238545</v>
      </c>
      <c r="K63" s="154">
        <v>0</v>
      </c>
      <c r="L63" s="154">
        <v>0</v>
      </c>
      <c r="M63" s="154">
        <v>187709</v>
      </c>
      <c r="N63" s="154">
        <v>0</v>
      </c>
      <c r="O63" s="154">
        <v>47815</v>
      </c>
      <c r="P63" s="154">
        <v>0</v>
      </c>
      <c r="Q63" s="154">
        <v>0</v>
      </c>
      <c r="R63" s="154">
        <v>-255562</v>
      </c>
      <c r="S63" s="154">
        <v>0</v>
      </c>
      <c r="T63" s="154">
        <v>-90634</v>
      </c>
      <c r="U63" s="154">
        <v>0</v>
      </c>
      <c r="V63" s="154">
        <v>0</v>
      </c>
      <c r="W63" s="154">
        <v>191250</v>
      </c>
      <c r="X63" s="154">
        <v>53544</v>
      </c>
      <c r="Y63" s="154">
        <v>0</v>
      </c>
      <c r="Z63" s="178"/>
      <c r="AA63" s="174">
        <f t="shared" si="10"/>
        <v>-173423</v>
      </c>
      <c r="AB63" s="152">
        <f t="shared" si="11"/>
        <v>-0.57807666666666657</v>
      </c>
      <c r="AD63" s="137"/>
      <c r="AE63" s="137"/>
    </row>
    <row r="64" spans="1:31" ht="30.75" customHeight="1" x14ac:dyDescent="0.25">
      <c r="A64" s="59" t="s">
        <v>41</v>
      </c>
      <c r="B64" s="59" t="s">
        <v>87</v>
      </c>
      <c r="C64" s="59" t="s">
        <v>247</v>
      </c>
      <c r="D64" s="145" t="s">
        <v>88</v>
      </c>
      <c r="E64" s="115">
        <v>2.5</v>
      </c>
      <c r="F64" s="23"/>
      <c r="G64" s="154">
        <v>0</v>
      </c>
      <c r="H64" s="154">
        <v>-34086</v>
      </c>
      <c r="I64" s="154">
        <v>0</v>
      </c>
      <c r="J64" s="154">
        <v>-40040</v>
      </c>
      <c r="K64" s="154">
        <v>0</v>
      </c>
      <c r="L64" s="154">
        <v>0</v>
      </c>
      <c r="M64" s="154">
        <v>31455</v>
      </c>
      <c r="N64" s="154">
        <v>0</v>
      </c>
      <c r="O64" s="154">
        <v>0</v>
      </c>
      <c r="P64" s="154">
        <v>0</v>
      </c>
      <c r="Q64" s="154">
        <v>0</v>
      </c>
      <c r="R64" s="154">
        <v>0</v>
      </c>
      <c r="S64" s="154">
        <v>0</v>
      </c>
      <c r="T64" s="154">
        <v>0</v>
      </c>
      <c r="U64" s="154">
        <v>0</v>
      </c>
      <c r="V64" s="154">
        <v>0</v>
      </c>
      <c r="W64" s="154">
        <v>0</v>
      </c>
      <c r="X64" s="154">
        <v>0</v>
      </c>
      <c r="Y64" s="154">
        <v>-7500</v>
      </c>
      <c r="Z64" s="178"/>
      <c r="AA64" s="174">
        <f t="shared" si="10"/>
        <v>-50171</v>
      </c>
      <c r="AB64" s="152">
        <f t="shared" si="11"/>
        <v>-0.20068400000000003</v>
      </c>
      <c r="AD64" s="137"/>
      <c r="AE64" s="196">
        <f>AE59-AE61</f>
        <v>-21931.144956</v>
      </c>
    </row>
    <row r="65" spans="1:30" ht="15.75" thickBot="1" x14ac:dyDescent="0.3">
      <c r="A65" s="20"/>
      <c r="B65" s="21"/>
      <c r="C65" s="20"/>
      <c r="D65" s="22"/>
      <c r="E65" s="115"/>
      <c r="F65" s="23"/>
      <c r="G65" s="154"/>
      <c r="H65" s="154"/>
      <c r="I65" s="154"/>
      <c r="J65" s="154"/>
      <c r="K65" s="154"/>
      <c r="L65" s="154"/>
      <c r="M65" s="154"/>
      <c r="N65" s="154"/>
      <c r="O65" s="154"/>
      <c r="P65" s="154"/>
      <c r="Q65" s="154"/>
      <c r="R65" s="154"/>
      <c r="S65" s="154"/>
      <c r="T65" s="154"/>
      <c r="U65" s="154"/>
      <c r="V65" s="154"/>
      <c r="W65" s="154"/>
      <c r="X65" s="154"/>
      <c r="Y65" s="154"/>
      <c r="Z65" s="178"/>
      <c r="AA65" s="174"/>
      <c r="AB65" s="152"/>
      <c r="AD65" s="137"/>
    </row>
    <row r="66" spans="1:30" ht="15.75" thickBot="1" x14ac:dyDescent="0.3">
      <c r="A66" s="24"/>
      <c r="B66" s="25"/>
      <c r="C66" s="26"/>
      <c r="D66" s="24"/>
      <c r="E66" s="116"/>
      <c r="F66" s="16"/>
      <c r="G66" s="172">
        <f t="shared" ref="G66:Z66" si="12">SUM(G4:G64)</f>
        <v>-99848</v>
      </c>
      <c r="H66" s="172">
        <f t="shared" si="12"/>
        <v>-1552552</v>
      </c>
      <c r="I66" s="172">
        <f t="shared" si="12"/>
        <v>-153998</v>
      </c>
      <c r="J66" s="172">
        <f t="shared" si="12"/>
        <v>-3617642</v>
      </c>
      <c r="K66" s="172">
        <f t="shared" si="12"/>
        <v>-358083</v>
      </c>
      <c r="L66" s="172">
        <f t="shared" si="12"/>
        <v>99329</v>
      </c>
      <c r="M66" s="172">
        <f t="shared" si="12"/>
        <v>2476965</v>
      </c>
      <c r="N66" s="172">
        <f t="shared" si="12"/>
        <v>-2181071</v>
      </c>
      <c r="O66" s="172">
        <f t="shared" si="12"/>
        <v>-631457</v>
      </c>
      <c r="P66" s="172">
        <f t="shared" si="12"/>
        <v>-748465</v>
      </c>
      <c r="Q66" s="172">
        <f t="shared" si="12"/>
        <v>67929</v>
      </c>
      <c r="R66" s="172">
        <f t="shared" si="12"/>
        <v>3026114</v>
      </c>
      <c r="S66" s="172">
        <f t="shared" si="12"/>
        <v>394882</v>
      </c>
      <c r="T66" s="172">
        <f t="shared" si="12"/>
        <v>279096</v>
      </c>
      <c r="U66" s="172">
        <f t="shared" si="12"/>
        <v>-553894</v>
      </c>
      <c r="V66" s="172">
        <f t="shared" si="12"/>
        <v>998714</v>
      </c>
      <c r="W66" s="172">
        <f t="shared" si="12"/>
        <v>39680</v>
      </c>
      <c r="X66" s="172">
        <f t="shared" si="12"/>
        <v>1743229</v>
      </c>
      <c r="Y66" s="172">
        <f t="shared" si="12"/>
        <v>162758</v>
      </c>
      <c r="Z66" s="139">
        <f t="shared" si="12"/>
        <v>0</v>
      </c>
      <c r="AA66" s="174">
        <f>SUM(G66:Z66)</f>
        <v>-608314</v>
      </c>
      <c r="AB66" s="152">
        <f>IFERROR(AA66/E66*100,0)/10000000</f>
        <v>0</v>
      </c>
    </row>
    <row r="67" spans="1:30" ht="15.75" thickBot="1" x14ac:dyDescent="0.3">
      <c r="A67" s="137"/>
      <c r="B67" s="137"/>
      <c r="C67" s="137"/>
      <c r="D67" s="137"/>
      <c r="E67" s="122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79"/>
      <c r="AA67" s="137"/>
      <c r="AB67" s="152"/>
    </row>
    <row r="68" spans="1:30" x14ac:dyDescent="0.25">
      <c r="A68" s="75" t="s">
        <v>36</v>
      </c>
      <c r="B68" s="76" t="s">
        <v>72</v>
      </c>
      <c r="C68" s="76" t="s">
        <v>57</v>
      </c>
      <c r="D68" s="76" t="s">
        <v>61</v>
      </c>
      <c r="E68" s="123">
        <v>30</v>
      </c>
      <c r="F68" s="181"/>
      <c r="G68" s="155">
        <v>0</v>
      </c>
      <c r="H68" s="155">
        <v>950000</v>
      </c>
      <c r="I68" s="155">
        <v>0</v>
      </c>
      <c r="J68" s="155">
        <v>-2460000</v>
      </c>
      <c r="K68" s="155">
        <v>-1500</v>
      </c>
      <c r="L68" s="155">
        <v>0</v>
      </c>
      <c r="M68" s="155">
        <v>1900000</v>
      </c>
      <c r="N68" s="155">
        <v>0</v>
      </c>
      <c r="O68" s="155">
        <v>-1400000</v>
      </c>
      <c r="P68" s="155">
        <v>0</v>
      </c>
      <c r="Q68" s="155">
        <v>0</v>
      </c>
      <c r="R68" s="155">
        <v>-225000</v>
      </c>
      <c r="S68" s="155">
        <v>0</v>
      </c>
      <c r="T68" s="155">
        <v>485000</v>
      </c>
      <c r="U68" s="155">
        <v>0</v>
      </c>
      <c r="V68" s="155">
        <v>0</v>
      </c>
      <c r="W68" s="155">
        <v>400000</v>
      </c>
      <c r="X68" s="155">
        <v>160000</v>
      </c>
      <c r="Y68" s="155">
        <v>0</v>
      </c>
      <c r="Z68" s="180"/>
      <c r="AA68" s="174">
        <f>SUM(G68:Z68)</f>
        <v>-191500</v>
      </c>
      <c r="AB68" s="152">
        <f>IFERROR(AA68/E68*100,0)/10000000</f>
        <v>-6.3833333333333325E-2</v>
      </c>
    </row>
    <row r="69" spans="1:30" x14ac:dyDescent="0.25">
      <c r="A69" s="205" t="s">
        <v>246</v>
      </c>
      <c r="B69" s="206" t="s">
        <v>245</v>
      </c>
      <c r="C69" s="206" t="s">
        <v>57</v>
      </c>
      <c r="D69" s="206"/>
      <c r="E69" s="207"/>
      <c r="F69" s="208"/>
      <c r="G69" s="165"/>
      <c r="H69" s="165"/>
      <c r="I69" s="165"/>
      <c r="J69" s="165"/>
      <c r="K69" s="165"/>
      <c r="L69" s="165"/>
      <c r="M69" s="165"/>
      <c r="N69" s="165"/>
      <c r="O69" s="165"/>
      <c r="P69" s="165"/>
      <c r="Q69" s="165"/>
      <c r="R69" s="165"/>
      <c r="S69" s="165"/>
      <c r="T69" s="165"/>
      <c r="U69" s="165"/>
      <c r="V69" s="165">
        <v>110000</v>
      </c>
      <c r="W69" s="165">
        <v>22000</v>
      </c>
      <c r="X69" s="165">
        <v>80000</v>
      </c>
      <c r="Y69" s="165">
        <v>0</v>
      </c>
      <c r="Z69" s="209"/>
      <c r="AA69" s="174">
        <f>SUM(G69:Z69)</f>
        <v>212000</v>
      </c>
      <c r="AB69" s="152">
        <f>IFERROR(AA69/E69*100,0)/10000000</f>
        <v>0</v>
      </c>
    </row>
    <row r="70" spans="1:30" ht="15.75" thickBot="1" x14ac:dyDescent="0.3">
      <c r="A70" s="201"/>
      <c r="B70" s="20"/>
      <c r="C70" s="20"/>
      <c r="D70" s="20"/>
      <c r="E70" s="115"/>
      <c r="F70" s="202"/>
      <c r="G70" s="154"/>
      <c r="H70" s="154"/>
      <c r="I70" s="154"/>
      <c r="J70" s="154"/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/>
      <c r="Y70" s="154"/>
      <c r="Z70" s="178"/>
      <c r="AA70" s="175"/>
      <c r="AB70" s="66"/>
    </row>
    <row r="71" spans="1:30" ht="15.75" thickBot="1" x14ac:dyDescent="0.3">
      <c r="A71" s="203"/>
      <c r="B71" s="16"/>
      <c r="C71" s="16"/>
      <c r="D71" s="16"/>
      <c r="E71" s="74"/>
      <c r="F71" s="17"/>
      <c r="G71" s="173">
        <f t="shared" ref="G71:U71" si="13">SUM(G68:G68)</f>
        <v>0</v>
      </c>
      <c r="H71" s="173">
        <f t="shared" si="13"/>
        <v>950000</v>
      </c>
      <c r="I71" s="173">
        <f t="shared" si="13"/>
        <v>0</v>
      </c>
      <c r="J71" s="173">
        <f t="shared" si="13"/>
        <v>-2460000</v>
      </c>
      <c r="K71" s="173">
        <f t="shared" si="13"/>
        <v>-1500</v>
      </c>
      <c r="L71" s="173">
        <f t="shared" si="13"/>
        <v>0</v>
      </c>
      <c r="M71" s="173">
        <f t="shared" si="13"/>
        <v>1900000</v>
      </c>
      <c r="N71" s="173">
        <f t="shared" si="13"/>
        <v>0</v>
      </c>
      <c r="O71" s="173">
        <f t="shared" si="13"/>
        <v>-1400000</v>
      </c>
      <c r="P71" s="173">
        <f t="shared" si="13"/>
        <v>0</v>
      </c>
      <c r="Q71" s="173">
        <f t="shared" si="13"/>
        <v>0</v>
      </c>
      <c r="R71" s="173">
        <f t="shared" si="13"/>
        <v>-225000</v>
      </c>
      <c r="S71" s="173">
        <f t="shared" si="13"/>
        <v>0</v>
      </c>
      <c r="T71" s="173">
        <f t="shared" si="13"/>
        <v>485000</v>
      </c>
      <c r="U71" s="173">
        <f t="shared" si="13"/>
        <v>0</v>
      </c>
      <c r="V71" s="173">
        <f>SUM(V68:V69)</f>
        <v>110000</v>
      </c>
      <c r="W71" s="173">
        <f>SUM(W68:W69)</f>
        <v>422000</v>
      </c>
      <c r="X71" s="173">
        <f>SUM(X68:X69)</f>
        <v>240000</v>
      </c>
      <c r="Y71" s="173">
        <f>SUM(Y68:Y69)</f>
        <v>0</v>
      </c>
      <c r="Z71" s="173">
        <f>SUM(Z68:Z69)</f>
        <v>0</v>
      </c>
      <c r="AA71" s="176">
        <f>SUM(C71:Z71)</f>
        <v>20500</v>
      </c>
      <c r="AB71" s="19"/>
    </row>
  </sheetData>
  <conditionalFormatting sqref="F30 F14:F15 F2 F54 A57:F57 F58 A55:A56 C55:Z56 G2:AB4 A17:F29 G57:Z62 A59:F62 AB67 AB50:AB64 AA5:AB5 A3:F13 A49:F53 G49:Z54 AA49:AA64 A37:Z48 G5:Z15 AA7:AB15 A16:AB16 A31:F36 G17:Z36 AA65:AB66 AB17:AB46 AA17:AA47 A63:Z66 A68:AB71">
    <cfRule type="expression" dxfId="193" priority="16">
      <formula>MOD(ROW(),2)=0</formula>
    </cfRule>
  </conditionalFormatting>
  <conditionalFormatting sqref="AB47">
    <cfRule type="expression" dxfId="192" priority="15">
      <formula>MOD(ROW(),2)=0</formula>
    </cfRule>
  </conditionalFormatting>
  <conditionalFormatting sqref="AB49">
    <cfRule type="expression" dxfId="191" priority="14">
      <formula>MOD(ROW(),2)=0</formula>
    </cfRule>
  </conditionalFormatting>
  <conditionalFormatting sqref="A30:C30 E30">
    <cfRule type="expression" dxfId="190" priority="13">
      <formula>MOD(ROW(),2)=0</formula>
    </cfRule>
  </conditionalFormatting>
  <conditionalFormatting sqref="A14:E15">
    <cfRule type="expression" dxfId="189" priority="11">
      <formula>MOD(ROW(),2)=0</formula>
    </cfRule>
  </conditionalFormatting>
  <conditionalFormatting sqref="D30">
    <cfRule type="expression" dxfId="188" priority="10">
      <formula>MOD(ROW(),2)=0</formula>
    </cfRule>
  </conditionalFormatting>
  <conditionalFormatting sqref="A54:E54">
    <cfRule type="expression" dxfId="187" priority="9">
      <formula>MOD(ROW(),2)=0</formula>
    </cfRule>
  </conditionalFormatting>
  <conditionalFormatting sqref="A58:E58">
    <cfRule type="expression" dxfId="186" priority="8">
      <formula>MOD(ROW(),2)=0</formula>
    </cfRule>
  </conditionalFormatting>
  <conditionalFormatting sqref="B55:B56">
    <cfRule type="expression" dxfId="185" priority="7">
      <formula>MOD(ROW(),2)=0</formula>
    </cfRule>
  </conditionalFormatting>
  <conditionalFormatting sqref="AA6:AB6">
    <cfRule type="expression" dxfId="184" priority="3">
      <formula>MOD(ROW(),2)=0</formula>
    </cfRule>
  </conditionalFormatting>
  <conditionalFormatting sqref="AA48">
    <cfRule type="expression" dxfId="183" priority="2">
      <formula>MOD(ROW(),2)=0</formula>
    </cfRule>
  </conditionalFormatting>
  <conditionalFormatting sqref="AB48">
    <cfRule type="expression" dxfId="182" priority="1">
      <formula>MOD(ROW(),2)=0</formula>
    </cfRule>
  </conditionalFormatting>
  <pageMargins left="0.7" right="0.7" top="0.75" bottom="0.75" header="0.3" footer="0.3"/>
  <pageSetup orientation="portrait" r:id="rId1"/>
  <ignoredErrors>
    <ignoredError sqref="AA1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8"/>
  <sheetViews>
    <sheetView topLeftCell="A17" workbookViewId="0">
      <selection activeCell="D45" sqref="D45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3.28515625" style="1" customWidth="1"/>
    <col min="5" max="5" width="6.5703125" style="1" customWidth="1"/>
    <col min="6" max="6" width="1.7109375" style="1" customWidth="1"/>
    <col min="7" max="7" width="11.28515625" style="1" hidden="1" customWidth="1" outlineLevel="2"/>
    <col min="8" max="16" width="11.28515625" style="135" hidden="1" customWidth="1" outlineLevel="2"/>
    <col min="17" max="17" width="11.28515625" style="135" hidden="1" customWidth="1" outlineLevel="1" collapsed="1"/>
    <col min="18" max="22" width="11.28515625" style="135" hidden="1" customWidth="1" outlineLevel="1"/>
    <col min="23" max="23" width="11.28515625" style="135" customWidth="1" collapsed="1"/>
    <col min="24" max="25" width="11.28515625" style="135" customWidth="1"/>
    <col min="26" max="26" width="11.5703125" style="1" customWidth="1"/>
    <col min="27" max="27" width="10.42578125" style="1" hidden="1" customWidth="1" outlineLevel="1"/>
    <col min="28" max="28" width="10.7109375" style="1" hidden="1" customWidth="1" outlineLevel="1"/>
    <col min="29" max="29" width="9.140625" style="1" collapsed="1"/>
    <col min="30" max="34" width="9.140625" style="1"/>
    <col min="35" max="35" width="14.140625" style="1" customWidth="1"/>
    <col min="36" max="36" width="12" style="1" customWidth="1"/>
    <col min="37" max="16384" width="9.140625" style="1"/>
  </cols>
  <sheetData>
    <row r="1" spans="1:36" ht="15.75" thickBot="1" x14ac:dyDescent="0.3"/>
    <row r="2" spans="1:36" ht="15.75" x14ac:dyDescent="0.25">
      <c r="F2" s="9"/>
      <c r="G2" s="46">
        <v>46113</v>
      </c>
      <c r="H2" s="148">
        <v>46114</v>
      </c>
      <c r="I2" s="148">
        <v>46118</v>
      </c>
      <c r="J2" s="148">
        <v>46119</v>
      </c>
      <c r="K2" s="148">
        <v>46120</v>
      </c>
      <c r="L2" s="148">
        <v>46121</v>
      </c>
      <c r="M2" s="148">
        <v>46122</v>
      </c>
      <c r="N2" s="148">
        <v>46125</v>
      </c>
      <c r="O2" s="148">
        <v>46127</v>
      </c>
      <c r="P2" s="148">
        <v>46128</v>
      </c>
      <c r="Q2" s="148">
        <v>46129</v>
      </c>
      <c r="R2" s="148">
        <v>46132</v>
      </c>
      <c r="S2" s="148">
        <v>46133</v>
      </c>
      <c r="T2" s="148">
        <v>46134</v>
      </c>
      <c r="U2" s="148">
        <v>46135</v>
      </c>
      <c r="V2" s="148">
        <v>46136</v>
      </c>
      <c r="W2" s="148">
        <v>46139</v>
      </c>
      <c r="X2" s="148">
        <v>46140</v>
      </c>
      <c r="Y2" s="148">
        <v>46141</v>
      </c>
      <c r="Z2" s="46">
        <v>46142</v>
      </c>
      <c r="AA2" s="11" t="s">
        <v>151</v>
      </c>
      <c r="AB2" s="10" t="s">
        <v>152</v>
      </c>
    </row>
    <row r="3" spans="1:36" ht="15.75" x14ac:dyDescent="0.25">
      <c r="A3" s="49" t="s">
        <v>54</v>
      </c>
      <c r="B3" s="49" t="s">
        <v>70</v>
      </c>
      <c r="C3" s="49" t="s">
        <v>71</v>
      </c>
      <c r="D3" s="49" t="s">
        <v>2</v>
      </c>
      <c r="E3" s="55" t="s">
        <v>9</v>
      </c>
      <c r="F3" s="28"/>
      <c r="G3" s="47" t="s">
        <v>242</v>
      </c>
      <c r="H3" s="149" t="s">
        <v>241</v>
      </c>
      <c r="I3" s="149" t="s">
        <v>239</v>
      </c>
      <c r="J3" s="149" t="s">
        <v>238</v>
      </c>
      <c r="K3" s="149" t="s">
        <v>242</v>
      </c>
      <c r="L3" s="149" t="s">
        <v>241</v>
      </c>
      <c r="M3" s="149" t="s">
        <v>240</v>
      </c>
      <c r="N3" s="149" t="s">
        <v>239</v>
      </c>
      <c r="O3" s="149" t="s">
        <v>242</v>
      </c>
      <c r="P3" s="149" t="s">
        <v>241</v>
      </c>
      <c r="Q3" s="149" t="s">
        <v>240</v>
      </c>
      <c r="R3" s="149" t="s">
        <v>239</v>
      </c>
      <c r="S3" s="149" t="s">
        <v>238</v>
      </c>
      <c r="T3" s="149" t="s">
        <v>242</v>
      </c>
      <c r="U3" s="149" t="s">
        <v>241</v>
      </c>
      <c r="V3" s="149" t="s">
        <v>240</v>
      </c>
      <c r="W3" s="149" t="s">
        <v>239</v>
      </c>
      <c r="X3" s="149" t="s">
        <v>238</v>
      </c>
      <c r="Y3" s="149" t="s">
        <v>242</v>
      </c>
      <c r="Z3" s="47" t="s">
        <v>241</v>
      </c>
      <c r="AA3" s="12"/>
      <c r="AB3" s="7"/>
      <c r="AI3" s="1" t="s">
        <v>202</v>
      </c>
      <c r="AJ3" s="1">
        <v>13780</v>
      </c>
    </row>
    <row r="4" spans="1:36" x14ac:dyDescent="0.25">
      <c r="A4" s="35" t="s">
        <v>25</v>
      </c>
      <c r="B4" s="44" t="s">
        <v>73</v>
      </c>
      <c r="C4" s="35" t="s">
        <v>161</v>
      </c>
      <c r="D4" s="35" t="s">
        <v>89</v>
      </c>
      <c r="E4" s="117">
        <v>3</v>
      </c>
      <c r="F4" s="29"/>
      <c r="G4" s="124">
        <v>0</v>
      </c>
      <c r="H4" s="161">
        <v>130000</v>
      </c>
      <c r="I4" s="161">
        <v>0</v>
      </c>
      <c r="J4" s="161">
        <v>-76000</v>
      </c>
      <c r="K4" s="161">
        <v>0</v>
      </c>
      <c r="L4" s="161">
        <v>32000</v>
      </c>
      <c r="M4" s="161">
        <v>0</v>
      </c>
      <c r="N4" s="161">
        <v>210000</v>
      </c>
      <c r="O4" s="161">
        <v>0</v>
      </c>
      <c r="P4" s="161">
        <v>28000</v>
      </c>
      <c r="Q4" s="161">
        <v>0</v>
      </c>
      <c r="R4" s="161">
        <v>0</v>
      </c>
      <c r="S4" s="161">
        <v>115000</v>
      </c>
      <c r="T4" s="161">
        <v>-1000</v>
      </c>
      <c r="U4" s="161">
        <v>-85000</v>
      </c>
      <c r="V4" s="161">
        <v>0</v>
      </c>
      <c r="W4" s="161">
        <v>0</v>
      </c>
      <c r="X4" s="161">
        <v>-85000</v>
      </c>
      <c r="Y4" s="161">
        <v>0</v>
      </c>
      <c r="Z4" s="48">
        <v>62000</v>
      </c>
      <c r="AA4" s="64">
        <f t="shared" ref="AA4:AA61" si="0">SUM(G4:Z4)</f>
        <v>330000</v>
      </c>
      <c r="AB4" s="65">
        <f t="shared" ref="AB4:AB25" si="1">IFERROR(AA4/E4*100,0)/10000000</f>
        <v>1.1000000000000001</v>
      </c>
      <c r="AI4" s="136" t="s">
        <v>173</v>
      </c>
      <c r="AJ4" s="136">
        <v>2865</v>
      </c>
    </row>
    <row r="5" spans="1:36" x14ac:dyDescent="0.25">
      <c r="A5" s="35" t="s">
        <v>46</v>
      </c>
      <c r="B5" s="44" t="s">
        <v>141</v>
      </c>
      <c r="C5" s="35" t="s">
        <v>160</v>
      </c>
      <c r="D5" s="35"/>
      <c r="E5" s="117">
        <v>3</v>
      </c>
      <c r="F5" s="29"/>
      <c r="G5" s="124">
        <v>0</v>
      </c>
      <c r="H5" s="161">
        <v>0</v>
      </c>
      <c r="I5" s="161">
        <v>0</v>
      </c>
      <c r="J5" s="161">
        <v>10000</v>
      </c>
      <c r="K5" s="161">
        <v>0</v>
      </c>
      <c r="L5" s="161">
        <v>-12000</v>
      </c>
      <c r="M5" s="161">
        <v>0</v>
      </c>
      <c r="N5" s="161">
        <v>5000</v>
      </c>
      <c r="O5" s="161">
        <v>0</v>
      </c>
      <c r="P5" s="161">
        <v>2000</v>
      </c>
      <c r="Q5" s="161">
        <v>0</v>
      </c>
      <c r="R5" s="161">
        <v>0</v>
      </c>
      <c r="S5" s="161">
        <v>7000</v>
      </c>
      <c r="T5" s="161">
        <v>-4000</v>
      </c>
      <c r="U5" s="161">
        <v>-15000</v>
      </c>
      <c r="V5" s="161">
        <v>0</v>
      </c>
      <c r="W5" s="161">
        <v>0</v>
      </c>
      <c r="X5" s="161">
        <v>-3000</v>
      </c>
      <c r="Y5" s="161">
        <v>0</v>
      </c>
      <c r="Z5" s="48">
        <v>-11500</v>
      </c>
      <c r="AA5" s="151">
        <f t="shared" si="0"/>
        <v>-21500</v>
      </c>
      <c r="AB5" s="65">
        <f t="shared" si="1"/>
        <v>-7.166666666666667E-2</v>
      </c>
    </row>
    <row r="6" spans="1:36" x14ac:dyDescent="0.25">
      <c r="A6" s="35" t="s">
        <v>30</v>
      </c>
      <c r="B6" s="34" t="s">
        <v>179</v>
      </c>
      <c r="C6" s="34" t="s">
        <v>6</v>
      </c>
      <c r="D6" s="129" t="s">
        <v>140</v>
      </c>
      <c r="E6" s="117">
        <v>3</v>
      </c>
      <c r="F6" s="30"/>
      <c r="G6" s="48">
        <v>-15300</v>
      </c>
      <c r="H6" s="150">
        <v>-11560</v>
      </c>
      <c r="I6" s="150">
        <v>-61600</v>
      </c>
      <c r="J6" s="150">
        <v>-66574</v>
      </c>
      <c r="K6" s="150">
        <v>90405</v>
      </c>
      <c r="L6" s="150">
        <v>105067</v>
      </c>
      <c r="M6" s="150">
        <v>100270</v>
      </c>
      <c r="N6" s="150">
        <v>222666</v>
      </c>
      <c r="O6" s="150">
        <v>44732</v>
      </c>
      <c r="P6" s="150">
        <v>96364</v>
      </c>
      <c r="Q6" s="150">
        <v>100775</v>
      </c>
      <c r="R6" s="150">
        <v>-168700</v>
      </c>
      <c r="S6" s="150">
        <v>160346</v>
      </c>
      <c r="T6" s="150">
        <v>129531</v>
      </c>
      <c r="U6" s="150">
        <v>69793</v>
      </c>
      <c r="V6" s="150">
        <v>69156</v>
      </c>
      <c r="W6" s="150">
        <v>-115098</v>
      </c>
      <c r="X6" s="150">
        <v>60108</v>
      </c>
      <c r="Y6" s="150">
        <v>-190358</v>
      </c>
      <c r="Z6" s="48">
        <v>-17328</v>
      </c>
      <c r="AA6" s="151">
        <f t="shared" si="0"/>
        <v>602695</v>
      </c>
      <c r="AB6" s="65">
        <f t="shared" si="1"/>
        <v>2.0089833333333336</v>
      </c>
      <c r="AD6" s="5"/>
      <c r="AE6" s="4">
        <v>-9294</v>
      </c>
    </row>
    <row r="7" spans="1:36" ht="17.25" customHeight="1" x14ac:dyDescent="0.25">
      <c r="A7" s="145" t="s">
        <v>180</v>
      </c>
      <c r="B7" s="144" t="s">
        <v>178</v>
      </c>
      <c r="C7" s="144" t="s">
        <v>195</v>
      </c>
      <c r="D7" s="163" t="s">
        <v>204</v>
      </c>
      <c r="E7" s="159">
        <v>1</v>
      </c>
      <c r="F7" s="141"/>
      <c r="G7" s="150">
        <v>0</v>
      </c>
      <c r="H7" s="150">
        <v>0</v>
      </c>
      <c r="I7" s="150">
        <v>-86000</v>
      </c>
      <c r="J7" s="150">
        <v>22300</v>
      </c>
      <c r="K7" s="150">
        <v>10600</v>
      </c>
      <c r="L7" s="150">
        <v>31300</v>
      </c>
      <c r="M7" s="150">
        <v>30000</v>
      </c>
      <c r="N7" s="150">
        <v>-55800</v>
      </c>
      <c r="O7" s="150">
        <v>11000</v>
      </c>
      <c r="P7" s="150">
        <v>13000</v>
      </c>
      <c r="Q7" s="150">
        <v>43000</v>
      </c>
      <c r="R7" s="150">
        <v>-103400</v>
      </c>
      <c r="S7" s="150">
        <v>22322</v>
      </c>
      <c r="T7" s="150">
        <v>54000</v>
      </c>
      <c r="U7" s="150">
        <v>24900</v>
      </c>
      <c r="V7" s="150">
        <v>-7400</v>
      </c>
      <c r="W7" s="150">
        <v>9909</v>
      </c>
      <c r="X7" s="150">
        <v>5886</v>
      </c>
      <c r="Y7" s="150">
        <v>-80448</v>
      </c>
      <c r="Z7" s="150">
        <v>-60346</v>
      </c>
      <c r="AA7" s="151">
        <f t="shared" si="0"/>
        <v>-115177</v>
      </c>
      <c r="AB7" s="152">
        <f t="shared" si="1"/>
        <v>-1.15177</v>
      </c>
      <c r="AD7" s="4">
        <v>1283507</v>
      </c>
      <c r="AE7" s="4"/>
    </row>
    <row r="8" spans="1:36" x14ac:dyDescent="0.25">
      <c r="A8" s="35" t="s">
        <v>136</v>
      </c>
      <c r="B8" s="34" t="s">
        <v>135</v>
      </c>
      <c r="C8" s="34" t="s">
        <v>137</v>
      </c>
      <c r="D8" s="129" t="s">
        <v>118</v>
      </c>
      <c r="E8" s="117">
        <v>0.5</v>
      </c>
      <c r="F8" s="30"/>
      <c r="G8" s="48">
        <v>-3500</v>
      </c>
      <c r="H8" s="150">
        <v>-21803</v>
      </c>
      <c r="I8" s="150">
        <v>-20905</v>
      </c>
      <c r="J8" s="150">
        <v>-36509</v>
      </c>
      <c r="K8" s="150">
        <v>776</v>
      </c>
      <c r="L8" s="150">
        <v>11800</v>
      </c>
      <c r="M8" s="150">
        <v>-23697</v>
      </c>
      <c r="N8" s="150">
        <v>-27747</v>
      </c>
      <c r="O8" s="150">
        <v>-27635</v>
      </c>
      <c r="P8" s="150">
        <v>53775</v>
      </c>
      <c r="Q8" s="150">
        <v>-18000</v>
      </c>
      <c r="R8" s="150">
        <v>-20018</v>
      </c>
      <c r="S8" s="150">
        <v>49282</v>
      </c>
      <c r="T8" s="150">
        <v>9500</v>
      </c>
      <c r="U8" s="150">
        <v>-60646</v>
      </c>
      <c r="V8" s="150">
        <v>82417</v>
      </c>
      <c r="W8" s="150">
        <v>-103850</v>
      </c>
      <c r="X8" s="150">
        <v>66515</v>
      </c>
      <c r="Y8" s="150">
        <v>39586</v>
      </c>
      <c r="Z8" s="48">
        <v>-36000</v>
      </c>
      <c r="AA8" s="151">
        <f t="shared" si="0"/>
        <v>-86659</v>
      </c>
      <c r="AB8" s="65">
        <f t="shared" si="1"/>
        <v>-1.7331799999999999</v>
      </c>
      <c r="AD8" s="6">
        <v>1274213</v>
      </c>
      <c r="AE8" s="6">
        <f>(AD8+AD7)/10000000*13780</f>
        <v>3524.5381600000001</v>
      </c>
    </row>
    <row r="9" spans="1:36" x14ac:dyDescent="0.25">
      <c r="A9" s="36" t="s">
        <v>35</v>
      </c>
      <c r="B9" s="34" t="s">
        <v>55</v>
      </c>
      <c r="C9" s="34" t="s">
        <v>80</v>
      </c>
      <c r="D9" s="36" t="s">
        <v>114</v>
      </c>
      <c r="E9" s="118">
        <v>15</v>
      </c>
      <c r="F9" s="31"/>
      <c r="G9" s="48">
        <v>0</v>
      </c>
      <c r="H9" s="150">
        <v>-486000</v>
      </c>
      <c r="I9" s="150">
        <v>-128000</v>
      </c>
      <c r="J9" s="150">
        <v>-221000</v>
      </c>
      <c r="K9" s="150">
        <v>3000</v>
      </c>
      <c r="L9" s="150">
        <v>-490000</v>
      </c>
      <c r="M9" s="150">
        <v>0</v>
      </c>
      <c r="N9" s="150">
        <v>590000</v>
      </c>
      <c r="O9" s="150">
        <v>0</v>
      </c>
      <c r="P9" s="150">
        <v>650000</v>
      </c>
      <c r="Q9" s="150">
        <v>0</v>
      </c>
      <c r="R9" s="150">
        <v>0</v>
      </c>
      <c r="S9" s="150">
        <v>840000</v>
      </c>
      <c r="T9" s="150">
        <v>0</v>
      </c>
      <c r="U9" s="150">
        <v>-150000</v>
      </c>
      <c r="V9" s="150">
        <v>0</v>
      </c>
      <c r="W9" s="150">
        <v>121000</v>
      </c>
      <c r="X9" s="150">
        <v>10000</v>
      </c>
      <c r="Y9" s="150">
        <v>170000</v>
      </c>
      <c r="Z9" s="48">
        <v>-715000</v>
      </c>
      <c r="AA9" s="151">
        <f t="shared" si="0"/>
        <v>194000</v>
      </c>
      <c r="AB9" s="65">
        <f t="shared" si="1"/>
        <v>0.12933333333333336</v>
      </c>
      <c r="AD9" s="6"/>
      <c r="AE9" s="6"/>
    </row>
    <row r="10" spans="1:36" x14ac:dyDescent="0.25">
      <c r="A10" s="146" t="s">
        <v>193</v>
      </c>
      <c r="B10" s="144" t="s">
        <v>185</v>
      </c>
      <c r="C10" s="144" t="s">
        <v>184</v>
      </c>
      <c r="D10" s="146" t="s">
        <v>114</v>
      </c>
      <c r="E10" s="160">
        <v>3</v>
      </c>
      <c r="F10" s="142"/>
      <c r="G10" s="150">
        <v>0</v>
      </c>
      <c r="H10" s="150">
        <v>0</v>
      </c>
      <c r="I10" s="150">
        <v>-100</v>
      </c>
      <c r="J10" s="150">
        <v>-35000</v>
      </c>
      <c r="K10" s="150">
        <v>0</v>
      </c>
      <c r="L10" s="150">
        <v>-83000</v>
      </c>
      <c r="M10" s="150">
        <v>0</v>
      </c>
      <c r="N10" s="150">
        <v>98000</v>
      </c>
      <c r="O10" s="150">
        <v>0</v>
      </c>
      <c r="P10" s="150">
        <v>105000</v>
      </c>
      <c r="Q10" s="150">
        <v>0</v>
      </c>
      <c r="R10" s="150">
        <v>0</v>
      </c>
      <c r="S10" s="150">
        <v>130000</v>
      </c>
      <c r="T10" s="150">
        <v>0</v>
      </c>
      <c r="U10" s="150">
        <v>-38000</v>
      </c>
      <c r="V10" s="150">
        <v>0</v>
      </c>
      <c r="W10" s="150">
        <v>19000</v>
      </c>
      <c r="X10" s="150">
        <v>-13000</v>
      </c>
      <c r="Y10" s="150">
        <v>26000</v>
      </c>
      <c r="Z10" s="150">
        <v>-120000</v>
      </c>
      <c r="AA10" s="151">
        <f t="shared" si="0"/>
        <v>88900</v>
      </c>
      <c r="AB10" s="152">
        <f t="shared" si="1"/>
        <v>0.29633333333333328</v>
      </c>
      <c r="AD10" s="6"/>
      <c r="AE10" s="6"/>
    </row>
    <row r="11" spans="1:36" x14ac:dyDescent="0.25">
      <c r="A11" s="146" t="s">
        <v>192</v>
      </c>
      <c r="B11" s="144" t="s">
        <v>186</v>
      </c>
      <c r="C11" s="144" t="s">
        <v>182</v>
      </c>
      <c r="D11" s="146" t="s">
        <v>114</v>
      </c>
      <c r="E11" s="160">
        <v>3</v>
      </c>
      <c r="F11" s="142"/>
      <c r="G11" s="150">
        <v>0</v>
      </c>
      <c r="H11" s="150">
        <v>0</v>
      </c>
      <c r="I11" s="150">
        <v>-23500</v>
      </c>
      <c r="J11" s="150">
        <v>-38000</v>
      </c>
      <c r="K11" s="150">
        <v>0</v>
      </c>
      <c r="L11" s="150">
        <v>-83000</v>
      </c>
      <c r="M11" s="150">
        <v>0</v>
      </c>
      <c r="N11" s="150">
        <v>98500</v>
      </c>
      <c r="O11" s="150">
        <v>0</v>
      </c>
      <c r="P11" s="150">
        <v>105000</v>
      </c>
      <c r="Q11" s="150">
        <v>0</v>
      </c>
      <c r="R11" s="150">
        <v>0</v>
      </c>
      <c r="S11" s="150">
        <v>130000</v>
      </c>
      <c r="T11" s="150">
        <v>0</v>
      </c>
      <c r="U11" s="150">
        <v>-38000</v>
      </c>
      <c r="V11" s="150">
        <v>0</v>
      </c>
      <c r="W11" s="150">
        <v>19000</v>
      </c>
      <c r="X11" s="150">
        <v>-13000</v>
      </c>
      <c r="Y11" s="150">
        <v>26500</v>
      </c>
      <c r="Z11" s="150">
        <v>-120000</v>
      </c>
      <c r="AA11" s="151">
        <f t="shared" si="0"/>
        <v>63500</v>
      </c>
      <c r="AB11" s="152">
        <f t="shared" si="1"/>
        <v>0.2116666666666667</v>
      </c>
      <c r="AD11" s="6"/>
      <c r="AE11" s="6"/>
    </row>
    <row r="12" spans="1:36" x14ac:dyDescent="0.25">
      <c r="A12" s="36" t="s">
        <v>82</v>
      </c>
      <c r="B12" s="34" t="s">
        <v>55</v>
      </c>
      <c r="C12" s="34" t="s">
        <v>81</v>
      </c>
      <c r="D12" s="36" t="s">
        <v>109</v>
      </c>
      <c r="E12" s="118">
        <v>2</v>
      </c>
      <c r="F12" s="31"/>
      <c r="G12" s="48">
        <v>148153</v>
      </c>
      <c r="H12" s="150">
        <v>-38588</v>
      </c>
      <c r="I12" s="150">
        <v>87005</v>
      </c>
      <c r="J12" s="150">
        <v>-25059</v>
      </c>
      <c r="K12" s="150">
        <v>270990</v>
      </c>
      <c r="L12" s="150">
        <v>38309</v>
      </c>
      <c r="M12" s="150">
        <v>150387</v>
      </c>
      <c r="N12" s="150">
        <v>-78883</v>
      </c>
      <c r="O12" s="150">
        <v>132503</v>
      </c>
      <c r="P12" s="150">
        <v>8000</v>
      </c>
      <c r="Q12" s="150">
        <v>115000</v>
      </c>
      <c r="R12" s="150">
        <v>-4500</v>
      </c>
      <c r="S12" s="150">
        <v>0</v>
      </c>
      <c r="T12" s="150">
        <v>0</v>
      </c>
      <c r="U12" s="150">
        <v>0</v>
      </c>
      <c r="V12" s="150">
        <v>0</v>
      </c>
      <c r="W12" s="150">
        <v>0</v>
      </c>
      <c r="X12" s="150">
        <v>0</v>
      </c>
      <c r="Y12" s="150">
        <v>0</v>
      </c>
      <c r="Z12" s="48">
        <v>0</v>
      </c>
      <c r="AA12" s="151">
        <f t="shared" si="0"/>
        <v>803317</v>
      </c>
      <c r="AB12" s="65">
        <f t="shared" si="1"/>
        <v>4.0165850000000001</v>
      </c>
      <c r="AD12" s="6"/>
      <c r="AE12" s="128">
        <f>AE6-AE8</f>
        <v>-12818.53816</v>
      </c>
      <c r="AH12" s="1">
        <v>94116</v>
      </c>
      <c r="AJ12" s="1">
        <f>AH12+AE12</f>
        <v>81297.461840000004</v>
      </c>
    </row>
    <row r="13" spans="1:36" x14ac:dyDescent="0.25">
      <c r="A13" s="36" t="s">
        <v>125</v>
      </c>
      <c r="B13" s="34" t="s">
        <v>124</v>
      </c>
      <c r="C13" s="34" t="s">
        <v>126</v>
      </c>
      <c r="D13" s="36" t="s">
        <v>118</v>
      </c>
      <c r="E13" s="118">
        <v>3</v>
      </c>
      <c r="F13" s="31"/>
      <c r="G13" s="48">
        <v>-72000</v>
      </c>
      <c r="H13" s="150">
        <v>0</v>
      </c>
      <c r="I13" s="150">
        <v>100</v>
      </c>
      <c r="J13" s="150">
        <v>125000</v>
      </c>
      <c r="K13" s="150">
        <v>-50000</v>
      </c>
      <c r="L13" s="150">
        <v>115000</v>
      </c>
      <c r="M13" s="150">
        <v>61000</v>
      </c>
      <c r="N13" s="150">
        <v>192000</v>
      </c>
      <c r="O13" s="150">
        <v>0</v>
      </c>
      <c r="P13" s="150">
        <v>230000</v>
      </c>
      <c r="Q13" s="150">
        <v>-3000</v>
      </c>
      <c r="R13" s="150">
        <v>-179000</v>
      </c>
      <c r="S13" s="150">
        <v>279000</v>
      </c>
      <c r="T13" s="150">
        <v>12000</v>
      </c>
      <c r="U13" s="150">
        <v>-340000</v>
      </c>
      <c r="V13" s="150">
        <v>-3000</v>
      </c>
      <c r="W13" s="150">
        <v>0</v>
      </c>
      <c r="X13" s="150">
        <v>93400</v>
      </c>
      <c r="Y13" s="150">
        <v>0</v>
      </c>
      <c r="Z13" s="48">
        <v>0</v>
      </c>
      <c r="AA13" s="151">
        <f t="shared" si="0"/>
        <v>460500</v>
      </c>
      <c r="AB13" s="65">
        <f t="shared" si="1"/>
        <v>1.5349999999999999</v>
      </c>
      <c r="AD13" s="3"/>
      <c r="AE13" s="3"/>
    </row>
    <row r="14" spans="1:36" x14ac:dyDescent="0.25">
      <c r="A14" s="36" t="s">
        <v>139</v>
      </c>
      <c r="B14" s="34" t="s">
        <v>124</v>
      </c>
      <c r="C14" s="34" t="s">
        <v>138</v>
      </c>
      <c r="D14" s="36"/>
      <c r="E14" s="118">
        <v>0.5</v>
      </c>
      <c r="F14" s="31"/>
      <c r="G14" s="48">
        <v>0</v>
      </c>
      <c r="H14" s="150">
        <v>0</v>
      </c>
      <c r="I14" s="150">
        <v>0</v>
      </c>
      <c r="J14" s="150">
        <v>0</v>
      </c>
      <c r="K14" s="150">
        <v>0</v>
      </c>
      <c r="L14" s="150">
        <v>0</v>
      </c>
      <c r="M14" s="150">
        <v>0</v>
      </c>
      <c r="N14" s="150">
        <v>1477</v>
      </c>
      <c r="O14" s="150">
        <v>-1150</v>
      </c>
      <c r="P14" s="150">
        <v>10807</v>
      </c>
      <c r="Q14" s="150">
        <v>0</v>
      </c>
      <c r="R14" s="150">
        <v>-57300</v>
      </c>
      <c r="S14" s="150">
        <v>28540</v>
      </c>
      <c r="T14" s="150">
        <v>16727</v>
      </c>
      <c r="U14" s="150">
        <v>-79132</v>
      </c>
      <c r="V14" s="150">
        <v>-500</v>
      </c>
      <c r="W14" s="150">
        <v>-53709</v>
      </c>
      <c r="X14" s="150">
        <v>-27322</v>
      </c>
      <c r="Y14" s="150">
        <v>5722</v>
      </c>
      <c r="Z14" s="48">
        <v>-12818</v>
      </c>
      <c r="AA14" s="151">
        <f t="shared" si="0"/>
        <v>-168658</v>
      </c>
      <c r="AB14" s="65">
        <f t="shared" si="1"/>
        <v>-3.3731599999999999</v>
      </c>
    </row>
    <row r="15" spans="1:36" x14ac:dyDescent="0.25">
      <c r="A15" s="35" t="s">
        <v>84</v>
      </c>
      <c r="B15" s="34" t="s">
        <v>235</v>
      </c>
      <c r="C15" s="34" t="s">
        <v>83</v>
      </c>
      <c r="D15" s="36" t="s">
        <v>109</v>
      </c>
      <c r="E15" s="118">
        <v>1</v>
      </c>
      <c r="F15" s="31"/>
      <c r="G15" s="48">
        <v>340719</v>
      </c>
      <c r="H15" s="150">
        <v>86973</v>
      </c>
      <c r="I15" s="150">
        <v>136052</v>
      </c>
      <c r="J15" s="150">
        <v>97937</v>
      </c>
      <c r="K15" s="150">
        <v>337231</v>
      </c>
      <c r="L15" s="150">
        <v>34618</v>
      </c>
      <c r="M15" s="150">
        <v>36215</v>
      </c>
      <c r="N15" s="150">
        <v>-26033</v>
      </c>
      <c r="O15" s="150">
        <v>104838</v>
      </c>
      <c r="P15" s="150">
        <v>76000</v>
      </c>
      <c r="Q15" s="150">
        <v>5000</v>
      </c>
      <c r="R15" s="150">
        <v>11417</v>
      </c>
      <c r="S15" s="150">
        <v>0</v>
      </c>
      <c r="T15" s="150">
        <v>0</v>
      </c>
      <c r="U15" s="150">
        <v>0</v>
      </c>
      <c r="V15" s="150">
        <v>0</v>
      </c>
      <c r="W15" s="150">
        <v>0</v>
      </c>
      <c r="X15" s="150">
        <v>0</v>
      </c>
      <c r="Y15" s="150">
        <v>0</v>
      </c>
      <c r="Z15" s="48">
        <v>0</v>
      </c>
      <c r="AA15" s="151">
        <f t="shared" si="0"/>
        <v>1240967</v>
      </c>
      <c r="AB15" s="65">
        <f t="shared" si="1"/>
        <v>12.40967</v>
      </c>
    </row>
    <row r="16" spans="1:36" s="135" customFormat="1" x14ac:dyDescent="0.25">
      <c r="A16" s="35" t="s">
        <v>42</v>
      </c>
      <c r="B16" s="34" t="s">
        <v>235</v>
      </c>
      <c r="C16" s="35" t="s">
        <v>12</v>
      </c>
      <c r="D16" s="35" t="s">
        <v>39</v>
      </c>
      <c r="E16" s="117">
        <v>1</v>
      </c>
      <c r="F16" s="32"/>
      <c r="G16" s="48">
        <v>0</v>
      </c>
      <c r="H16" s="150">
        <v>0</v>
      </c>
      <c r="I16" s="150">
        <v>-50006</v>
      </c>
      <c r="J16" s="150">
        <v>-45908</v>
      </c>
      <c r="K16" s="150">
        <v>0</v>
      </c>
      <c r="L16" s="150">
        <v>26152</v>
      </c>
      <c r="M16" s="150">
        <v>-47474</v>
      </c>
      <c r="N16" s="150">
        <v>36721</v>
      </c>
      <c r="O16" s="150">
        <v>0</v>
      </c>
      <c r="P16" s="150">
        <v>48275</v>
      </c>
      <c r="Q16" s="150">
        <v>5250</v>
      </c>
      <c r="R16" s="150">
        <v>10584</v>
      </c>
      <c r="S16" s="150">
        <v>-18606</v>
      </c>
      <c r="T16" s="150">
        <v>0</v>
      </c>
      <c r="U16" s="150">
        <v>-9553</v>
      </c>
      <c r="V16" s="150">
        <v>0</v>
      </c>
      <c r="W16" s="150">
        <v>-17759</v>
      </c>
      <c r="X16" s="150">
        <v>30712</v>
      </c>
      <c r="Y16" s="150">
        <v>0</v>
      </c>
      <c r="Z16" s="48">
        <v>36539</v>
      </c>
      <c r="AA16" s="151">
        <f t="shared" si="0"/>
        <v>4927</v>
      </c>
      <c r="AB16" s="65">
        <f t="shared" si="1"/>
        <v>4.9270000000000001E-2</v>
      </c>
    </row>
    <row r="17" spans="1:37" x14ac:dyDescent="0.25">
      <c r="A17" s="145" t="s">
        <v>44</v>
      </c>
      <c r="B17" s="144" t="s">
        <v>85</v>
      </c>
      <c r="C17" s="145" t="s">
        <v>175</v>
      </c>
      <c r="D17" s="145" t="s">
        <v>39</v>
      </c>
      <c r="E17" s="159">
        <v>1</v>
      </c>
      <c r="F17" s="143"/>
      <c r="G17" s="150">
        <v>0</v>
      </c>
      <c r="H17" s="150">
        <v>0</v>
      </c>
      <c r="I17" s="150">
        <v>0</v>
      </c>
      <c r="J17" s="150">
        <v>0</v>
      </c>
      <c r="K17" s="150">
        <v>0</v>
      </c>
      <c r="L17" s="150">
        <v>0</v>
      </c>
      <c r="M17" s="150">
        <v>0</v>
      </c>
      <c r="N17" s="150">
        <v>0</v>
      </c>
      <c r="O17" s="150">
        <v>0</v>
      </c>
      <c r="P17" s="150">
        <v>0</v>
      </c>
      <c r="Q17" s="150">
        <v>0</v>
      </c>
      <c r="R17" s="150">
        <v>-23105</v>
      </c>
      <c r="S17" s="150">
        <v>38858</v>
      </c>
      <c r="T17" s="150">
        <v>0</v>
      </c>
      <c r="U17" s="150">
        <v>31722</v>
      </c>
      <c r="V17" s="150">
        <v>0</v>
      </c>
      <c r="W17" s="150">
        <v>-31347</v>
      </c>
      <c r="X17" s="150">
        <v>7189</v>
      </c>
      <c r="Y17" s="150">
        <v>0</v>
      </c>
      <c r="Z17" s="150">
        <v>-12800</v>
      </c>
      <c r="AA17" s="151">
        <f t="shared" si="0"/>
        <v>10517</v>
      </c>
      <c r="AB17" s="152">
        <f t="shared" si="1"/>
        <v>0.10517</v>
      </c>
    </row>
    <row r="18" spans="1:37" x14ac:dyDescent="0.25">
      <c r="A18" s="35" t="s">
        <v>51</v>
      </c>
      <c r="B18" s="34" t="s">
        <v>235</v>
      </c>
      <c r="C18" s="34" t="s">
        <v>62</v>
      </c>
      <c r="D18" s="35" t="s">
        <v>39</v>
      </c>
      <c r="E18" s="117">
        <v>1</v>
      </c>
      <c r="F18" s="29"/>
      <c r="G18" s="48">
        <v>0</v>
      </c>
      <c r="H18" s="150">
        <v>0</v>
      </c>
      <c r="I18" s="150">
        <v>0</v>
      </c>
      <c r="J18" s="150">
        <v>0</v>
      </c>
      <c r="K18" s="150">
        <v>0</v>
      </c>
      <c r="L18" s="150">
        <v>0</v>
      </c>
      <c r="M18" s="150">
        <v>0</v>
      </c>
      <c r="N18" s="150">
        <v>0</v>
      </c>
      <c r="O18" s="150">
        <v>0</v>
      </c>
      <c r="P18" s="150">
        <v>0</v>
      </c>
      <c r="Q18" s="150">
        <v>0</v>
      </c>
      <c r="R18" s="150">
        <v>0</v>
      </c>
      <c r="S18" s="150">
        <v>0</v>
      </c>
      <c r="T18" s="150">
        <v>0</v>
      </c>
      <c r="U18" s="150">
        <v>0</v>
      </c>
      <c r="V18" s="150">
        <v>0</v>
      </c>
      <c r="W18" s="150">
        <v>0</v>
      </c>
      <c r="X18" s="150">
        <v>0</v>
      </c>
      <c r="Y18" s="150">
        <v>0</v>
      </c>
      <c r="Z18" s="48">
        <v>0</v>
      </c>
      <c r="AA18" s="151">
        <f t="shared" si="0"/>
        <v>0</v>
      </c>
      <c r="AB18" s="65">
        <f t="shared" si="1"/>
        <v>0</v>
      </c>
    </row>
    <row r="19" spans="1:37" x14ac:dyDescent="0.25">
      <c r="A19" s="35" t="s">
        <v>63</v>
      </c>
      <c r="B19" s="34" t="s">
        <v>235</v>
      </c>
      <c r="C19" s="34" t="s">
        <v>62</v>
      </c>
      <c r="D19" s="35" t="s">
        <v>39</v>
      </c>
      <c r="E19" s="117">
        <v>1</v>
      </c>
      <c r="F19" s="29"/>
      <c r="G19" s="48">
        <v>0</v>
      </c>
      <c r="H19" s="150">
        <v>0</v>
      </c>
      <c r="I19" s="150">
        <v>0</v>
      </c>
      <c r="J19" s="150">
        <v>0</v>
      </c>
      <c r="K19" s="150">
        <v>0</v>
      </c>
      <c r="L19" s="150">
        <v>61000</v>
      </c>
      <c r="M19" s="150">
        <v>0</v>
      </c>
      <c r="N19" s="150">
        <v>0</v>
      </c>
      <c r="O19" s="150">
        <v>0</v>
      </c>
      <c r="P19" s="150">
        <v>79000</v>
      </c>
      <c r="Q19" s="150">
        <v>0</v>
      </c>
      <c r="R19" s="150">
        <v>0</v>
      </c>
      <c r="S19" s="150">
        <v>0</v>
      </c>
      <c r="T19" s="150">
        <v>0</v>
      </c>
      <c r="U19" s="150">
        <v>-13000</v>
      </c>
      <c r="V19" s="150">
        <v>0</v>
      </c>
      <c r="W19" s="150">
        <v>0</v>
      </c>
      <c r="X19" s="150">
        <v>0</v>
      </c>
      <c r="Y19" s="150">
        <v>0</v>
      </c>
      <c r="Z19" s="48">
        <v>14000</v>
      </c>
      <c r="AA19" s="151">
        <f t="shared" si="0"/>
        <v>141000</v>
      </c>
      <c r="AB19" s="65">
        <f t="shared" si="1"/>
        <v>1.41</v>
      </c>
    </row>
    <row r="20" spans="1:37" x14ac:dyDescent="0.25">
      <c r="A20" s="35" t="s">
        <v>43</v>
      </c>
      <c r="B20" s="34" t="s">
        <v>85</v>
      </c>
      <c r="C20" s="34" t="s">
        <v>86</v>
      </c>
      <c r="D20" s="35" t="s">
        <v>109</v>
      </c>
      <c r="E20" s="118">
        <v>1</v>
      </c>
      <c r="F20" s="29"/>
      <c r="G20" s="48">
        <v>441552</v>
      </c>
      <c r="H20" s="150">
        <v>37392</v>
      </c>
      <c r="I20" s="150">
        <v>144427</v>
      </c>
      <c r="J20" s="150">
        <v>834</v>
      </c>
      <c r="K20" s="150">
        <v>430248</v>
      </c>
      <c r="L20" s="150">
        <v>69437</v>
      </c>
      <c r="M20" s="150">
        <v>174836</v>
      </c>
      <c r="N20" s="150">
        <v>-61028</v>
      </c>
      <c r="O20" s="150">
        <v>320978</v>
      </c>
      <c r="P20" s="150">
        <v>50000</v>
      </c>
      <c r="Q20" s="150">
        <v>20000</v>
      </c>
      <c r="R20" s="150">
        <v>-6606</v>
      </c>
      <c r="S20" s="150">
        <v>13213</v>
      </c>
      <c r="T20" s="150">
        <v>1241</v>
      </c>
      <c r="U20" s="150">
        <v>-7201</v>
      </c>
      <c r="V20" s="150">
        <v>-22492</v>
      </c>
      <c r="W20" s="150">
        <v>30000</v>
      </c>
      <c r="X20" s="150">
        <v>1206</v>
      </c>
      <c r="Y20" s="150">
        <v>13496</v>
      </c>
      <c r="Z20" s="48">
        <v>-9011</v>
      </c>
      <c r="AA20" s="151">
        <f t="shared" si="0"/>
        <v>1642522</v>
      </c>
      <c r="AB20" s="65">
        <f t="shared" si="1"/>
        <v>16.425219999999999</v>
      </c>
    </row>
    <row r="21" spans="1:37" x14ac:dyDescent="0.25">
      <c r="A21" s="145" t="s">
        <v>110</v>
      </c>
      <c r="B21" s="144" t="s">
        <v>85</v>
      </c>
      <c r="C21" s="144" t="s">
        <v>211</v>
      </c>
      <c r="D21" s="145"/>
      <c r="E21" s="160">
        <v>1</v>
      </c>
      <c r="F21" s="140"/>
      <c r="G21" s="150">
        <v>0</v>
      </c>
      <c r="H21" s="150">
        <v>0</v>
      </c>
      <c r="I21" s="150">
        <v>0</v>
      </c>
      <c r="J21" s="150">
        <v>0</v>
      </c>
      <c r="K21" s="150">
        <v>600</v>
      </c>
      <c r="L21" s="150">
        <v>9500</v>
      </c>
      <c r="M21" s="150">
        <v>0</v>
      </c>
      <c r="N21" s="150">
        <v>0</v>
      </c>
      <c r="O21" s="150">
        <v>-5500</v>
      </c>
      <c r="P21" s="150">
        <v>42000</v>
      </c>
      <c r="Q21" s="150">
        <v>0</v>
      </c>
      <c r="R21" s="150">
        <v>-6363</v>
      </c>
      <c r="S21" s="150">
        <v>-27500</v>
      </c>
      <c r="T21" s="150">
        <v>0</v>
      </c>
      <c r="U21" s="150">
        <v>-48000</v>
      </c>
      <c r="V21" s="150">
        <v>0</v>
      </c>
      <c r="W21" s="150">
        <v>-4000</v>
      </c>
      <c r="X21" s="150">
        <v>500</v>
      </c>
      <c r="Y21" s="150">
        <v>0</v>
      </c>
      <c r="Z21" s="150">
        <v>-6370</v>
      </c>
      <c r="AA21" s="151">
        <f t="shared" si="0"/>
        <v>-45133</v>
      </c>
      <c r="AB21" s="152">
        <f t="shared" ref="AB21" si="2">IFERROR(AA21/E21*100,0)/10000000</f>
        <v>-0.45133000000000001</v>
      </c>
    </row>
    <row r="22" spans="1:37" x14ac:dyDescent="0.25">
      <c r="A22" s="35" t="s">
        <v>95</v>
      </c>
      <c r="B22" s="34" t="s">
        <v>235</v>
      </c>
      <c r="C22" s="34" t="s">
        <v>8</v>
      </c>
      <c r="D22" s="35" t="s">
        <v>39</v>
      </c>
      <c r="E22" s="118">
        <v>1</v>
      </c>
      <c r="F22" s="29"/>
      <c r="G22" s="48">
        <v>0</v>
      </c>
      <c r="H22" s="150">
        <v>0</v>
      </c>
      <c r="I22" s="150">
        <v>20483</v>
      </c>
      <c r="J22" s="150">
        <v>9196</v>
      </c>
      <c r="K22" s="150">
        <v>0</v>
      </c>
      <c r="L22" s="150">
        <v>-10500</v>
      </c>
      <c r="M22" s="150">
        <v>0</v>
      </c>
      <c r="N22" s="150">
        <v>49335</v>
      </c>
      <c r="O22" s="150">
        <v>0</v>
      </c>
      <c r="P22" s="150">
        <v>59052</v>
      </c>
      <c r="Q22" s="150">
        <v>0</v>
      </c>
      <c r="R22" s="150">
        <v>-75530</v>
      </c>
      <c r="S22" s="150">
        <v>78660</v>
      </c>
      <c r="T22" s="150">
        <v>0</v>
      </c>
      <c r="U22" s="150">
        <v>35505</v>
      </c>
      <c r="V22" s="150">
        <v>0</v>
      </c>
      <c r="W22" s="150">
        <v>-24767</v>
      </c>
      <c r="X22" s="150">
        <v>-9032</v>
      </c>
      <c r="Y22" s="150">
        <v>0</v>
      </c>
      <c r="Z22" s="48">
        <v>-32140</v>
      </c>
      <c r="AA22" s="151">
        <f t="shared" si="0"/>
        <v>100262</v>
      </c>
      <c r="AB22" s="65">
        <f t="shared" si="1"/>
        <v>1.0026200000000001</v>
      </c>
    </row>
    <row r="23" spans="1:37" x14ac:dyDescent="0.25">
      <c r="A23" s="35" t="s">
        <v>24</v>
      </c>
      <c r="B23" s="34" t="s">
        <v>74</v>
      </c>
      <c r="C23" s="34" t="s">
        <v>58</v>
      </c>
      <c r="D23" s="35" t="s">
        <v>20</v>
      </c>
      <c r="E23" s="117">
        <v>2.5</v>
      </c>
      <c r="F23" s="29"/>
      <c r="G23" s="48">
        <v>-31651</v>
      </c>
      <c r="H23" s="150">
        <v>0</v>
      </c>
      <c r="I23" s="150">
        <v>-62677</v>
      </c>
      <c r="J23" s="150">
        <v>133197</v>
      </c>
      <c r="K23" s="150">
        <v>-140747</v>
      </c>
      <c r="L23" s="150">
        <v>171213</v>
      </c>
      <c r="M23" s="150">
        <v>-78786</v>
      </c>
      <c r="N23" s="150">
        <v>-22961</v>
      </c>
      <c r="O23" s="150">
        <v>-14290</v>
      </c>
      <c r="P23" s="150">
        <v>109431</v>
      </c>
      <c r="Q23" s="150">
        <v>-6519</v>
      </c>
      <c r="R23" s="150">
        <v>-25467</v>
      </c>
      <c r="S23" s="150">
        <v>46379</v>
      </c>
      <c r="T23" s="150">
        <v>53339</v>
      </c>
      <c r="U23" s="150">
        <v>-70000</v>
      </c>
      <c r="V23" s="150">
        <v>14982</v>
      </c>
      <c r="W23" s="150">
        <v>-51702</v>
      </c>
      <c r="X23" s="150">
        <v>72079</v>
      </c>
      <c r="Y23" s="150">
        <v>135967</v>
      </c>
      <c r="Z23" s="48">
        <v>77152</v>
      </c>
      <c r="AA23" s="151">
        <f t="shared" si="0"/>
        <v>308939</v>
      </c>
      <c r="AB23" s="65">
        <f t="shared" si="1"/>
        <v>1.2357560000000001</v>
      </c>
    </row>
    <row r="24" spans="1:37" x14ac:dyDescent="0.25">
      <c r="A24" s="35" t="s">
        <v>23</v>
      </c>
      <c r="B24" s="34" t="s">
        <v>75</v>
      </c>
      <c r="C24" s="34" t="s">
        <v>59</v>
      </c>
      <c r="D24" s="35" t="s">
        <v>3</v>
      </c>
      <c r="E24" s="117">
        <v>4</v>
      </c>
      <c r="F24" s="29"/>
      <c r="G24" s="48">
        <v>24698</v>
      </c>
      <c r="H24" s="150">
        <v>0</v>
      </c>
      <c r="I24" s="150">
        <v>187492</v>
      </c>
      <c r="J24" s="150">
        <v>18300</v>
      </c>
      <c r="K24" s="150">
        <v>-28860</v>
      </c>
      <c r="L24" s="150">
        <v>166334</v>
      </c>
      <c r="M24" s="150">
        <v>-37388</v>
      </c>
      <c r="N24" s="150">
        <v>-22936</v>
      </c>
      <c r="O24" s="150">
        <v>25415</v>
      </c>
      <c r="P24" s="150">
        <v>104876</v>
      </c>
      <c r="Q24" s="150">
        <v>-6969</v>
      </c>
      <c r="R24" s="150">
        <v>-101248</v>
      </c>
      <c r="S24" s="150">
        <v>66983</v>
      </c>
      <c r="T24" s="150">
        <v>92989</v>
      </c>
      <c r="U24" s="150">
        <v>-134638</v>
      </c>
      <c r="V24" s="150">
        <v>1982</v>
      </c>
      <c r="W24" s="150">
        <v>-111322</v>
      </c>
      <c r="X24" s="150">
        <v>94791</v>
      </c>
      <c r="Y24" s="150">
        <v>5000</v>
      </c>
      <c r="Z24" s="48">
        <v>59625</v>
      </c>
      <c r="AA24" s="151">
        <f t="shared" si="0"/>
        <v>405124</v>
      </c>
      <c r="AB24" s="65">
        <f t="shared" si="1"/>
        <v>1.01281</v>
      </c>
    </row>
    <row r="25" spans="1:37" x14ac:dyDescent="0.25">
      <c r="A25" s="35" t="s">
        <v>112</v>
      </c>
      <c r="B25" s="34" t="s">
        <v>113</v>
      </c>
      <c r="C25" s="34" t="s">
        <v>111</v>
      </c>
      <c r="D25" s="35" t="s">
        <v>154</v>
      </c>
      <c r="E25" s="117">
        <v>1.1000000000000001</v>
      </c>
      <c r="F25" s="29"/>
      <c r="G25" s="48">
        <v>5578</v>
      </c>
      <c r="H25" s="150">
        <v>20970</v>
      </c>
      <c r="I25" s="150">
        <v>-9177</v>
      </c>
      <c r="J25" s="150">
        <v>-55046</v>
      </c>
      <c r="K25" s="150">
        <v>0</v>
      </c>
      <c r="L25" s="150">
        <v>0</v>
      </c>
      <c r="M25" s="150">
        <v>31150</v>
      </c>
      <c r="N25" s="150">
        <v>11780</v>
      </c>
      <c r="O25" s="150">
        <v>0</v>
      </c>
      <c r="P25" s="150">
        <v>-200</v>
      </c>
      <c r="Q25" s="150">
        <v>0</v>
      </c>
      <c r="R25" s="150">
        <v>0</v>
      </c>
      <c r="S25" s="150">
        <v>6024</v>
      </c>
      <c r="T25" s="150">
        <v>20053</v>
      </c>
      <c r="U25" s="150">
        <v>11507</v>
      </c>
      <c r="V25" s="150">
        <v>9106</v>
      </c>
      <c r="W25" s="150">
        <v>8300</v>
      </c>
      <c r="X25" s="150">
        <v>-29005</v>
      </c>
      <c r="Y25" s="150">
        <v>-1062</v>
      </c>
      <c r="Z25" s="48">
        <v>5944</v>
      </c>
      <c r="AA25" s="151">
        <f t="shared" si="0"/>
        <v>35922</v>
      </c>
      <c r="AB25" s="65">
        <f t="shared" si="1"/>
        <v>0.32656363636363633</v>
      </c>
      <c r="AE25" s="1">
        <v>102500</v>
      </c>
    </row>
    <row r="26" spans="1:37" x14ac:dyDescent="0.25">
      <c r="A26" s="145" t="s">
        <v>150</v>
      </c>
      <c r="B26" s="144" t="s">
        <v>113</v>
      </c>
      <c r="C26" s="144" t="s">
        <v>130</v>
      </c>
      <c r="D26" s="145" t="s">
        <v>154</v>
      </c>
      <c r="E26" s="159">
        <v>0.25</v>
      </c>
      <c r="F26" s="14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>
        <v>0</v>
      </c>
      <c r="T26" s="150">
        <v>4831</v>
      </c>
      <c r="U26" s="150">
        <v>3646</v>
      </c>
      <c r="V26" s="150">
        <v>-200</v>
      </c>
      <c r="W26" s="150">
        <v>0</v>
      </c>
      <c r="X26" s="150">
        <v>0</v>
      </c>
      <c r="Y26" s="150">
        <v>0</v>
      </c>
      <c r="Z26" s="150">
        <v>1726</v>
      </c>
      <c r="AA26" s="151">
        <f t="shared" si="0"/>
        <v>10003</v>
      </c>
      <c r="AB26" s="152">
        <f t="shared" ref="AB26" si="3">IFERROR(AA26/E26*100,0)/10000000</f>
        <v>0.40011999999999998</v>
      </c>
      <c r="AE26" s="1">
        <v>64991</v>
      </c>
      <c r="AH26" s="1">
        <v>-13450</v>
      </c>
      <c r="AK26" s="1">
        <v>-38200</v>
      </c>
    </row>
    <row r="27" spans="1:37" x14ac:dyDescent="0.25">
      <c r="A27" s="35" t="s">
        <v>168</v>
      </c>
      <c r="B27" s="34" t="s">
        <v>167</v>
      </c>
      <c r="C27" s="34" t="s">
        <v>169</v>
      </c>
      <c r="D27" s="145" t="s">
        <v>154</v>
      </c>
      <c r="E27" s="117">
        <v>1.5</v>
      </c>
      <c r="F27" s="29"/>
      <c r="G27" s="48">
        <v>-52000</v>
      </c>
      <c r="H27" s="150">
        <v>-8000</v>
      </c>
      <c r="I27" s="150">
        <v>200000</v>
      </c>
      <c r="J27" s="150">
        <v>-111000</v>
      </c>
      <c r="K27" s="150">
        <v>50000</v>
      </c>
      <c r="L27" s="150">
        <v>-5000</v>
      </c>
      <c r="M27" s="150">
        <v>139000</v>
      </c>
      <c r="N27" s="150">
        <v>-103000</v>
      </c>
      <c r="O27" s="150">
        <v>-9500</v>
      </c>
      <c r="P27" s="150">
        <v>-68000</v>
      </c>
      <c r="Q27" s="150">
        <v>76000</v>
      </c>
      <c r="R27" s="150">
        <v>-82000</v>
      </c>
      <c r="S27" s="150">
        <v>-25000</v>
      </c>
      <c r="T27" s="150">
        <v>40000</v>
      </c>
      <c r="U27" s="150">
        <v>-73000</v>
      </c>
      <c r="V27" s="150">
        <v>205000</v>
      </c>
      <c r="W27" s="150">
        <v>-46106</v>
      </c>
      <c r="X27" s="150">
        <v>114000</v>
      </c>
      <c r="Y27" s="150">
        <v>-15500</v>
      </c>
      <c r="Z27" s="48">
        <v>-23618</v>
      </c>
      <c r="AA27" s="151">
        <f t="shared" si="0"/>
        <v>202276</v>
      </c>
      <c r="AB27" s="65">
        <f t="shared" ref="AB27" si="4">IFERROR(AA27/E27*100,0)/10000000</f>
        <v>1.3485066666666665</v>
      </c>
      <c r="AE27" s="1">
        <v>-65352</v>
      </c>
      <c r="AH27" s="1">
        <v>15432</v>
      </c>
      <c r="AK27" s="1">
        <v>11900</v>
      </c>
    </row>
    <row r="28" spans="1:37" x14ac:dyDescent="0.25">
      <c r="A28" s="35" t="s">
        <v>32</v>
      </c>
      <c r="B28" s="34" t="s">
        <v>64</v>
      </c>
      <c r="C28" s="35" t="s">
        <v>21</v>
      </c>
      <c r="D28" s="35" t="s">
        <v>40</v>
      </c>
      <c r="E28" s="117">
        <v>1.1000000000000001</v>
      </c>
      <c r="F28" s="30"/>
      <c r="G28" s="48">
        <v>-12308</v>
      </c>
      <c r="H28" s="150">
        <v>0</v>
      </c>
      <c r="I28" s="150">
        <v>-38237</v>
      </c>
      <c r="J28" s="150">
        <v>-90000</v>
      </c>
      <c r="K28" s="150">
        <v>11852</v>
      </c>
      <c r="L28" s="150">
        <v>2017</v>
      </c>
      <c r="M28" s="150">
        <v>-53047</v>
      </c>
      <c r="N28" s="150">
        <v>85060</v>
      </c>
      <c r="O28" s="150">
        <v>-27527</v>
      </c>
      <c r="P28" s="150">
        <v>19530</v>
      </c>
      <c r="Q28" s="150">
        <v>-10150</v>
      </c>
      <c r="R28" s="150">
        <v>5000</v>
      </c>
      <c r="S28" s="150">
        <v>-5500</v>
      </c>
      <c r="T28" s="150">
        <v>15040</v>
      </c>
      <c r="U28" s="150">
        <v>20522</v>
      </c>
      <c r="V28" s="150">
        <v>18184</v>
      </c>
      <c r="W28" s="150">
        <v>-11907</v>
      </c>
      <c r="X28" s="150">
        <v>2039</v>
      </c>
      <c r="Y28" s="150">
        <v>36854</v>
      </c>
      <c r="Z28" s="48">
        <v>48922</v>
      </c>
      <c r="AA28" s="151">
        <f t="shared" si="0"/>
        <v>16344</v>
      </c>
      <c r="AB28" s="65">
        <f t="shared" ref="AB28:AB35" si="5">IFERROR(AA28/E28*100,0)/10000000</f>
        <v>0.14858181818181818</v>
      </c>
    </row>
    <row r="29" spans="1:37" x14ac:dyDescent="0.25">
      <c r="A29" s="35" t="s">
        <v>119</v>
      </c>
      <c r="B29" s="34" t="s">
        <v>64</v>
      </c>
      <c r="C29" s="35" t="s">
        <v>120</v>
      </c>
      <c r="D29" s="35" t="s">
        <v>40</v>
      </c>
      <c r="E29" s="117">
        <v>0.5</v>
      </c>
      <c r="F29" s="30"/>
      <c r="G29" s="48">
        <v>-18000</v>
      </c>
      <c r="H29" s="150">
        <v>11000</v>
      </c>
      <c r="I29" s="150">
        <v>6000</v>
      </c>
      <c r="J29" s="150">
        <v>-5800</v>
      </c>
      <c r="K29" s="150">
        <v>-15000</v>
      </c>
      <c r="L29" s="150">
        <v>-24000</v>
      </c>
      <c r="M29" s="150">
        <v>-101000</v>
      </c>
      <c r="N29" s="150">
        <v>17500</v>
      </c>
      <c r="O29" s="150">
        <v>-30500</v>
      </c>
      <c r="P29" s="150">
        <v>26000</v>
      </c>
      <c r="Q29" s="150">
        <v>6500</v>
      </c>
      <c r="R29" s="150">
        <v>-32000</v>
      </c>
      <c r="S29" s="150">
        <v>15000</v>
      </c>
      <c r="T29" s="150">
        <v>-28000</v>
      </c>
      <c r="U29" s="150">
        <v>-41000</v>
      </c>
      <c r="V29" s="150">
        <v>35000</v>
      </c>
      <c r="W29" s="150">
        <v>-43171</v>
      </c>
      <c r="X29" s="150">
        <v>48000</v>
      </c>
      <c r="Y29" s="150">
        <v>-13500</v>
      </c>
      <c r="Z29" s="48">
        <v>-16130</v>
      </c>
      <c r="AA29" s="151">
        <f t="shared" si="0"/>
        <v>-203101</v>
      </c>
      <c r="AB29" s="65">
        <f t="shared" si="5"/>
        <v>-4.0620200000000004</v>
      </c>
      <c r="AE29" s="2">
        <f>SUM(AE24:AE27)</f>
        <v>102139</v>
      </c>
      <c r="AH29" s="2">
        <f>SUM(AH26:AH27)</f>
        <v>1982</v>
      </c>
    </row>
    <row r="30" spans="1:37" x14ac:dyDescent="0.25">
      <c r="A30" s="35" t="s">
        <v>98</v>
      </c>
      <c r="B30" s="34" t="s">
        <v>69</v>
      </c>
      <c r="C30" s="34" t="s">
        <v>210</v>
      </c>
      <c r="D30" s="35" t="s">
        <v>109</v>
      </c>
      <c r="E30" s="117">
        <v>2.2999999999999998</v>
      </c>
      <c r="F30" s="30"/>
      <c r="G30" s="48">
        <v>538821</v>
      </c>
      <c r="H30" s="150">
        <v>-33736</v>
      </c>
      <c r="I30" s="150">
        <v>346787</v>
      </c>
      <c r="J30" s="150">
        <v>74363</v>
      </c>
      <c r="K30" s="150">
        <v>1017305</v>
      </c>
      <c r="L30" s="150">
        <v>-18101</v>
      </c>
      <c r="M30" s="150">
        <v>422992</v>
      </c>
      <c r="N30" s="150">
        <v>-200566</v>
      </c>
      <c r="O30" s="150">
        <v>542620</v>
      </c>
      <c r="P30" s="150">
        <v>158370</v>
      </c>
      <c r="Q30" s="150">
        <v>296090</v>
      </c>
      <c r="R30" s="150">
        <v>-47313</v>
      </c>
      <c r="S30" s="150">
        <v>169856</v>
      </c>
      <c r="T30" s="150">
        <v>67802</v>
      </c>
      <c r="U30" s="150">
        <v>-179604</v>
      </c>
      <c r="V30" s="150">
        <v>-232194</v>
      </c>
      <c r="W30" s="150">
        <v>311700</v>
      </c>
      <c r="X30" s="150">
        <v>1705</v>
      </c>
      <c r="Y30" s="150">
        <v>70800</v>
      </c>
      <c r="Z30" s="48">
        <v>-117000</v>
      </c>
      <c r="AA30" s="151">
        <f t="shared" si="0"/>
        <v>3190697</v>
      </c>
      <c r="AB30" s="65">
        <f t="shared" si="5"/>
        <v>13.872595652173912</v>
      </c>
    </row>
    <row r="31" spans="1:37" x14ac:dyDescent="0.25">
      <c r="A31" s="35" t="s">
        <v>29</v>
      </c>
      <c r="B31" s="34" t="s">
        <v>22</v>
      </c>
      <c r="C31" s="34" t="s">
        <v>153</v>
      </c>
      <c r="D31" s="35" t="s">
        <v>5</v>
      </c>
      <c r="E31" s="117">
        <v>5</v>
      </c>
      <c r="F31" s="30"/>
      <c r="G31" s="48">
        <v>-221468</v>
      </c>
      <c r="H31" s="150">
        <v>0</v>
      </c>
      <c r="I31" s="150">
        <v>-329217</v>
      </c>
      <c r="J31" s="150">
        <v>210250</v>
      </c>
      <c r="K31" s="150">
        <v>-167500</v>
      </c>
      <c r="L31" s="150">
        <v>510000</v>
      </c>
      <c r="M31" s="150">
        <v>24250</v>
      </c>
      <c r="N31" s="150">
        <v>173030</v>
      </c>
      <c r="O31" s="150">
        <v>138000</v>
      </c>
      <c r="P31" s="150">
        <v>400000</v>
      </c>
      <c r="Q31" s="150">
        <v>-35000</v>
      </c>
      <c r="R31" s="150">
        <v>-260000</v>
      </c>
      <c r="S31" s="150">
        <v>413300</v>
      </c>
      <c r="T31" s="150">
        <v>163342</v>
      </c>
      <c r="U31" s="150">
        <v>-176000</v>
      </c>
      <c r="V31" s="150">
        <v>68000</v>
      </c>
      <c r="W31" s="150">
        <v>-204454</v>
      </c>
      <c r="X31" s="150">
        <v>341500</v>
      </c>
      <c r="Y31" s="150">
        <v>169100</v>
      </c>
      <c r="Z31" s="48">
        <v>102150</v>
      </c>
      <c r="AA31" s="151">
        <f t="shared" si="0"/>
        <v>1319283</v>
      </c>
      <c r="AB31" s="65">
        <f t="shared" si="5"/>
        <v>2.6385659999999995</v>
      </c>
    </row>
    <row r="32" spans="1:37" x14ac:dyDescent="0.25">
      <c r="A32" s="35" t="s">
        <v>28</v>
      </c>
      <c r="B32" s="34" t="s">
        <v>157</v>
      </c>
      <c r="C32" s="34" t="s">
        <v>123</v>
      </c>
      <c r="D32" s="35" t="s">
        <v>92</v>
      </c>
      <c r="E32" s="117">
        <v>10</v>
      </c>
      <c r="F32" s="30"/>
      <c r="G32" s="48">
        <v>39000</v>
      </c>
      <c r="H32" s="150">
        <v>370000</v>
      </c>
      <c r="I32" s="150">
        <v>10000</v>
      </c>
      <c r="J32" s="150">
        <v>925000</v>
      </c>
      <c r="K32" s="150">
        <v>9000</v>
      </c>
      <c r="L32" s="150">
        <v>640000</v>
      </c>
      <c r="M32" s="150">
        <v>500</v>
      </c>
      <c r="N32" s="150">
        <v>245000</v>
      </c>
      <c r="O32" s="150">
        <v>0</v>
      </c>
      <c r="P32" s="150">
        <v>500</v>
      </c>
      <c r="Q32" s="150">
        <v>0</v>
      </c>
      <c r="R32" s="150">
        <v>0</v>
      </c>
      <c r="S32" s="150">
        <v>935000</v>
      </c>
      <c r="T32" s="150">
        <v>315000</v>
      </c>
      <c r="U32" s="150">
        <v>168000</v>
      </c>
      <c r="V32" s="150">
        <v>0</v>
      </c>
      <c r="W32" s="150">
        <v>0</v>
      </c>
      <c r="X32" s="150">
        <v>-481000</v>
      </c>
      <c r="Y32" s="150">
        <v>168000</v>
      </c>
      <c r="Z32" s="48">
        <v>-444300</v>
      </c>
      <c r="AA32" s="151">
        <f t="shared" si="0"/>
        <v>2899700</v>
      </c>
      <c r="AB32" s="65">
        <f t="shared" si="5"/>
        <v>2.8997000000000002</v>
      </c>
    </row>
    <row r="33" spans="1:31" x14ac:dyDescent="0.25">
      <c r="A33" s="35" t="s">
        <v>27</v>
      </c>
      <c r="B33" s="34" t="s">
        <v>157</v>
      </c>
      <c r="C33" s="34" t="s">
        <v>177</v>
      </c>
      <c r="D33" s="35" t="s">
        <v>53</v>
      </c>
      <c r="E33" s="117">
        <v>0.22</v>
      </c>
      <c r="F33" s="29"/>
      <c r="G33" s="48">
        <v>0</v>
      </c>
      <c r="H33" s="150">
        <v>0</v>
      </c>
      <c r="I33" s="150">
        <v>0</v>
      </c>
      <c r="J33" s="150">
        <v>0</v>
      </c>
      <c r="K33" s="150">
        <v>0</v>
      </c>
      <c r="L33" s="150">
        <v>0</v>
      </c>
      <c r="M33" s="150">
        <v>0</v>
      </c>
      <c r="N33" s="150">
        <v>0</v>
      </c>
      <c r="O33" s="150">
        <v>0</v>
      </c>
      <c r="P33" s="150">
        <v>0</v>
      </c>
      <c r="Q33" s="150">
        <v>0</v>
      </c>
      <c r="R33" s="150">
        <v>0</v>
      </c>
      <c r="S33" s="150">
        <v>0</v>
      </c>
      <c r="T33" s="150">
        <v>0</v>
      </c>
      <c r="U33" s="150">
        <v>0</v>
      </c>
      <c r="V33" s="150">
        <v>0</v>
      </c>
      <c r="W33" s="150">
        <v>0</v>
      </c>
      <c r="X33" s="150">
        <v>0</v>
      </c>
      <c r="Y33" s="150">
        <v>0</v>
      </c>
      <c r="Z33" s="48">
        <v>0</v>
      </c>
      <c r="AA33" s="151">
        <f t="shared" si="0"/>
        <v>0</v>
      </c>
      <c r="AB33" s="65">
        <f t="shared" si="5"/>
        <v>0</v>
      </c>
      <c r="AD33" s="5"/>
      <c r="AE33" s="4"/>
    </row>
    <row r="34" spans="1:31" x14ac:dyDescent="0.25">
      <c r="A34" s="145" t="s">
        <v>194</v>
      </c>
      <c r="B34" s="144" t="s">
        <v>187</v>
      </c>
      <c r="C34" s="144" t="s">
        <v>188</v>
      </c>
      <c r="D34" s="145" t="s">
        <v>92</v>
      </c>
      <c r="E34" s="159">
        <v>10</v>
      </c>
      <c r="F34" s="140"/>
      <c r="G34" s="150">
        <v>0</v>
      </c>
      <c r="H34" s="150">
        <v>0</v>
      </c>
      <c r="I34" s="150">
        <v>0</v>
      </c>
      <c r="J34" s="150">
        <v>900000</v>
      </c>
      <c r="K34" s="150">
        <v>9000</v>
      </c>
      <c r="L34" s="150">
        <v>650000</v>
      </c>
      <c r="M34" s="150">
        <v>0</v>
      </c>
      <c r="N34" s="150">
        <v>245000</v>
      </c>
      <c r="O34" s="150">
        <v>0</v>
      </c>
      <c r="P34" s="150">
        <v>2000</v>
      </c>
      <c r="Q34" s="150">
        <v>0</v>
      </c>
      <c r="R34" s="150">
        <v>0</v>
      </c>
      <c r="S34" s="150">
        <v>932000</v>
      </c>
      <c r="T34" s="150">
        <v>305000</v>
      </c>
      <c r="U34" s="150">
        <v>168000</v>
      </c>
      <c r="V34" s="150">
        <v>0</v>
      </c>
      <c r="W34" s="150">
        <v>0</v>
      </c>
      <c r="X34" s="150">
        <v>-491070</v>
      </c>
      <c r="Y34" s="150">
        <v>182000</v>
      </c>
      <c r="Z34" s="150">
        <v>-444300</v>
      </c>
      <c r="AA34" s="151">
        <f t="shared" si="0"/>
        <v>2457630</v>
      </c>
      <c r="AB34" s="152">
        <f t="shared" si="5"/>
        <v>2.45763</v>
      </c>
      <c r="AD34" s="5"/>
      <c r="AE34" s="137">
        <v>-5333</v>
      </c>
    </row>
    <row r="35" spans="1:31" x14ac:dyDescent="0.25">
      <c r="A35" s="145" t="s">
        <v>198</v>
      </c>
      <c r="B35" s="144" t="s">
        <v>181</v>
      </c>
      <c r="C35" s="144" t="s">
        <v>183</v>
      </c>
      <c r="D35" s="145" t="s">
        <v>92</v>
      </c>
      <c r="E35" s="159">
        <v>3</v>
      </c>
      <c r="F35" s="140"/>
      <c r="G35" s="150">
        <v>0</v>
      </c>
      <c r="H35" s="150">
        <v>0</v>
      </c>
      <c r="I35" s="150">
        <v>0</v>
      </c>
      <c r="J35" s="150">
        <v>215000</v>
      </c>
      <c r="K35" s="150">
        <v>2500</v>
      </c>
      <c r="L35" s="150">
        <v>185000</v>
      </c>
      <c r="M35" s="150">
        <v>0</v>
      </c>
      <c r="N35" s="150">
        <v>98000</v>
      </c>
      <c r="O35" s="150">
        <v>0</v>
      </c>
      <c r="P35" s="150">
        <v>1500</v>
      </c>
      <c r="Q35" s="150">
        <v>0</v>
      </c>
      <c r="R35" s="150">
        <v>0</v>
      </c>
      <c r="S35" s="150">
        <v>260000</v>
      </c>
      <c r="T35" s="150">
        <v>89000</v>
      </c>
      <c r="U35" s="150">
        <v>48000</v>
      </c>
      <c r="V35" s="150">
        <v>0</v>
      </c>
      <c r="W35" s="150">
        <v>0</v>
      </c>
      <c r="X35" s="150">
        <v>-142000</v>
      </c>
      <c r="Y35" s="150">
        <v>49500</v>
      </c>
      <c r="Z35" s="150">
        <v>-127200</v>
      </c>
      <c r="AA35" s="151">
        <f t="shared" si="0"/>
        <v>679300</v>
      </c>
      <c r="AB35" s="152">
        <f t="shared" si="5"/>
        <v>2.2643333333333335</v>
      </c>
      <c r="AD35" s="137">
        <v>4355107</v>
      </c>
      <c r="AE35" s="137"/>
    </row>
    <row r="36" spans="1:31" x14ac:dyDescent="0.25">
      <c r="A36" s="35" t="s">
        <v>149</v>
      </c>
      <c r="B36" s="34" t="s">
        <v>148</v>
      </c>
      <c r="C36" s="34" t="s">
        <v>142</v>
      </c>
      <c r="D36" s="35" t="s">
        <v>92</v>
      </c>
      <c r="E36" s="117">
        <v>1.5</v>
      </c>
      <c r="F36" s="29"/>
      <c r="G36" s="48">
        <v>0</v>
      </c>
      <c r="H36" s="150">
        <v>0</v>
      </c>
      <c r="I36" s="150">
        <v>1000</v>
      </c>
      <c r="J36" s="150">
        <v>128000</v>
      </c>
      <c r="K36" s="150">
        <v>1000</v>
      </c>
      <c r="L36" s="150">
        <v>92000</v>
      </c>
      <c r="M36" s="150">
        <v>0</v>
      </c>
      <c r="N36" s="150">
        <v>33000</v>
      </c>
      <c r="O36" s="150">
        <v>0</v>
      </c>
      <c r="P36" s="150">
        <v>500</v>
      </c>
      <c r="Q36" s="150">
        <v>0</v>
      </c>
      <c r="R36" s="150">
        <v>0</v>
      </c>
      <c r="S36" s="150">
        <v>130000</v>
      </c>
      <c r="T36" s="150">
        <v>43500</v>
      </c>
      <c r="U36" s="150">
        <v>23000</v>
      </c>
      <c r="V36" s="150">
        <v>0</v>
      </c>
      <c r="W36" s="150">
        <v>0</v>
      </c>
      <c r="X36" s="150">
        <v>-72000</v>
      </c>
      <c r="Y36" s="150">
        <v>23000</v>
      </c>
      <c r="Z36" s="48">
        <v>-64000</v>
      </c>
      <c r="AA36" s="151">
        <f t="shared" si="0"/>
        <v>339000</v>
      </c>
      <c r="AB36" s="65">
        <f t="shared" ref="AB36:AB61" si="6">IFERROR(AA36/E36*100,0)/10000000</f>
        <v>2.2599999999999998</v>
      </c>
      <c r="AD36" s="6">
        <v>4349774</v>
      </c>
      <c r="AE36" s="6">
        <f>(AD36+AD35)/10000000*13780</f>
        <v>11995.326018</v>
      </c>
    </row>
    <row r="37" spans="1:31" x14ac:dyDescent="0.25">
      <c r="A37" s="166" t="s">
        <v>209</v>
      </c>
      <c r="B37" s="144" t="s">
        <v>207</v>
      </c>
      <c r="C37" s="144" t="s">
        <v>208</v>
      </c>
      <c r="D37" s="145" t="s">
        <v>92</v>
      </c>
      <c r="E37" s="167">
        <v>1.25</v>
      </c>
      <c r="F37" s="168"/>
      <c r="G37" s="154">
        <v>0</v>
      </c>
      <c r="H37" s="154">
        <v>0</v>
      </c>
      <c r="I37" s="154">
        <v>0</v>
      </c>
      <c r="J37" s="154">
        <v>0</v>
      </c>
      <c r="K37" s="154">
        <v>0</v>
      </c>
      <c r="L37" s="154">
        <v>0</v>
      </c>
      <c r="M37" s="154">
        <v>0</v>
      </c>
      <c r="N37" s="154">
        <v>31000</v>
      </c>
      <c r="O37" s="154">
        <v>0</v>
      </c>
      <c r="P37" s="154">
        <v>100</v>
      </c>
      <c r="Q37" s="154">
        <v>0</v>
      </c>
      <c r="R37" s="154">
        <v>0</v>
      </c>
      <c r="S37" s="154">
        <v>130000</v>
      </c>
      <c r="T37" s="154">
        <v>43000</v>
      </c>
      <c r="U37" s="154">
        <v>23000</v>
      </c>
      <c r="V37" s="154">
        <v>0</v>
      </c>
      <c r="W37" s="154">
        <v>0</v>
      </c>
      <c r="X37" s="154">
        <v>-72000</v>
      </c>
      <c r="Y37" s="154">
        <v>23000</v>
      </c>
      <c r="Z37" s="154">
        <v>-64000</v>
      </c>
      <c r="AA37" s="151">
        <f t="shared" si="0"/>
        <v>114100</v>
      </c>
      <c r="AB37" s="152">
        <f t="shared" si="6"/>
        <v>0.91279999999999994</v>
      </c>
      <c r="AD37" s="6"/>
      <c r="AE37" s="6"/>
    </row>
    <row r="38" spans="1:31" x14ac:dyDescent="0.25">
      <c r="A38" s="62" t="s">
        <v>1</v>
      </c>
      <c r="B38" s="62" t="s">
        <v>115</v>
      </c>
      <c r="C38" s="62" t="s">
        <v>253</v>
      </c>
      <c r="D38" s="34" t="s">
        <v>93</v>
      </c>
      <c r="E38" s="115">
        <v>1.5</v>
      </c>
      <c r="F38" s="63"/>
      <c r="G38" s="82">
        <v>0</v>
      </c>
      <c r="H38" s="154">
        <v>0</v>
      </c>
      <c r="I38" s="154">
        <v>1000</v>
      </c>
      <c r="J38" s="154">
        <v>128000</v>
      </c>
      <c r="K38" s="154">
        <v>1000</v>
      </c>
      <c r="L38" s="154">
        <v>92000</v>
      </c>
      <c r="M38" s="154">
        <v>0</v>
      </c>
      <c r="N38" s="154">
        <v>33000</v>
      </c>
      <c r="O38" s="154">
        <v>0</v>
      </c>
      <c r="P38" s="154">
        <v>500</v>
      </c>
      <c r="Q38" s="154">
        <v>0</v>
      </c>
      <c r="R38" s="154">
        <v>0</v>
      </c>
      <c r="S38" s="154">
        <v>130000</v>
      </c>
      <c r="T38" s="154">
        <v>43000</v>
      </c>
      <c r="U38" s="154">
        <v>23000</v>
      </c>
      <c r="V38" s="154">
        <v>0</v>
      </c>
      <c r="W38" s="154">
        <v>0</v>
      </c>
      <c r="X38" s="154">
        <v>-56000</v>
      </c>
      <c r="Y38" s="154">
        <v>23000</v>
      </c>
      <c r="Z38" s="82">
        <v>-64000</v>
      </c>
      <c r="AA38" s="151">
        <f t="shared" si="0"/>
        <v>354500</v>
      </c>
      <c r="AB38" s="65">
        <f t="shared" si="6"/>
        <v>2.3633333333333337</v>
      </c>
      <c r="AD38" s="6"/>
      <c r="AE38" s="6"/>
    </row>
    <row r="39" spans="1:31" x14ac:dyDescent="0.25">
      <c r="A39" s="35" t="s">
        <v>66</v>
      </c>
      <c r="B39" s="34" t="s">
        <v>65</v>
      </c>
      <c r="C39" s="34" t="s">
        <v>7</v>
      </c>
      <c r="D39" s="35" t="s">
        <v>154</v>
      </c>
      <c r="E39" s="117">
        <v>5</v>
      </c>
      <c r="F39" s="29"/>
      <c r="G39" s="48">
        <v>0</v>
      </c>
      <c r="H39" s="150">
        <v>-52118</v>
      </c>
      <c r="I39" s="150">
        <v>0</v>
      </c>
      <c r="J39" s="150">
        <v>8915</v>
      </c>
      <c r="K39" s="150">
        <v>0</v>
      </c>
      <c r="L39" s="150">
        <v>241055</v>
      </c>
      <c r="M39" s="150">
        <v>0</v>
      </c>
      <c r="N39" s="150">
        <v>115298</v>
      </c>
      <c r="O39" s="150">
        <v>0</v>
      </c>
      <c r="P39" s="150">
        <v>59006</v>
      </c>
      <c r="Q39" s="150">
        <v>0</v>
      </c>
      <c r="R39" s="150">
        <v>0</v>
      </c>
      <c r="S39" s="150">
        <v>322275</v>
      </c>
      <c r="T39" s="150">
        <v>0</v>
      </c>
      <c r="U39" s="150">
        <v>-170149</v>
      </c>
      <c r="V39" s="150">
        <v>0</v>
      </c>
      <c r="W39" s="150">
        <v>-32732</v>
      </c>
      <c r="X39" s="150">
        <v>-43020</v>
      </c>
      <c r="Y39" s="150">
        <v>0</v>
      </c>
      <c r="Z39" s="48">
        <v>-234563</v>
      </c>
      <c r="AA39" s="151">
        <f t="shared" si="0"/>
        <v>213967</v>
      </c>
      <c r="AB39" s="65">
        <f t="shared" si="6"/>
        <v>0.42793399999999998</v>
      </c>
      <c r="AD39" s="6"/>
      <c r="AE39" s="6"/>
    </row>
    <row r="40" spans="1:31" ht="16.5" customHeight="1" x14ac:dyDescent="0.25">
      <c r="A40" s="34" t="s">
        <v>34</v>
      </c>
      <c r="B40" s="36" t="s">
        <v>18</v>
      </c>
      <c r="C40" s="34" t="s">
        <v>10</v>
      </c>
      <c r="D40" s="35" t="s">
        <v>154</v>
      </c>
      <c r="E40" s="119">
        <v>5</v>
      </c>
      <c r="F40" s="33"/>
      <c r="G40" s="48">
        <v>58053</v>
      </c>
      <c r="H40" s="150">
        <v>121299</v>
      </c>
      <c r="I40" s="150">
        <v>-49079</v>
      </c>
      <c r="J40" s="150">
        <v>3902</v>
      </c>
      <c r="K40" s="150">
        <v>37194</v>
      </c>
      <c r="L40" s="150">
        <v>219670</v>
      </c>
      <c r="M40" s="150">
        <v>-86420</v>
      </c>
      <c r="N40" s="150">
        <v>138625</v>
      </c>
      <c r="O40" s="150">
        <v>59408</v>
      </c>
      <c r="P40" s="150">
        <v>68225</v>
      </c>
      <c r="Q40" s="150">
        <v>76163</v>
      </c>
      <c r="R40" s="150">
        <v>-33821</v>
      </c>
      <c r="S40" s="150">
        <v>36068</v>
      </c>
      <c r="T40" s="150">
        <v>163342</v>
      </c>
      <c r="U40" s="150">
        <v>-13204</v>
      </c>
      <c r="V40" s="150">
        <v>-155212</v>
      </c>
      <c r="W40" s="150">
        <v>-137789</v>
      </c>
      <c r="X40" s="150">
        <v>43143</v>
      </c>
      <c r="Y40" s="150">
        <v>-36983</v>
      </c>
      <c r="Z40" s="48">
        <v>156370</v>
      </c>
      <c r="AA40" s="151">
        <f t="shared" si="0"/>
        <v>668954</v>
      </c>
      <c r="AB40" s="65">
        <f t="shared" si="6"/>
        <v>1.3379079999999999</v>
      </c>
      <c r="AD40" s="6"/>
      <c r="AE40" s="128">
        <f>AE34-AE36</f>
        <v>-17328.326018</v>
      </c>
    </row>
    <row r="41" spans="1:31" x14ac:dyDescent="0.25">
      <c r="A41" s="34" t="s">
        <v>133</v>
      </c>
      <c r="B41" s="36" t="s">
        <v>132</v>
      </c>
      <c r="C41" s="34" t="s">
        <v>16</v>
      </c>
      <c r="D41" s="35" t="s">
        <v>118</v>
      </c>
      <c r="E41" s="119">
        <v>0.5</v>
      </c>
      <c r="F41" s="33"/>
      <c r="G41" s="48">
        <v>4724</v>
      </c>
      <c r="H41" s="150">
        <v>15658</v>
      </c>
      <c r="I41" s="150">
        <v>-51370</v>
      </c>
      <c r="J41" s="150">
        <v>43416</v>
      </c>
      <c r="K41" s="150">
        <v>-7833</v>
      </c>
      <c r="L41" s="150">
        <v>11986</v>
      </c>
      <c r="M41" s="150">
        <v>-35000</v>
      </c>
      <c r="N41" s="150">
        <v>40963</v>
      </c>
      <c r="O41" s="150">
        <v>-3262</v>
      </c>
      <c r="P41" s="150">
        <v>59774</v>
      </c>
      <c r="Q41" s="150">
        <v>5424</v>
      </c>
      <c r="R41" s="150">
        <v>8940</v>
      </c>
      <c r="S41" s="150">
        <v>-54687</v>
      </c>
      <c r="T41" s="150">
        <v>-2203</v>
      </c>
      <c r="U41" s="150">
        <v>-32003</v>
      </c>
      <c r="V41" s="150">
        <v>17264</v>
      </c>
      <c r="W41" s="150">
        <v>-15821</v>
      </c>
      <c r="X41" s="150">
        <v>30903</v>
      </c>
      <c r="Y41" s="150">
        <v>3066</v>
      </c>
      <c r="Z41" s="48">
        <v>7070</v>
      </c>
      <c r="AA41" s="151">
        <f t="shared" si="0"/>
        <v>47009</v>
      </c>
      <c r="AB41" s="65">
        <f t="shared" si="6"/>
        <v>0.94018000000000002</v>
      </c>
    </row>
    <row r="42" spans="1:31" x14ac:dyDescent="0.25">
      <c r="A42" s="36" t="s">
        <v>26</v>
      </c>
      <c r="B42" s="34" t="s">
        <v>156</v>
      </c>
      <c r="C42" s="34" t="s">
        <v>15</v>
      </c>
      <c r="D42" s="36" t="s">
        <v>40</v>
      </c>
      <c r="E42" s="118">
        <v>0.6</v>
      </c>
      <c r="F42" s="31"/>
      <c r="G42" s="48">
        <v>0</v>
      </c>
      <c r="H42" s="150">
        <v>0</v>
      </c>
      <c r="I42" s="150">
        <v>-5100</v>
      </c>
      <c r="J42" s="150">
        <v>-2456</v>
      </c>
      <c r="K42" s="150">
        <v>0</v>
      </c>
      <c r="L42" s="150">
        <v>0</v>
      </c>
      <c r="M42" s="150">
        <v>0</v>
      </c>
      <c r="N42" s="150">
        <v>-6885</v>
      </c>
      <c r="O42" s="150">
        <v>0</v>
      </c>
      <c r="P42" s="150">
        <v>0</v>
      </c>
      <c r="Q42" s="150">
        <v>0</v>
      </c>
      <c r="R42" s="150">
        <v>-6650</v>
      </c>
      <c r="S42" s="150">
        <v>4025</v>
      </c>
      <c r="T42" s="150">
        <v>0</v>
      </c>
      <c r="U42" s="150">
        <v>0</v>
      </c>
      <c r="V42" s="150">
        <v>0</v>
      </c>
      <c r="W42" s="150">
        <v>21834</v>
      </c>
      <c r="X42" s="150">
        <v>-936</v>
      </c>
      <c r="Y42" s="150">
        <v>0</v>
      </c>
      <c r="Z42" s="48">
        <v>0</v>
      </c>
      <c r="AA42" s="151">
        <f t="shared" si="0"/>
        <v>3832</v>
      </c>
      <c r="AB42" s="65">
        <f t="shared" si="6"/>
        <v>6.3866666666666669E-2</v>
      </c>
    </row>
    <row r="43" spans="1:31" x14ac:dyDescent="0.25">
      <c r="A43" s="43" t="s">
        <v>68</v>
      </c>
      <c r="B43" s="34" t="s">
        <v>156</v>
      </c>
      <c r="C43" s="34" t="s">
        <v>60</v>
      </c>
      <c r="D43" s="35" t="s">
        <v>4</v>
      </c>
      <c r="E43" s="117">
        <v>0.4</v>
      </c>
      <c r="F43" s="30"/>
      <c r="G43" s="48">
        <v>-2527</v>
      </c>
      <c r="H43" s="150">
        <v>0</v>
      </c>
      <c r="I43" s="150">
        <v>-2615</v>
      </c>
      <c r="J43" s="150">
        <v>50530</v>
      </c>
      <c r="K43" s="150">
        <v>11961</v>
      </c>
      <c r="L43" s="150">
        <v>10829</v>
      </c>
      <c r="M43" s="150">
        <v>2197</v>
      </c>
      <c r="N43" s="150">
        <v>22795</v>
      </c>
      <c r="O43" s="150">
        <v>6000</v>
      </c>
      <c r="P43" s="150">
        <v>-2577</v>
      </c>
      <c r="Q43" s="150">
        <v>5860</v>
      </c>
      <c r="R43" s="150">
        <v>-40318</v>
      </c>
      <c r="S43" s="150">
        <v>724</v>
      </c>
      <c r="T43" s="150">
        <v>13795</v>
      </c>
      <c r="U43" s="150">
        <v>640</v>
      </c>
      <c r="V43" s="150">
        <v>25300</v>
      </c>
      <c r="W43" s="150">
        <v>-13536</v>
      </c>
      <c r="X43" s="150">
        <v>12932</v>
      </c>
      <c r="Y43" s="150">
        <v>21984</v>
      </c>
      <c r="Z43" s="48">
        <v>-19942</v>
      </c>
      <c r="AA43" s="151">
        <f t="shared" si="0"/>
        <v>104032</v>
      </c>
      <c r="AB43" s="65">
        <f t="shared" si="6"/>
        <v>2.6008</v>
      </c>
    </row>
    <row r="44" spans="1:31" x14ac:dyDescent="0.25">
      <c r="A44" s="43" t="s">
        <v>145</v>
      </c>
      <c r="B44" s="34" t="s">
        <v>19</v>
      </c>
      <c r="C44" s="35" t="s">
        <v>143</v>
      </c>
      <c r="D44" s="35" t="s">
        <v>109</v>
      </c>
      <c r="E44" s="117">
        <v>0.5</v>
      </c>
      <c r="F44" s="30"/>
      <c r="G44" s="48">
        <v>-140537</v>
      </c>
      <c r="H44" s="150">
        <v>-18000</v>
      </c>
      <c r="I44" s="150">
        <v>-12000</v>
      </c>
      <c r="J44" s="150">
        <v>69700</v>
      </c>
      <c r="K44" s="150">
        <v>13000</v>
      </c>
      <c r="L44" s="150">
        <v>18000</v>
      </c>
      <c r="M44" s="150">
        <v>16000</v>
      </c>
      <c r="N44" s="150">
        <v>1000</v>
      </c>
      <c r="O44" s="150">
        <v>0</v>
      </c>
      <c r="P44" s="150">
        <v>900</v>
      </c>
      <c r="Q44" s="150">
        <v>-10000</v>
      </c>
      <c r="R44" s="150">
        <v>-27000</v>
      </c>
      <c r="S44" s="150">
        <v>34600</v>
      </c>
      <c r="T44" s="150">
        <v>-3000</v>
      </c>
      <c r="U44" s="150">
        <v>20000</v>
      </c>
      <c r="V44" s="150">
        <v>85000</v>
      </c>
      <c r="W44" s="150">
        <v>-15088</v>
      </c>
      <c r="X44" s="150">
        <v>-17275</v>
      </c>
      <c r="Y44" s="150">
        <v>62327</v>
      </c>
      <c r="Z44" s="48">
        <v>0</v>
      </c>
      <c r="AA44" s="151">
        <f t="shared" si="0"/>
        <v>77627</v>
      </c>
      <c r="AB44" s="65">
        <f t="shared" si="6"/>
        <v>1.55254</v>
      </c>
    </row>
    <row r="45" spans="1:31" x14ac:dyDescent="0.25">
      <c r="A45" s="43" t="s">
        <v>146</v>
      </c>
      <c r="B45" s="34" t="s">
        <v>19</v>
      </c>
      <c r="C45" s="35" t="s">
        <v>143</v>
      </c>
      <c r="D45" s="35" t="s">
        <v>212</v>
      </c>
      <c r="E45" s="117">
        <v>0.5</v>
      </c>
      <c r="F45" s="30"/>
      <c r="G45" s="48">
        <v>0</v>
      </c>
      <c r="H45" s="150">
        <v>0</v>
      </c>
      <c r="I45" s="150">
        <v>76000</v>
      </c>
      <c r="J45" s="150">
        <v>3000</v>
      </c>
      <c r="K45" s="150">
        <v>200</v>
      </c>
      <c r="L45" s="150">
        <v>-25000</v>
      </c>
      <c r="M45" s="150">
        <v>-19000</v>
      </c>
      <c r="N45" s="150">
        <v>20000</v>
      </c>
      <c r="O45" s="150">
        <v>0</v>
      </c>
      <c r="P45" s="150">
        <v>-11000</v>
      </c>
      <c r="Q45" s="150">
        <v>-800</v>
      </c>
      <c r="R45" s="150">
        <v>-16000</v>
      </c>
      <c r="S45" s="150">
        <v>-6000</v>
      </c>
      <c r="T45" s="150">
        <v>0</v>
      </c>
      <c r="U45" s="150">
        <v>0</v>
      </c>
      <c r="V45" s="150">
        <v>17500</v>
      </c>
      <c r="W45" s="150">
        <v>4600</v>
      </c>
      <c r="X45" s="150">
        <v>0</v>
      </c>
      <c r="Y45" s="150">
        <v>0</v>
      </c>
      <c r="Z45" s="48">
        <v>0</v>
      </c>
      <c r="AA45" s="151">
        <f t="shared" si="0"/>
        <v>43500</v>
      </c>
      <c r="AB45" s="65">
        <f t="shared" si="6"/>
        <v>0.87</v>
      </c>
    </row>
    <row r="46" spans="1:31" x14ac:dyDescent="0.25">
      <c r="A46" s="35" t="s">
        <v>31</v>
      </c>
      <c r="B46" s="36" t="s">
        <v>155</v>
      </c>
      <c r="C46" s="35" t="s">
        <v>47</v>
      </c>
      <c r="D46" s="35" t="s">
        <v>102</v>
      </c>
      <c r="E46" s="117">
        <v>4</v>
      </c>
      <c r="F46" s="30"/>
      <c r="G46" s="48">
        <v>-22000</v>
      </c>
      <c r="H46" s="150">
        <v>100000</v>
      </c>
      <c r="I46" s="150">
        <v>73000</v>
      </c>
      <c r="J46" s="150">
        <v>-41000</v>
      </c>
      <c r="K46" s="150">
        <v>35500</v>
      </c>
      <c r="L46" s="150">
        <v>-1000</v>
      </c>
      <c r="M46" s="150">
        <v>-73000</v>
      </c>
      <c r="N46" s="150">
        <v>-6000</v>
      </c>
      <c r="O46" s="150">
        <v>-46000</v>
      </c>
      <c r="P46" s="150">
        <v>45000</v>
      </c>
      <c r="Q46" s="150">
        <v>47000</v>
      </c>
      <c r="R46" s="150">
        <v>-76000</v>
      </c>
      <c r="S46" s="150">
        <v>64000</v>
      </c>
      <c r="T46" s="150">
        <v>4000</v>
      </c>
      <c r="U46" s="150">
        <v>-45000</v>
      </c>
      <c r="V46" s="150">
        <v>134000</v>
      </c>
      <c r="W46" s="150">
        <v>-125508</v>
      </c>
      <c r="X46" s="150">
        <v>80000</v>
      </c>
      <c r="Y46" s="150">
        <v>84000</v>
      </c>
      <c r="Z46" s="48">
        <v>-96401</v>
      </c>
      <c r="AA46" s="151">
        <f t="shared" si="0"/>
        <v>134591</v>
      </c>
      <c r="AB46" s="65">
        <f t="shared" si="6"/>
        <v>0.33647749999999998</v>
      </c>
    </row>
    <row r="47" spans="1:31" x14ac:dyDescent="0.25">
      <c r="A47" s="35" t="s">
        <v>106</v>
      </c>
      <c r="B47" s="36" t="s">
        <v>107</v>
      </c>
      <c r="C47" s="35" t="s">
        <v>158</v>
      </c>
      <c r="D47" s="35" t="s">
        <v>108</v>
      </c>
      <c r="E47" s="117">
        <v>1</v>
      </c>
      <c r="F47" s="30"/>
      <c r="G47" s="48">
        <v>136329</v>
      </c>
      <c r="H47" s="150">
        <v>-15375</v>
      </c>
      <c r="I47" s="150">
        <v>66260</v>
      </c>
      <c r="J47" s="150">
        <v>10826</v>
      </c>
      <c r="K47" s="150">
        <v>195250</v>
      </c>
      <c r="L47" s="150">
        <v>-11158</v>
      </c>
      <c r="M47" s="150">
        <v>66096</v>
      </c>
      <c r="N47" s="150">
        <v>-29346</v>
      </c>
      <c r="O47" s="150">
        <v>113788</v>
      </c>
      <c r="P47" s="150">
        <v>37350</v>
      </c>
      <c r="Q47" s="150">
        <v>63492</v>
      </c>
      <c r="R47" s="150">
        <v>-17707</v>
      </c>
      <c r="S47" s="150">
        <v>44627</v>
      </c>
      <c r="T47" s="150">
        <v>6900</v>
      </c>
      <c r="U47" s="150">
        <v>-36310</v>
      </c>
      <c r="V47" s="150">
        <v>-66351</v>
      </c>
      <c r="W47" s="150">
        <v>61000</v>
      </c>
      <c r="X47" s="150">
        <v>-21796</v>
      </c>
      <c r="Y47" s="150">
        <v>31527</v>
      </c>
      <c r="Z47" s="48">
        <v>-33423</v>
      </c>
      <c r="AA47" s="151">
        <f t="shared" si="0"/>
        <v>601979</v>
      </c>
      <c r="AB47" s="65">
        <f t="shared" si="6"/>
        <v>6.0197900000000004</v>
      </c>
    </row>
    <row r="48" spans="1:31" x14ac:dyDescent="0.25">
      <c r="A48" s="35" t="s">
        <v>52</v>
      </c>
      <c r="B48" s="36" t="s">
        <v>117</v>
      </c>
      <c r="C48" s="35" t="s">
        <v>57</v>
      </c>
      <c r="D48" s="35" t="s">
        <v>118</v>
      </c>
      <c r="E48" s="117">
        <v>3</v>
      </c>
      <c r="F48" s="30"/>
      <c r="G48" s="48">
        <v>6000</v>
      </c>
      <c r="H48" s="150">
        <v>0</v>
      </c>
      <c r="I48" s="150">
        <v>-50000</v>
      </c>
      <c r="J48" s="150">
        <v>-30000</v>
      </c>
      <c r="K48" s="150">
        <v>-25500</v>
      </c>
      <c r="L48" s="150">
        <v>73000</v>
      </c>
      <c r="M48" s="150">
        <v>135000</v>
      </c>
      <c r="N48" s="150">
        <v>-73000</v>
      </c>
      <c r="O48" s="150">
        <v>0</v>
      </c>
      <c r="P48" s="150">
        <v>29000</v>
      </c>
      <c r="Q48" s="150">
        <v>-15000</v>
      </c>
      <c r="R48" s="150">
        <v>-156000</v>
      </c>
      <c r="S48" s="150">
        <v>95000</v>
      </c>
      <c r="T48" s="150">
        <v>4000</v>
      </c>
      <c r="U48" s="150">
        <v>100000</v>
      </c>
      <c r="V48" s="150">
        <v>-45500</v>
      </c>
      <c r="W48" s="150">
        <v>100000</v>
      </c>
      <c r="X48" s="150">
        <v>58500</v>
      </c>
      <c r="Y48" s="150">
        <v>-185000</v>
      </c>
      <c r="Z48" s="48">
        <v>-130000</v>
      </c>
      <c r="AA48" s="151">
        <f t="shared" si="0"/>
        <v>-109500</v>
      </c>
      <c r="AB48" s="65">
        <f t="shared" si="6"/>
        <v>-0.36499999999999999</v>
      </c>
    </row>
    <row r="49" spans="1:31" x14ac:dyDescent="0.25">
      <c r="A49" s="35" t="s">
        <v>45</v>
      </c>
      <c r="B49" s="36" t="s">
        <v>99</v>
      </c>
      <c r="C49" s="35" t="s">
        <v>191</v>
      </c>
      <c r="D49" s="35" t="s">
        <v>159</v>
      </c>
      <c r="E49" s="117">
        <v>3</v>
      </c>
      <c r="F49" s="30"/>
      <c r="G49" s="48">
        <v>-46000</v>
      </c>
      <c r="H49" s="150">
        <v>3000</v>
      </c>
      <c r="I49" s="165">
        <v>28000</v>
      </c>
      <c r="J49" s="165">
        <v>42000</v>
      </c>
      <c r="K49" s="165">
        <v>164000</v>
      </c>
      <c r="L49" s="165">
        <v>-46000</v>
      </c>
      <c r="M49" s="165">
        <v>1000</v>
      </c>
      <c r="N49" s="165">
        <v>-161000</v>
      </c>
      <c r="O49" s="165">
        <v>100</v>
      </c>
      <c r="P49" s="165">
        <v>-56000</v>
      </c>
      <c r="Q49" s="165">
        <v>90000</v>
      </c>
      <c r="R49" s="165">
        <v>-4650000</v>
      </c>
      <c r="S49" s="165">
        <v>22000</v>
      </c>
      <c r="T49" s="165">
        <v>15000</v>
      </c>
      <c r="U49" s="165">
        <v>-5000</v>
      </c>
      <c r="V49" s="165">
        <v>-120000</v>
      </c>
      <c r="W49" s="165">
        <v>91200</v>
      </c>
      <c r="X49" s="165">
        <v>95700</v>
      </c>
      <c r="Y49" s="165">
        <v>-21000</v>
      </c>
      <c r="Z49" s="48">
        <v>-330324</v>
      </c>
      <c r="AA49" s="151">
        <f t="shared" si="0"/>
        <v>-4883324</v>
      </c>
      <c r="AB49" s="65">
        <f t="shared" si="6"/>
        <v>-16.277746666666669</v>
      </c>
    </row>
    <row r="50" spans="1:31" x14ac:dyDescent="0.25">
      <c r="A50" s="145" t="s">
        <v>197</v>
      </c>
      <c r="B50" s="146" t="s">
        <v>189</v>
      </c>
      <c r="C50" s="145" t="s">
        <v>190</v>
      </c>
      <c r="D50" s="145" t="s">
        <v>159</v>
      </c>
      <c r="E50" s="159">
        <v>3</v>
      </c>
      <c r="F50" s="141"/>
      <c r="G50" s="150">
        <v>0</v>
      </c>
      <c r="H50" s="150">
        <v>0</v>
      </c>
      <c r="I50" s="150">
        <v>0</v>
      </c>
      <c r="J50" s="150">
        <v>109000</v>
      </c>
      <c r="K50" s="150">
        <v>88000</v>
      </c>
      <c r="L50" s="150">
        <v>-50000</v>
      </c>
      <c r="M50" s="150">
        <v>-15000</v>
      </c>
      <c r="N50" s="150">
        <v>-150000</v>
      </c>
      <c r="O50" s="150">
        <v>500</v>
      </c>
      <c r="P50" s="150">
        <v>-62000</v>
      </c>
      <c r="Q50" s="150">
        <v>90000</v>
      </c>
      <c r="R50" s="150">
        <v>-280000</v>
      </c>
      <c r="S50" s="150">
        <v>60000</v>
      </c>
      <c r="T50" s="150">
        <v>18000</v>
      </c>
      <c r="U50" s="150">
        <v>-125000</v>
      </c>
      <c r="V50" s="150">
        <v>-85000</v>
      </c>
      <c r="W50" s="150">
        <v>91200</v>
      </c>
      <c r="X50" s="150">
        <v>58500</v>
      </c>
      <c r="Y50" s="150">
        <v>-17000</v>
      </c>
      <c r="Z50" s="150">
        <v>-317567</v>
      </c>
      <c r="AA50" s="151">
        <f t="shared" si="0"/>
        <v>-586367</v>
      </c>
      <c r="AB50" s="152">
        <f t="shared" si="6"/>
        <v>-1.9545566666666665</v>
      </c>
    </row>
    <row r="51" spans="1:31" s="135" customFormat="1" x14ac:dyDescent="0.25">
      <c r="A51" s="35" t="s">
        <v>134</v>
      </c>
      <c r="B51" s="36" t="s">
        <v>131</v>
      </c>
      <c r="C51" s="35" t="s">
        <v>17</v>
      </c>
      <c r="D51" s="35"/>
      <c r="E51" s="117">
        <v>1</v>
      </c>
      <c r="F51" s="30"/>
      <c r="G51" s="48">
        <v>15300</v>
      </c>
      <c r="H51" s="150">
        <v>0</v>
      </c>
      <c r="I51" s="150">
        <v>17300</v>
      </c>
      <c r="J51" s="150">
        <v>-18260</v>
      </c>
      <c r="K51" s="150">
        <v>-8767</v>
      </c>
      <c r="L51" s="150">
        <v>-19468</v>
      </c>
      <c r="M51" s="150">
        <v>27807</v>
      </c>
      <c r="N51" s="150">
        <v>0</v>
      </c>
      <c r="O51" s="150">
        <v>13200</v>
      </c>
      <c r="P51" s="150">
        <v>5556</v>
      </c>
      <c r="Q51" s="150">
        <v>6300</v>
      </c>
      <c r="R51" s="150">
        <v>-56000</v>
      </c>
      <c r="S51" s="150">
        <v>30862</v>
      </c>
      <c r="T51" s="150">
        <v>5250</v>
      </c>
      <c r="U51" s="150">
        <v>14503</v>
      </c>
      <c r="V51" s="150">
        <v>-1470</v>
      </c>
      <c r="W51" s="150">
        <v>-17527</v>
      </c>
      <c r="X51" s="150">
        <v>2925</v>
      </c>
      <c r="Y51" s="150">
        <v>19956</v>
      </c>
      <c r="Z51" s="48">
        <v>1068</v>
      </c>
      <c r="AA51" s="151">
        <f t="shared" si="0"/>
        <v>38535</v>
      </c>
      <c r="AB51" s="65">
        <f t="shared" si="6"/>
        <v>0.38535000000000003</v>
      </c>
    </row>
    <row r="52" spans="1:31" x14ac:dyDescent="0.25">
      <c r="A52" s="35" t="s">
        <v>48</v>
      </c>
      <c r="B52" s="34" t="s">
        <v>96</v>
      </c>
      <c r="C52" s="35" t="s">
        <v>203</v>
      </c>
      <c r="D52" s="35" t="s">
        <v>109</v>
      </c>
      <c r="E52" s="117">
        <v>1</v>
      </c>
      <c r="F52" s="30"/>
      <c r="G52" s="48">
        <v>451681</v>
      </c>
      <c r="H52" s="150">
        <v>-51001</v>
      </c>
      <c r="I52" s="150">
        <v>379016</v>
      </c>
      <c r="J52" s="150">
        <v>96043</v>
      </c>
      <c r="K52" s="150">
        <v>1097492</v>
      </c>
      <c r="L52" s="150">
        <v>-65814</v>
      </c>
      <c r="M52" s="150">
        <v>377500</v>
      </c>
      <c r="N52" s="150">
        <v>-188290</v>
      </c>
      <c r="O52" s="150">
        <v>505929</v>
      </c>
      <c r="P52" s="150">
        <v>65813</v>
      </c>
      <c r="Q52" s="150">
        <v>283799</v>
      </c>
      <c r="R52" s="150">
        <v>-889</v>
      </c>
      <c r="S52" s="150">
        <v>16070</v>
      </c>
      <c r="T52" s="150">
        <v>77113</v>
      </c>
      <c r="U52" s="150">
        <v>-5922</v>
      </c>
      <c r="V52" s="150">
        <v>-54287</v>
      </c>
      <c r="W52" s="150">
        <v>120000</v>
      </c>
      <c r="X52" s="150">
        <v>21643</v>
      </c>
      <c r="Y52" s="150">
        <v>25248</v>
      </c>
      <c r="Z52" s="48">
        <v>-27299</v>
      </c>
      <c r="AA52" s="151">
        <f t="shared" si="0"/>
        <v>3123845</v>
      </c>
      <c r="AB52" s="65">
        <f t="shared" si="6"/>
        <v>31.23845</v>
      </c>
    </row>
    <row r="53" spans="1:31" x14ac:dyDescent="0.25">
      <c r="A53" s="146" t="s">
        <v>171</v>
      </c>
      <c r="B53" s="144" t="s">
        <v>172</v>
      </c>
      <c r="C53" s="59" t="s">
        <v>196</v>
      </c>
      <c r="D53" s="60"/>
      <c r="E53" s="115">
        <v>0.5</v>
      </c>
      <c r="F53" s="141"/>
      <c r="G53" s="150">
        <v>0</v>
      </c>
      <c r="H53" s="150">
        <v>0</v>
      </c>
      <c r="I53" s="150">
        <v>32000</v>
      </c>
      <c r="J53" s="150">
        <v>87000</v>
      </c>
      <c r="K53" s="150">
        <v>45000</v>
      </c>
      <c r="L53" s="150">
        <v>-58500</v>
      </c>
      <c r="M53" s="150">
        <v>0</v>
      </c>
      <c r="N53" s="150">
        <v>0</v>
      </c>
      <c r="O53" s="150">
        <v>50000</v>
      </c>
      <c r="P53" s="150">
        <v>220000</v>
      </c>
      <c r="Q53" s="150">
        <v>0</v>
      </c>
      <c r="R53" s="150">
        <v>0</v>
      </c>
      <c r="S53" s="150">
        <v>0</v>
      </c>
      <c r="T53" s="150">
        <v>3000</v>
      </c>
      <c r="U53" s="150">
        <v>-45000</v>
      </c>
      <c r="V53" s="150">
        <v>0</v>
      </c>
      <c r="W53" s="150">
        <v>0</v>
      </c>
      <c r="X53" s="150">
        <v>0</v>
      </c>
      <c r="Y53" s="150">
        <v>-10000</v>
      </c>
      <c r="Z53" s="150">
        <v>20000</v>
      </c>
      <c r="AA53" s="151">
        <f t="shared" si="0"/>
        <v>343500</v>
      </c>
      <c r="AB53" s="152">
        <f t="shared" si="6"/>
        <v>6.87</v>
      </c>
    </row>
    <row r="54" spans="1:31" x14ac:dyDescent="0.25">
      <c r="A54" s="146" t="s">
        <v>205</v>
      </c>
      <c r="B54" s="144" t="s">
        <v>172</v>
      </c>
      <c r="C54" s="59"/>
      <c r="D54" s="60"/>
      <c r="E54" s="115">
        <v>4</v>
      </c>
      <c r="F54" s="141"/>
      <c r="G54" s="150">
        <v>0</v>
      </c>
      <c r="H54" s="150">
        <v>0</v>
      </c>
      <c r="I54" s="150">
        <v>0</v>
      </c>
      <c r="J54" s="150">
        <v>0</v>
      </c>
      <c r="K54" s="150">
        <v>0</v>
      </c>
      <c r="L54" s="150">
        <v>0</v>
      </c>
      <c r="M54" s="150">
        <v>-4500</v>
      </c>
      <c r="N54" s="150">
        <v>-21000</v>
      </c>
      <c r="O54" s="150">
        <v>0</v>
      </c>
      <c r="P54" s="150">
        <v>-62000</v>
      </c>
      <c r="Q54" s="150">
        <v>0</v>
      </c>
      <c r="R54" s="150">
        <v>-1000</v>
      </c>
      <c r="S54" s="150">
        <v>14000</v>
      </c>
      <c r="T54" s="150">
        <v>0</v>
      </c>
      <c r="U54" s="150">
        <v>0</v>
      </c>
      <c r="V54" s="150">
        <v>-36000</v>
      </c>
      <c r="W54" s="150">
        <v>0</v>
      </c>
      <c r="X54" s="150">
        <v>-500</v>
      </c>
      <c r="Y54" s="150">
        <v>0</v>
      </c>
      <c r="Z54" s="150">
        <v>-48000</v>
      </c>
      <c r="AA54" s="151">
        <f t="shared" si="0"/>
        <v>-159000</v>
      </c>
      <c r="AB54" s="152">
        <f t="shared" ref="AB54:AB55" si="7">IFERROR(AA54/E54*100,0)/10000000</f>
        <v>-0.39750000000000002</v>
      </c>
    </row>
    <row r="55" spans="1:31" s="135" customFormat="1" x14ac:dyDescent="0.25">
      <c r="A55" s="146" t="s">
        <v>206</v>
      </c>
      <c r="B55" s="144" t="s">
        <v>172</v>
      </c>
      <c r="C55" s="59"/>
      <c r="D55" s="60"/>
      <c r="E55" s="115">
        <v>4</v>
      </c>
      <c r="F55" s="141"/>
      <c r="G55" s="150">
        <v>0</v>
      </c>
      <c r="H55" s="150">
        <v>0</v>
      </c>
      <c r="I55" s="150">
        <v>0</v>
      </c>
      <c r="J55" s="150">
        <v>0</v>
      </c>
      <c r="K55" s="150">
        <v>0</v>
      </c>
      <c r="L55" s="150">
        <v>0</v>
      </c>
      <c r="M55" s="150">
        <v>-3200</v>
      </c>
      <c r="N55" s="150">
        <v>120000</v>
      </c>
      <c r="O55" s="150">
        <v>0</v>
      </c>
      <c r="P55" s="150">
        <v>0</v>
      </c>
      <c r="Q55" s="150">
        <v>2912</v>
      </c>
      <c r="R55" s="150">
        <v>-38000</v>
      </c>
      <c r="S55" s="150">
        <v>145000</v>
      </c>
      <c r="T55" s="150">
        <v>15000</v>
      </c>
      <c r="U55" s="150">
        <v>0</v>
      </c>
      <c r="V55" s="150">
        <v>-6000</v>
      </c>
      <c r="W55" s="150">
        <v>40000</v>
      </c>
      <c r="X55" s="150">
        <v>-124000</v>
      </c>
      <c r="Y55" s="150">
        <v>0</v>
      </c>
      <c r="Z55" s="150">
        <v>0</v>
      </c>
      <c r="AA55" s="151">
        <f t="shared" si="0"/>
        <v>151712</v>
      </c>
      <c r="AB55" s="152">
        <f t="shared" si="7"/>
        <v>0.37928000000000001</v>
      </c>
    </row>
    <row r="56" spans="1:31" x14ac:dyDescent="0.25">
      <c r="A56" s="36" t="s">
        <v>33</v>
      </c>
      <c r="B56" s="34" t="s">
        <v>14</v>
      </c>
      <c r="C56" s="36" t="s">
        <v>13</v>
      </c>
      <c r="D56" s="35" t="s">
        <v>154</v>
      </c>
      <c r="E56" s="119">
        <v>3</v>
      </c>
      <c r="F56" s="33"/>
      <c r="G56" s="48">
        <v>0</v>
      </c>
      <c r="H56" s="150">
        <v>156900</v>
      </c>
      <c r="I56" s="150">
        <v>15170</v>
      </c>
      <c r="J56" s="150">
        <v>89160</v>
      </c>
      <c r="K56" s="150">
        <v>-81559</v>
      </c>
      <c r="L56" s="150">
        <v>116792</v>
      </c>
      <c r="M56" s="150">
        <v>0</v>
      </c>
      <c r="N56" s="150">
        <v>209223</v>
      </c>
      <c r="O56" s="150">
        <v>3766</v>
      </c>
      <c r="P56" s="150">
        <v>-102915</v>
      </c>
      <c r="Q56" s="150">
        <v>0</v>
      </c>
      <c r="R56" s="150">
        <v>-63000</v>
      </c>
      <c r="S56" s="150">
        <v>248600</v>
      </c>
      <c r="T56" s="150">
        <v>34270</v>
      </c>
      <c r="U56" s="150">
        <v>-112698</v>
      </c>
      <c r="V56" s="150">
        <v>0</v>
      </c>
      <c r="W56" s="150">
        <v>-54996</v>
      </c>
      <c r="X56" s="150">
        <v>99450</v>
      </c>
      <c r="Y56" s="150">
        <v>52830</v>
      </c>
      <c r="Z56" s="48">
        <v>22012</v>
      </c>
      <c r="AA56" s="151">
        <f t="shared" si="0"/>
        <v>633005</v>
      </c>
      <c r="AB56" s="65">
        <f t="shared" si="6"/>
        <v>2.1100166666666662</v>
      </c>
      <c r="AD56" s="3"/>
      <c r="AE56" s="3"/>
    </row>
    <row r="57" spans="1:31" x14ac:dyDescent="0.25">
      <c r="A57" s="146" t="s">
        <v>105</v>
      </c>
      <c r="B57" s="146" t="s">
        <v>0</v>
      </c>
      <c r="C57" s="59" t="s">
        <v>97</v>
      </c>
      <c r="D57" s="60" t="s">
        <v>57</v>
      </c>
      <c r="E57" s="115">
        <v>1.6</v>
      </c>
      <c r="F57" s="61"/>
      <c r="G57" s="154">
        <v>0</v>
      </c>
      <c r="H57" s="154">
        <v>0</v>
      </c>
      <c r="I57" s="154">
        <v>0</v>
      </c>
      <c r="J57" s="154">
        <v>0</v>
      </c>
      <c r="K57" s="154">
        <v>-3000</v>
      </c>
      <c r="L57" s="154">
        <v>3143</v>
      </c>
      <c r="M57" s="154">
        <v>-16377</v>
      </c>
      <c r="N57" s="154">
        <v>26740</v>
      </c>
      <c r="O57" s="154">
        <v>-14000</v>
      </c>
      <c r="P57" s="154">
        <v>13234</v>
      </c>
      <c r="Q57" s="154">
        <v>11300</v>
      </c>
      <c r="R57" s="154">
        <v>18000</v>
      </c>
      <c r="S57" s="154">
        <v>8093</v>
      </c>
      <c r="T57" s="154">
        <v>1459</v>
      </c>
      <c r="U57" s="154">
        <v>-8025</v>
      </c>
      <c r="V57" s="154">
        <v>2122</v>
      </c>
      <c r="W57" s="154">
        <v>-15942</v>
      </c>
      <c r="X57" s="154">
        <v>39026</v>
      </c>
      <c r="Y57" s="154">
        <v>36645</v>
      </c>
      <c r="Z57" s="154">
        <v>-10140</v>
      </c>
      <c r="AA57" s="151">
        <f t="shared" si="0"/>
        <v>92278</v>
      </c>
      <c r="AB57" s="152">
        <f t="shared" si="6"/>
        <v>0.57673750000000001</v>
      </c>
    </row>
    <row r="58" spans="1:31" x14ac:dyDescent="0.25">
      <c r="A58" s="59" t="s">
        <v>201</v>
      </c>
      <c r="B58" s="62" t="s">
        <v>199</v>
      </c>
      <c r="C58" s="59" t="s">
        <v>200</v>
      </c>
      <c r="D58" s="145" t="s">
        <v>154</v>
      </c>
      <c r="E58" s="115">
        <v>0.5</v>
      </c>
      <c r="F58" s="61"/>
      <c r="G58" s="154">
        <v>0</v>
      </c>
      <c r="H58" s="154">
        <v>0</v>
      </c>
      <c r="I58" s="154">
        <v>0</v>
      </c>
      <c r="J58" s="154">
        <v>566</v>
      </c>
      <c r="K58" s="154">
        <v>-1722</v>
      </c>
      <c r="L58" s="154">
        <v>-1230</v>
      </c>
      <c r="M58" s="154">
        <v>-1800</v>
      </c>
      <c r="N58" s="154">
        <v>2350</v>
      </c>
      <c r="O58" s="154">
        <v>-1650</v>
      </c>
      <c r="P58" s="154">
        <v>2979</v>
      </c>
      <c r="Q58" s="154">
        <v>2610</v>
      </c>
      <c r="R58" s="154">
        <v>-6600</v>
      </c>
      <c r="S58" s="154">
        <v>-3637</v>
      </c>
      <c r="T58" s="154">
        <v>6045</v>
      </c>
      <c r="U58" s="154">
        <v>-7774</v>
      </c>
      <c r="V58" s="154">
        <v>17892</v>
      </c>
      <c r="W58" s="154">
        <v>18881</v>
      </c>
      <c r="X58" s="154">
        <v>-17062</v>
      </c>
      <c r="Y58" s="154">
        <v>-670</v>
      </c>
      <c r="Z58" s="154">
        <v>25416</v>
      </c>
      <c r="AA58" s="151">
        <f t="shared" si="0"/>
        <v>34594</v>
      </c>
      <c r="AB58" s="152">
        <f t="shared" si="6"/>
        <v>0.69188000000000005</v>
      </c>
      <c r="AD58" s="5"/>
      <c r="AE58" s="4">
        <v>-224989</v>
      </c>
    </row>
    <row r="59" spans="1:31" x14ac:dyDescent="0.25">
      <c r="A59" s="59" t="s">
        <v>122</v>
      </c>
      <c r="B59" s="59" t="s">
        <v>100</v>
      </c>
      <c r="C59" s="59" t="s">
        <v>38</v>
      </c>
      <c r="D59" s="35" t="s">
        <v>88</v>
      </c>
      <c r="E59" s="115">
        <v>1.5</v>
      </c>
      <c r="F59" s="61"/>
      <c r="G59" s="82">
        <v>0</v>
      </c>
      <c r="H59" s="154">
        <v>0</v>
      </c>
      <c r="I59" s="154">
        <v>0</v>
      </c>
      <c r="J59" s="154">
        <v>0</v>
      </c>
      <c r="K59" s="154">
        <v>0</v>
      </c>
      <c r="L59" s="154">
        <v>0</v>
      </c>
      <c r="M59" s="154">
        <v>0</v>
      </c>
      <c r="N59" s="154">
        <v>0</v>
      </c>
      <c r="O59" s="154">
        <v>0</v>
      </c>
      <c r="P59" s="154">
        <v>0</v>
      </c>
      <c r="Q59" s="154">
        <v>0</v>
      </c>
      <c r="R59" s="154">
        <v>0</v>
      </c>
      <c r="S59" s="154">
        <v>0</v>
      </c>
      <c r="T59" s="154">
        <v>0</v>
      </c>
      <c r="U59" s="154">
        <v>0</v>
      </c>
      <c r="V59" s="154">
        <v>0</v>
      </c>
      <c r="W59" s="154">
        <v>0</v>
      </c>
      <c r="X59" s="154">
        <v>0</v>
      </c>
      <c r="Y59" s="154">
        <v>0</v>
      </c>
      <c r="Z59" s="82">
        <v>0</v>
      </c>
      <c r="AA59" s="151">
        <f t="shared" si="0"/>
        <v>0</v>
      </c>
      <c r="AB59" s="65">
        <f t="shared" si="6"/>
        <v>0</v>
      </c>
      <c r="AD59" s="4">
        <v>3586493</v>
      </c>
      <c r="AE59" s="4"/>
    </row>
    <row r="60" spans="1:31" x14ac:dyDescent="0.25">
      <c r="A60" s="59" t="s">
        <v>49</v>
      </c>
      <c r="B60" s="59" t="s">
        <v>100</v>
      </c>
      <c r="C60" s="59" t="s">
        <v>101</v>
      </c>
      <c r="D60" s="35" t="s">
        <v>88</v>
      </c>
      <c r="E60" s="115">
        <v>3</v>
      </c>
      <c r="F60" s="61"/>
      <c r="G60" s="82">
        <v>0</v>
      </c>
      <c r="H60" s="154">
        <v>193613</v>
      </c>
      <c r="I60" s="154">
        <v>0</v>
      </c>
      <c r="J60" s="154">
        <v>23000</v>
      </c>
      <c r="K60" s="154">
        <v>0</v>
      </c>
      <c r="L60" s="154">
        <v>-50980</v>
      </c>
      <c r="M60" s="154">
        <v>0</v>
      </c>
      <c r="N60" s="154">
        <v>370245</v>
      </c>
      <c r="O60" s="154">
        <v>0</v>
      </c>
      <c r="P60" s="154">
        <v>142494</v>
      </c>
      <c r="Q60" s="154">
        <v>0</v>
      </c>
      <c r="R60" s="154">
        <v>0</v>
      </c>
      <c r="S60" s="154">
        <v>282130</v>
      </c>
      <c r="T60" s="154">
        <v>0</v>
      </c>
      <c r="U60" s="154">
        <v>-627723</v>
      </c>
      <c r="V60" s="154">
        <v>0</v>
      </c>
      <c r="W60" s="154">
        <v>0</v>
      </c>
      <c r="X60" s="154">
        <v>27140</v>
      </c>
      <c r="Y60" s="154">
        <v>0</v>
      </c>
      <c r="Z60" s="82">
        <v>-108479</v>
      </c>
      <c r="AA60" s="151">
        <f t="shared" si="0"/>
        <v>251440</v>
      </c>
      <c r="AB60" s="65">
        <f t="shared" si="6"/>
        <v>0.83813333333333329</v>
      </c>
      <c r="AD60" s="6">
        <v>3361504</v>
      </c>
      <c r="AE60" s="6">
        <f>(AD60+AD59)/10000000*13780</f>
        <v>9574.3398660000003</v>
      </c>
    </row>
    <row r="61" spans="1:31" x14ac:dyDescent="0.25">
      <c r="A61" s="59" t="s">
        <v>41</v>
      </c>
      <c r="B61" s="59" t="s">
        <v>87</v>
      </c>
      <c r="C61" s="59" t="s">
        <v>176</v>
      </c>
      <c r="D61" s="35" t="s">
        <v>88</v>
      </c>
      <c r="E61" s="115">
        <v>2.5</v>
      </c>
      <c r="F61" s="61"/>
      <c r="G61" s="82">
        <v>0</v>
      </c>
      <c r="H61" s="154">
        <v>0</v>
      </c>
      <c r="I61" s="154">
        <v>0</v>
      </c>
      <c r="J61" s="154">
        <v>0</v>
      </c>
      <c r="K61" s="154">
        <v>-1100</v>
      </c>
      <c r="L61" s="154">
        <v>0</v>
      </c>
      <c r="M61" s="154">
        <v>0</v>
      </c>
      <c r="N61" s="154">
        <v>-33874</v>
      </c>
      <c r="O61" s="154">
        <v>0</v>
      </c>
      <c r="P61" s="154">
        <v>0</v>
      </c>
      <c r="Q61" s="154">
        <v>0</v>
      </c>
      <c r="R61" s="154">
        <v>-29278</v>
      </c>
      <c r="S61" s="154">
        <v>20050</v>
      </c>
      <c r="T61" s="154">
        <v>0</v>
      </c>
      <c r="U61" s="154">
        <v>4989</v>
      </c>
      <c r="V61" s="154">
        <v>0</v>
      </c>
      <c r="W61" s="154">
        <v>-23246</v>
      </c>
      <c r="X61" s="154">
        <v>15968</v>
      </c>
      <c r="Y61" s="154">
        <v>13180</v>
      </c>
      <c r="Z61" s="82">
        <v>-3956</v>
      </c>
      <c r="AA61" s="151">
        <f t="shared" si="0"/>
        <v>-37267</v>
      </c>
      <c r="AB61" s="65">
        <f t="shared" si="6"/>
        <v>-0.14906800000000001</v>
      </c>
      <c r="AD61" s="6"/>
      <c r="AE61" s="6"/>
    </row>
    <row r="62" spans="1:31" ht="15.75" thickBot="1" x14ac:dyDescent="0.3">
      <c r="A62" s="20"/>
      <c r="B62" s="21"/>
      <c r="C62" s="20"/>
      <c r="D62" s="22"/>
      <c r="E62" s="115"/>
      <c r="F62" s="23"/>
      <c r="G62" s="82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82"/>
      <c r="AA62" s="64"/>
      <c r="AB62" s="65"/>
      <c r="AD62" s="6"/>
      <c r="AE62" s="6"/>
    </row>
    <row r="63" spans="1:31" ht="15.75" thickBot="1" x14ac:dyDescent="0.3">
      <c r="A63" s="24"/>
      <c r="B63" s="25"/>
      <c r="C63" s="26"/>
      <c r="D63" s="24"/>
      <c r="E63" s="116"/>
      <c r="F63" s="15"/>
      <c r="G63" s="27">
        <f t="shared" ref="G63:Z63" si="8">SUM(G4:G61)</f>
        <v>1573317</v>
      </c>
      <c r="H63" s="139">
        <f t="shared" si="8"/>
        <v>510624</v>
      </c>
      <c r="I63" s="139">
        <f t="shared" si="8"/>
        <v>847509</v>
      </c>
      <c r="J63" s="139">
        <f t="shared" si="8"/>
        <v>2736823</v>
      </c>
      <c r="K63" s="139">
        <f t="shared" si="8"/>
        <v>3401516</v>
      </c>
      <c r="L63" s="139">
        <f t="shared" si="8"/>
        <v>2682471</v>
      </c>
      <c r="M63" s="139">
        <f t="shared" si="8"/>
        <v>1200511</v>
      </c>
      <c r="N63" s="139">
        <f t="shared" si="8"/>
        <v>2274959</v>
      </c>
      <c r="O63" s="139">
        <f t="shared" si="8"/>
        <v>1891763</v>
      </c>
      <c r="P63" s="139">
        <f t="shared" si="8"/>
        <v>2864219</v>
      </c>
      <c r="Q63" s="139">
        <f t="shared" si="8"/>
        <v>1247037</v>
      </c>
      <c r="R63" s="139">
        <f t="shared" si="8"/>
        <v>-6636872</v>
      </c>
      <c r="S63" s="139">
        <f t="shared" si="8"/>
        <v>6433957</v>
      </c>
      <c r="T63" s="139">
        <f t="shared" si="8"/>
        <v>1847866</v>
      </c>
      <c r="U63" s="139">
        <f t="shared" si="8"/>
        <v>-2000855</v>
      </c>
      <c r="V63" s="139">
        <f t="shared" si="8"/>
        <v>-32701</v>
      </c>
      <c r="W63" s="139">
        <f t="shared" si="8"/>
        <v>-203753</v>
      </c>
      <c r="X63" s="139">
        <f t="shared" si="8"/>
        <v>-182558</v>
      </c>
      <c r="Y63" s="139">
        <f t="shared" si="8"/>
        <v>946767</v>
      </c>
      <c r="Z63" s="27">
        <f t="shared" si="8"/>
        <v>-3237961</v>
      </c>
      <c r="AA63" s="64">
        <f>SUM(G63:Z63)</f>
        <v>18164639</v>
      </c>
      <c r="AB63" s="65"/>
      <c r="AD63" s="6"/>
      <c r="AE63" s="128">
        <f>AE58-AE60</f>
        <v>-234563.33986599999</v>
      </c>
    </row>
    <row r="64" spans="1:31" ht="15.75" thickBot="1" x14ac:dyDescent="0.3">
      <c r="A64" s="3"/>
      <c r="B64" s="3"/>
      <c r="C64" s="3"/>
      <c r="D64" s="3"/>
      <c r="E64" s="122"/>
      <c r="F64" s="3"/>
      <c r="G64" s="4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4"/>
      <c r="AA64" s="4"/>
      <c r="AB64" s="65"/>
    </row>
    <row r="65" spans="1:28" x14ac:dyDescent="0.25">
      <c r="A65" s="75" t="s">
        <v>36</v>
      </c>
      <c r="B65" s="76" t="s">
        <v>72</v>
      </c>
      <c r="C65" s="77" t="s">
        <v>57</v>
      </c>
      <c r="D65" s="77" t="s">
        <v>61</v>
      </c>
      <c r="E65" s="123">
        <v>30</v>
      </c>
      <c r="F65" s="78"/>
      <c r="G65" s="83">
        <v>0</v>
      </c>
      <c r="H65" s="155">
        <v>12000</v>
      </c>
      <c r="I65" s="155">
        <v>0</v>
      </c>
      <c r="J65" s="155">
        <v>921000</v>
      </c>
      <c r="K65" s="155">
        <v>0</v>
      </c>
      <c r="L65" s="155">
        <v>1500000</v>
      </c>
      <c r="M65" s="155">
        <v>0</v>
      </c>
      <c r="N65" s="155">
        <v>2260000</v>
      </c>
      <c r="O65" s="155">
        <v>0</v>
      </c>
      <c r="P65" s="155">
        <v>100000</v>
      </c>
      <c r="Q65" s="155">
        <v>0</v>
      </c>
      <c r="R65" s="155">
        <v>0</v>
      </c>
      <c r="S65" s="155">
        <v>1700000</v>
      </c>
      <c r="T65" s="155">
        <v>0</v>
      </c>
      <c r="U65" s="155">
        <v>-505000</v>
      </c>
      <c r="V65" s="155">
        <v>0</v>
      </c>
      <c r="W65" s="155">
        <v>0</v>
      </c>
      <c r="X65" s="155">
        <v>-1320000</v>
      </c>
      <c r="Y65" s="155">
        <v>0</v>
      </c>
      <c r="Z65" s="83">
        <v>-950000</v>
      </c>
      <c r="AA65" s="64">
        <f>SUM(G65:Z65)</f>
        <v>3718000</v>
      </c>
      <c r="AB65" s="65">
        <f>IFERROR(AA65/E65*100,0)/10000000</f>
        <v>1.2393333333333332</v>
      </c>
    </row>
    <row r="66" spans="1:28" x14ac:dyDescent="0.25">
      <c r="A66" s="79" t="s">
        <v>37</v>
      </c>
      <c r="B66" s="34" t="s">
        <v>78</v>
      </c>
      <c r="C66" s="41" t="s">
        <v>57</v>
      </c>
      <c r="D66" s="144" t="s">
        <v>144</v>
      </c>
      <c r="E66" s="119">
        <v>2</v>
      </c>
      <c r="F66" s="8"/>
      <c r="G66" s="48">
        <v>691543</v>
      </c>
      <c r="H66" s="150">
        <v>-70854</v>
      </c>
      <c r="I66" s="150">
        <v>309940</v>
      </c>
      <c r="J66" s="150">
        <v>44225</v>
      </c>
      <c r="K66" s="150">
        <v>1024303</v>
      </c>
      <c r="L66" s="150">
        <v>138235</v>
      </c>
      <c r="M66" s="150">
        <v>425122</v>
      </c>
      <c r="N66" s="150">
        <v>-227282</v>
      </c>
      <c r="O66" s="150">
        <v>491159</v>
      </c>
      <c r="P66" s="150">
        <v>284900</v>
      </c>
      <c r="Q66" s="150">
        <v>151411</v>
      </c>
      <c r="R66" s="150">
        <v>270</v>
      </c>
      <c r="S66" s="150">
        <v>0</v>
      </c>
      <c r="T66" s="150">
        <v>0</v>
      </c>
      <c r="U66" s="150">
        <v>0</v>
      </c>
      <c r="V66" s="150">
        <v>0</v>
      </c>
      <c r="W66" s="150">
        <v>0</v>
      </c>
      <c r="X66" s="150">
        <v>0</v>
      </c>
      <c r="Y66" s="150">
        <v>0</v>
      </c>
      <c r="Z66" s="48">
        <v>0</v>
      </c>
      <c r="AA66" s="64">
        <f>SUM(G66:Z66)</f>
        <v>3262972</v>
      </c>
      <c r="AB66" s="65">
        <f>IFERROR(AA66/E66*100,0)/10000000</f>
        <v>16.314859999999999</v>
      </c>
    </row>
    <row r="67" spans="1:28" ht="15.75" thickBot="1" x14ac:dyDescent="0.3">
      <c r="A67" s="80"/>
      <c r="B67" s="13"/>
      <c r="C67" s="13"/>
      <c r="D67" s="13"/>
      <c r="E67" s="115"/>
      <c r="F67" s="14"/>
      <c r="G67" s="82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4"/>
      <c r="Z67" s="82"/>
      <c r="AA67" s="66"/>
      <c r="AB67" s="66"/>
    </row>
    <row r="68" spans="1:28" ht="15.75" thickBot="1" x14ac:dyDescent="0.3">
      <c r="A68" s="81"/>
      <c r="B68" s="16"/>
      <c r="C68" s="16"/>
      <c r="D68" s="16"/>
      <c r="E68" s="74"/>
      <c r="F68" s="17"/>
      <c r="G68" s="18">
        <f t="shared" ref="G68:Z68" si="9">SUM(G65:G66)</f>
        <v>691543</v>
      </c>
      <c r="H68" s="138">
        <f t="shared" si="9"/>
        <v>-58854</v>
      </c>
      <c r="I68" s="138">
        <f t="shared" si="9"/>
        <v>309940</v>
      </c>
      <c r="J68" s="138">
        <f t="shared" si="9"/>
        <v>965225</v>
      </c>
      <c r="K68" s="138">
        <f t="shared" si="9"/>
        <v>1024303</v>
      </c>
      <c r="L68" s="138">
        <f t="shared" si="9"/>
        <v>1638235</v>
      </c>
      <c r="M68" s="138">
        <f t="shared" si="9"/>
        <v>425122</v>
      </c>
      <c r="N68" s="138">
        <f t="shared" si="9"/>
        <v>2032718</v>
      </c>
      <c r="O68" s="138">
        <f t="shared" si="9"/>
        <v>491159</v>
      </c>
      <c r="P68" s="138">
        <f t="shared" si="9"/>
        <v>384900</v>
      </c>
      <c r="Q68" s="138">
        <f t="shared" si="9"/>
        <v>151411</v>
      </c>
      <c r="R68" s="138">
        <f t="shared" si="9"/>
        <v>270</v>
      </c>
      <c r="S68" s="138">
        <f t="shared" si="9"/>
        <v>1700000</v>
      </c>
      <c r="T68" s="138">
        <f t="shared" si="9"/>
        <v>0</v>
      </c>
      <c r="U68" s="138">
        <f t="shared" si="9"/>
        <v>-505000</v>
      </c>
      <c r="V68" s="138">
        <f t="shared" si="9"/>
        <v>0</v>
      </c>
      <c r="W68" s="138">
        <f t="shared" si="9"/>
        <v>0</v>
      </c>
      <c r="X68" s="138">
        <f t="shared" si="9"/>
        <v>-1320000</v>
      </c>
      <c r="Y68" s="138">
        <f t="shared" si="9"/>
        <v>0</v>
      </c>
      <c r="Z68" s="18">
        <f t="shared" si="9"/>
        <v>-950000</v>
      </c>
      <c r="AA68" s="19">
        <f>SUM(C68:Z68)</f>
        <v>6980972</v>
      </c>
      <c r="AB68" s="19"/>
    </row>
  </sheetData>
  <conditionalFormatting sqref="F29 F13:F14 F2 A60:Z61 A3:F12 A30:F36 A39:F52 F53 A56:F56 A58:F59 F57 G39:Z53 G56:Z59 A54:A55 C54:Z55 A37:Z38 G2:AB4 A15:F28 G5:Z36 AB49:AB58 AB60:AB64 AB5:AB46 AA5:AA61 A62:AA63 A65:AB68">
    <cfRule type="expression" dxfId="181" priority="12">
      <formula>MOD(ROW(),2)=0</formula>
    </cfRule>
  </conditionalFormatting>
  <conditionalFormatting sqref="AB47">
    <cfRule type="expression" dxfId="180" priority="11">
      <formula>MOD(ROW(),2)=0</formula>
    </cfRule>
  </conditionalFormatting>
  <conditionalFormatting sqref="AB48">
    <cfRule type="expression" dxfId="179" priority="10">
      <formula>MOD(ROW(),2)=0</formula>
    </cfRule>
  </conditionalFormatting>
  <conditionalFormatting sqref="A29:C29 E29">
    <cfRule type="expression" dxfId="178" priority="9">
      <formula>MOD(ROW(),2)=0</formula>
    </cfRule>
  </conditionalFormatting>
  <conditionalFormatting sqref="AB59">
    <cfRule type="expression" dxfId="177" priority="8">
      <formula>MOD(ROW(),2)=0</formula>
    </cfRule>
  </conditionalFormatting>
  <conditionalFormatting sqref="A13:E14">
    <cfRule type="expression" dxfId="176" priority="7">
      <formula>MOD(ROW(),2)=0</formula>
    </cfRule>
  </conditionalFormatting>
  <conditionalFormatting sqref="D29">
    <cfRule type="expression" dxfId="175" priority="6">
      <formula>MOD(ROW(),2)=0</formula>
    </cfRule>
  </conditionalFormatting>
  <conditionalFormatting sqref="A53:E53">
    <cfRule type="expression" dxfId="174" priority="3">
      <formula>MOD(ROW(),2)=0</formula>
    </cfRule>
  </conditionalFormatting>
  <conditionalFormatting sqref="A57:E57">
    <cfRule type="expression" dxfId="173" priority="2">
      <formula>MOD(ROW(),2)=0</formula>
    </cfRule>
  </conditionalFormatting>
  <conditionalFormatting sqref="B54:B55">
    <cfRule type="expression" dxfId="172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E74"/>
  <sheetViews>
    <sheetView zoomScaleNormal="100" workbookViewId="0">
      <selection activeCell="AA10" sqref="AA10"/>
    </sheetView>
  </sheetViews>
  <sheetFormatPr defaultRowHeight="15" outlineLevelCol="1" x14ac:dyDescent="0.25"/>
  <cols>
    <col min="1" max="1" width="9.140625" style="1"/>
    <col min="3" max="3" width="22" customWidth="1"/>
    <col min="4" max="4" width="14.42578125" customWidth="1"/>
    <col min="5" max="5" width="14.5703125" customWidth="1"/>
    <col min="6" max="6" width="8.140625" customWidth="1"/>
    <col min="7" max="7" width="11" customWidth="1"/>
    <col min="8" max="8" width="9.42578125" customWidth="1"/>
    <col min="9" max="9" width="11.28515625" bestFit="1" customWidth="1"/>
    <col min="10" max="10" width="10" customWidth="1"/>
    <col min="11" max="11" width="11.140625" customWidth="1"/>
    <col min="12" max="12" width="10.5703125" customWidth="1"/>
    <col min="13" max="14" width="10.5703125" style="1" hidden="1" customWidth="1" outlineLevel="1"/>
    <col min="15" max="15" width="12.140625" style="1" hidden="1" customWidth="1" outlineLevel="1"/>
    <col min="16" max="18" width="10.5703125" style="1" hidden="1" customWidth="1" outlineLevel="1"/>
    <col min="19" max="19" width="10.5703125" customWidth="1" collapsed="1"/>
    <col min="21" max="21" width="8.5703125" customWidth="1"/>
    <col min="22" max="22" width="13.85546875" style="2" hidden="1" customWidth="1" outlineLevel="1"/>
    <col min="23" max="23" width="9.140625" style="2" hidden="1" customWidth="1" outlineLevel="1"/>
    <col min="24" max="24" width="9.140625" collapsed="1"/>
    <col min="25" max="25" width="19.7109375" customWidth="1"/>
  </cols>
  <sheetData>
    <row r="1" spans="2:23" ht="15.75" thickBot="1" x14ac:dyDescent="0.3"/>
    <row r="2" spans="2:23" ht="16.5" thickBot="1" x14ac:dyDescent="0.3">
      <c r="G2" s="84" t="s">
        <v>151</v>
      </c>
      <c r="H2" s="85" t="s">
        <v>152</v>
      </c>
      <c r="I2" s="95" t="s">
        <v>162</v>
      </c>
      <c r="J2" s="96" t="s">
        <v>163</v>
      </c>
      <c r="K2" s="105" t="s">
        <v>248</v>
      </c>
      <c r="L2" s="106" t="s">
        <v>249</v>
      </c>
      <c r="M2" s="67" t="s">
        <v>91</v>
      </c>
      <c r="N2" s="68" t="s">
        <v>127</v>
      </c>
      <c r="O2" s="67" t="s">
        <v>90</v>
      </c>
      <c r="P2" s="68" t="s">
        <v>128</v>
      </c>
      <c r="Q2" s="67" t="s">
        <v>103</v>
      </c>
      <c r="R2" s="68" t="s">
        <v>129</v>
      </c>
      <c r="S2" s="67" t="s">
        <v>121</v>
      </c>
      <c r="T2" s="68" t="s">
        <v>79</v>
      </c>
      <c r="V2" s="130" t="s">
        <v>166</v>
      </c>
      <c r="W2" s="131" t="s">
        <v>79</v>
      </c>
    </row>
    <row r="3" spans="2:23" ht="16.5" thickBot="1" x14ac:dyDescent="0.3">
      <c r="B3" s="49" t="s">
        <v>54</v>
      </c>
      <c r="C3" s="49" t="s">
        <v>70</v>
      </c>
      <c r="D3" s="49" t="s">
        <v>71</v>
      </c>
      <c r="E3" s="49" t="s">
        <v>2</v>
      </c>
      <c r="F3" s="55" t="s">
        <v>104</v>
      </c>
      <c r="G3" s="86"/>
      <c r="H3" s="87"/>
      <c r="I3" s="97"/>
      <c r="J3" s="98"/>
      <c r="K3" s="107"/>
      <c r="L3" s="108"/>
      <c r="M3" s="69"/>
      <c r="N3" s="70"/>
      <c r="O3" s="69"/>
      <c r="P3" s="70"/>
      <c r="Q3" s="69"/>
      <c r="R3" s="70"/>
      <c r="S3" s="69"/>
      <c r="T3" s="70"/>
      <c r="V3" s="132"/>
      <c r="W3" s="133"/>
    </row>
    <row r="4" spans="2:23" ht="15" customHeight="1" x14ac:dyDescent="0.25">
      <c r="B4" s="35" t="s">
        <v>25</v>
      </c>
      <c r="C4" s="44" t="s">
        <v>141</v>
      </c>
      <c r="D4" s="35" t="s">
        <v>57</v>
      </c>
      <c r="E4" s="37" t="s">
        <v>89</v>
      </c>
      <c r="F4" s="117">
        <v>3</v>
      </c>
      <c r="G4" s="88">
        <f>IFERROR(VLOOKUP($B$3:$B$128,'APR-2026'!$A$4:$ABW$112,MATCH('FY-(26-27)Q1'!$G$2:$H$2,'APR-2026'!$A$2:$BX$2,0),0),0)</f>
        <v>330000</v>
      </c>
      <c r="H4" s="158">
        <f>IFERROR(VLOOKUP($B$3:$B$128,'APR-2026'!$A$4:$ABW$112,MATCH('FY-(26-27)Q1'!$G$2:$H$2,'APR-2026'!$A$2:$BX$2,0),0),0)</f>
        <v>1.1000000000000001</v>
      </c>
      <c r="I4" s="156">
        <f>IFERROR(VLOOKUP($B$3:$B$128,'MAY-2026'!$A$4:$ACO$113,MATCH('FY-(26-27)Q1'!$I$2:$J$2,'MAY-2026'!$A$2:$CP$2,0),0),0)</f>
        <v>-198725</v>
      </c>
      <c r="J4" s="158">
        <f>IFERROR(VLOOKUP($B$3:$B$128,'MAY-2026'!$A$4:$ACO$113,MATCH('FY-(26-27)Q1'!$I$2:$J$2,'MAY-2026'!$A$2:$CP$2,0),0),0)</f>
        <v>-0.66241666666666665</v>
      </c>
      <c r="K4" s="156">
        <f>IFERROR(VLOOKUP($B$3:$B$128,'JUNE-2026'!$A$4:$ACT$113,MATCH('FY-(26-27)Q1'!$K$2:$L$2,'JUNE-2026'!$A$2:$CU$2,0),0),0)</f>
        <v>-82000</v>
      </c>
      <c r="L4" s="158">
        <f>IFERROR(VLOOKUP($B$3:$B$128,'JUNE-2026'!$A$4:$ACT$113,MATCH('FY-(26-27)Q1'!$K$2:$L$2,'JUNE-2026'!$A$2:$CU$2,0),0),0)</f>
        <v>-0.27333333333333332</v>
      </c>
      <c r="M4" s="71">
        <f>G4+I4+K4</f>
        <v>49275</v>
      </c>
      <c r="N4" s="169">
        <f>H4+J4+L4</f>
        <v>0.16425000000000012</v>
      </c>
      <c r="O4" s="88">
        <f>IFERROR(VLOOKUP($B$4:$B$66,#REF!,MATCH('FY-(26-27)Q1'!$O$2:$P$2,#REF!,0),0),0)</f>
        <v>0</v>
      </c>
      <c r="P4" s="127">
        <f>IFERROR(VLOOKUP($B$4:$B$66,#REF!,MATCH('FY-(26-27)Q1'!$O$2:$P$2,#REF!,0),0),0)</f>
        <v>0</v>
      </c>
      <c r="Q4" s="88">
        <f>IFERROR(VLOOKUP($B$4:$B$66,#REF!,MATCH('FY-(26-27)Q1'!$Q$2:$R$2,#REF!,0),0),0)</f>
        <v>0</v>
      </c>
      <c r="R4" s="127">
        <f>IFERROR(VLOOKUP($B$4:$B$66,#REF!,MATCH('FY-(26-27)Q1'!$Q$2:$R$2,#REF!,0),0),0)</f>
        <v>0</v>
      </c>
      <c r="S4" s="71"/>
      <c r="T4" s="72"/>
      <c r="V4" s="89">
        <f>M4+O4+Q4+S4</f>
        <v>49275</v>
      </c>
      <c r="W4" s="171">
        <f>(N4+P4+R4+T4)</f>
        <v>0.16425000000000012</v>
      </c>
    </row>
    <row r="5" spans="2:23" s="1" customFormat="1" ht="15" customHeight="1" x14ac:dyDescent="0.25">
      <c r="B5" s="35" t="s">
        <v>46</v>
      </c>
      <c r="C5" s="44" t="s">
        <v>141</v>
      </c>
      <c r="D5" s="35" t="s">
        <v>57</v>
      </c>
      <c r="E5" s="37" t="s">
        <v>89</v>
      </c>
      <c r="F5" s="117">
        <v>3</v>
      </c>
      <c r="G5" s="156">
        <f>IFERROR(VLOOKUP($B$3:$B$128,'APR-2026'!$A$4:$ABW$112,MATCH('FY-(26-27)Q1'!$G$2:$H$2,'APR-2026'!$A$2:$BX$2,0),0),0)</f>
        <v>-21500</v>
      </c>
      <c r="H5" s="158">
        <f>IFERROR(VLOOKUP($B$3:$B$128,'APR-2026'!$A$4:$ABW$112,MATCH('FY-(26-27)Q1'!$G$2:$H$2,'APR-2026'!$A$2:$BX$2,0),0),0)</f>
        <v>-7.166666666666667E-2</v>
      </c>
      <c r="I5" s="156">
        <f>IFERROR(VLOOKUP($B$3:$B$128,'MAY-2026'!$A$4:$ACO$113,MATCH('FY-(26-27)Q1'!$I$2:$J$2,'MAY-2026'!$A$2:$CP$2,0),0),0)</f>
        <v>2411</v>
      </c>
      <c r="J5" s="158">
        <f>IFERROR(VLOOKUP($B$3:$B$128,'MAY-2026'!$A$4:$ACO$113,MATCH('FY-(26-27)Q1'!$I$2:$J$2,'MAY-2026'!$A$2:$CP$2,0),0),0)</f>
        <v>8.0366666666666659E-3</v>
      </c>
      <c r="K5" s="156">
        <f>IFERROR(VLOOKUP($B$3:$B$128,'JUNE-2026'!$A$4:$ACT$113,MATCH('FY-(26-27)Q1'!$K$2:$L$2,'JUNE-2026'!$A$2:$CU$2,0),0),0)</f>
        <v>0</v>
      </c>
      <c r="L5" s="158">
        <f>IFERROR(VLOOKUP($B$3:$B$128,'JUNE-2026'!$A$4:$ACT$113,MATCH('FY-(26-27)Q1'!$K$2:$L$2,'JUNE-2026'!$A$2:$CU$2,0),0),0)</f>
        <v>0</v>
      </c>
      <c r="M5" s="71">
        <f t="shared" ref="M5:M66" si="0">G5+I5+K5</f>
        <v>-19089</v>
      </c>
      <c r="N5" s="169">
        <f t="shared" ref="N5:N66" si="1">H5+J5+L5</f>
        <v>-6.3630000000000006E-2</v>
      </c>
      <c r="O5" s="88">
        <f>IFERROR(VLOOKUP($B$4:$B$66,#REF!,MATCH('FY-(26-27)Q1'!$O$2:$P$2,#REF!,0),0),0)</f>
        <v>0</v>
      </c>
      <c r="P5" s="127">
        <f>IFERROR(VLOOKUP($B$4:$B$66,#REF!,MATCH('FY-(26-27)Q1'!$O$2:$P$2,#REF!,0),0),0)</f>
        <v>0</v>
      </c>
      <c r="Q5" s="88">
        <f>IFERROR(VLOOKUP($B$4:$B$66,#REF!,MATCH('FY-(26-27)Q1'!$Q$2:$R$2,#REF!,0),0),0)</f>
        <v>0</v>
      </c>
      <c r="R5" s="127">
        <f>IFERROR(VLOOKUP($B$4:$B$66,#REF!,MATCH('FY-(26-27)Q1'!$Q$2:$R$2,#REF!,0),0),0)</f>
        <v>0</v>
      </c>
      <c r="S5" s="71"/>
      <c r="T5" s="72"/>
      <c r="V5" s="157">
        <f t="shared" ref="V5:V61" si="2">M5+O5+Q5+S5</f>
        <v>-19089</v>
      </c>
      <c r="W5" s="171">
        <f t="shared" ref="W5:W66" si="3">(N5+P5+R5+T5)</f>
        <v>-6.3630000000000006E-2</v>
      </c>
    </row>
    <row r="6" spans="2:23" ht="15" customHeight="1" x14ac:dyDescent="0.25">
      <c r="B6" s="145" t="s">
        <v>220</v>
      </c>
      <c r="C6" s="44" t="s">
        <v>219</v>
      </c>
      <c r="D6" s="145" t="s">
        <v>11</v>
      </c>
      <c r="E6" s="145"/>
      <c r="F6" s="159">
        <v>0.5</v>
      </c>
      <c r="G6" s="156">
        <f>IFERROR(VLOOKUP($B$3:$B$128,'APR-2026'!$A$4:$ABW$112,MATCH('FY-(26-27)Q1'!$G$2:$H$2,'APR-2026'!$A$2:$BX$2,0),0),0)</f>
        <v>0</v>
      </c>
      <c r="H6" s="158">
        <f>IFERROR(VLOOKUP($B$3:$B$128,'APR-2026'!$A$4:$ABW$112,MATCH('FY-(26-27)Q1'!$G$2:$H$2,'APR-2026'!$A$2:$BX$2,0),0),0)</f>
        <v>0</v>
      </c>
      <c r="I6" s="156">
        <f>IFERROR(VLOOKUP($B$3:$B$128,'MAY-2026'!$A$4:$ACO$113,MATCH('FY-(26-27)Q1'!$I$2:$J$2,'MAY-2026'!$A$2:$CP$2,0),0),0)</f>
        <v>-44821</v>
      </c>
      <c r="J6" s="158">
        <f>IFERROR(VLOOKUP($B$3:$B$128,'MAY-2026'!$A$4:$ACO$113,MATCH('FY-(26-27)Q1'!$I$2:$J$2,'MAY-2026'!$A$2:$CP$2,0),0),0)</f>
        <v>-0.89641999999999999</v>
      </c>
      <c r="K6" s="156">
        <f>IFERROR(VLOOKUP($B$3:$B$128,'JUNE-2026'!$A$4:$ACT$113,MATCH('FY-(26-27)Q1'!$K$2:$L$2,'JUNE-2026'!$A$2:$CU$2,0),0),0)</f>
        <v>3905</v>
      </c>
      <c r="L6" s="158">
        <f>IFERROR(VLOOKUP($B$3:$B$128,'JUNE-2026'!$A$4:$ACT$113,MATCH('FY-(26-27)Q1'!$K$2:$L$2,'JUNE-2026'!$A$2:$CU$2,0),0),0)</f>
        <v>7.8100000000000003E-2</v>
      </c>
      <c r="M6" s="71">
        <f t="shared" ref="M6" si="4">G6+I6+K6</f>
        <v>-40916</v>
      </c>
      <c r="N6" s="169">
        <f t="shared" ref="N6" si="5">H6+J6+L6</f>
        <v>-0.81831999999999994</v>
      </c>
      <c r="O6" s="156">
        <f>IFERROR(VLOOKUP($B$4:$B$66,#REF!,MATCH('FY-(26-27)Q1'!$O$2:$P$2,#REF!,0),0),0)</f>
        <v>0</v>
      </c>
      <c r="P6" s="162">
        <f>IFERROR(VLOOKUP($B$4:$B$66,#REF!,MATCH('FY-(26-27)Q1'!$O$2:$P$2,#REF!,0),0),0)</f>
        <v>0</v>
      </c>
      <c r="Q6" s="156">
        <f>IFERROR(VLOOKUP($B$4:$B$66,#REF!,MATCH('FY-(26-27)Q1'!$Q$2:$R$2,#REF!,0),0),0)</f>
        <v>0</v>
      </c>
      <c r="R6" s="162">
        <f>IFERROR(VLOOKUP($B$4:$B$66,#REF!,MATCH('FY-(26-27)Q1'!$Q$2:$R$2,#REF!,0),0),0)</f>
        <v>0</v>
      </c>
      <c r="S6" s="71"/>
      <c r="T6" s="153"/>
      <c r="U6" s="135"/>
      <c r="V6" s="157">
        <f t="shared" ref="V6" si="6">M6+O6+Q6+S6</f>
        <v>-40916</v>
      </c>
      <c r="W6" s="171">
        <f t="shared" si="3"/>
        <v>-0.81831999999999994</v>
      </c>
    </row>
    <row r="7" spans="2:23" s="1" customFormat="1" ht="15" customHeight="1" x14ac:dyDescent="0.25">
      <c r="B7" s="35" t="s">
        <v>30</v>
      </c>
      <c r="C7" s="34" t="s">
        <v>178</v>
      </c>
      <c r="D7" s="34" t="s">
        <v>6</v>
      </c>
      <c r="E7" s="38" t="s">
        <v>140</v>
      </c>
      <c r="F7" s="117">
        <v>3.5</v>
      </c>
      <c r="G7" s="156">
        <f>IFERROR(VLOOKUP($B$3:$B$128,'APR-2026'!$A$4:$ABW$112,MATCH('FY-(26-27)Q1'!$G$2:$H$2,'APR-2026'!$A$2:$BX$2,0),0),0)</f>
        <v>602695</v>
      </c>
      <c r="H7" s="158">
        <f>IFERROR(VLOOKUP($B$3:$B$128,'APR-2026'!$A$4:$ABW$112,MATCH('FY-(26-27)Q1'!$G$2:$H$2,'APR-2026'!$A$2:$BX$2,0),0),0)</f>
        <v>2.0089833333333336</v>
      </c>
      <c r="I7" s="156">
        <f>IFERROR(VLOOKUP($B$3:$B$128,'MAY-2026'!$A$4:$ACO$113,MATCH('FY-(26-27)Q1'!$I$2:$J$2,'MAY-2026'!$A$2:$CP$2,0),0),0)</f>
        <v>-40749</v>
      </c>
      <c r="J7" s="158">
        <f>IFERROR(VLOOKUP($B$3:$B$128,'MAY-2026'!$A$4:$ACO$113,MATCH('FY-(26-27)Q1'!$I$2:$J$2,'MAY-2026'!$A$2:$CP$2,0),0),0)</f>
        <v>-0.13583000000000001</v>
      </c>
      <c r="K7" s="156">
        <f>IFERROR(VLOOKUP($B$3:$B$128,'JUNE-2026'!$A$4:$ACT$113,MATCH('FY-(26-27)Q1'!$K$2:$L$2,'JUNE-2026'!$A$2:$CU$2,0),0),0)</f>
        <v>137507</v>
      </c>
      <c r="L7" s="158">
        <f>IFERROR(VLOOKUP($B$3:$B$128,'JUNE-2026'!$A$4:$ACT$113,MATCH('FY-(26-27)Q1'!$K$2:$L$2,'JUNE-2026'!$A$2:$CU$2,0),0),0)</f>
        <v>0.45835666666666658</v>
      </c>
      <c r="M7" s="71">
        <f t="shared" si="0"/>
        <v>699453</v>
      </c>
      <c r="N7" s="169">
        <f t="shared" si="1"/>
        <v>2.3315100000000002</v>
      </c>
      <c r="O7" s="88">
        <f>IFERROR(VLOOKUP($B$4:$B$66,#REF!,MATCH('FY-(26-27)Q1'!$O$2:$P$2,#REF!,0),0),0)</f>
        <v>0</v>
      </c>
      <c r="P7" s="127">
        <f>IFERROR(VLOOKUP($B$4:$B$66,#REF!,MATCH('FY-(26-27)Q1'!$O$2:$P$2,#REF!,0),0),0)</f>
        <v>0</v>
      </c>
      <c r="Q7" s="88">
        <f>IFERROR(VLOOKUP($B$4:$B$66,#REF!,MATCH('FY-(26-27)Q1'!$Q$2:$R$2,#REF!,0),0),0)</f>
        <v>0</v>
      </c>
      <c r="R7" s="127">
        <f>IFERROR(VLOOKUP($B$4:$B$66,#REF!,MATCH('FY-(26-27)Q1'!$Q$2:$R$2,#REF!,0),0),0)</f>
        <v>0</v>
      </c>
      <c r="S7" s="45"/>
      <c r="T7" s="72"/>
      <c r="U7"/>
      <c r="V7" s="157">
        <f t="shared" si="2"/>
        <v>699453</v>
      </c>
      <c r="W7" s="171">
        <f t="shared" si="3"/>
        <v>2.3315100000000002</v>
      </c>
    </row>
    <row r="8" spans="2:23" ht="15" customHeight="1" x14ac:dyDescent="0.25">
      <c r="B8" s="145" t="s">
        <v>180</v>
      </c>
      <c r="C8" s="144" t="s">
        <v>178</v>
      </c>
      <c r="D8" s="144" t="s">
        <v>231</v>
      </c>
      <c r="E8" s="38" t="s">
        <v>254</v>
      </c>
      <c r="F8" s="159">
        <v>1</v>
      </c>
      <c r="G8" s="156">
        <f>IFERROR(VLOOKUP($B$3:$B$128,'APR-2026'!$A$4:$ABW$112,MATCH('FY-(26-27)Q1'!$G$2:$H$2,'APR-2026'!$A$2:$BX$2,0),0),0)</f>
        <v>-115177</v>
      </c>
      <c r="H8" s="158">
        <f>IFERROR(VLOOKUP($B$3:$B$128,'APR-2026'!$A$4:$ABW$112,MATCH('FY-(26-27)Q1'!$G$2:$H$2,'APR-2026'!$A$2:$BX$2,0),0),0)</f>
        <v>-1.15177</v>
      </c>
      <c r="I8" s="156">
        <f>IFERROR(VLOOKUP($B$3:$B$128,'MAY-2026'!$A$4:$ACO$113,MATCH('FY-(26-27)Q1'!$I$2:$J$2,'MAY-2026'!$A$2:$CP$2,0),0),0)</f>
        <v>-270250</v>
      </c>
      <c r="J8" s="158">
        <f>IFERROR(VLOOKUP($B$3:$B$128,'MAY-2026'!$A$4:$ACO$113,MATCH('FY-(26-27)Q1'!$I$2:$J$2,'MAY-2026'!$A$2:$CP$2,0),0),0)</f>
        <v>-2.7025000000000001</v>
      </c>
      <c r="K8" s="156">
        <f>IFERROR(VLOOKUP($B$3:$B$128,'JUNE-2026'!$A$4:$ACT$113,MATCH('FY-(26-27)Q1'!$K$2:$L$2,'JUNE-2026'!$A$2:$CU$2,0),0),0)</f>
        <v>0</v>
      </c>
      <c r="L8" s="158">
        <f>IFERROR(VLOOKUP($B$3:$B$128,'JUNE-2026'!$A$4:$ACT$113,MATCH('FY-(26-27)Q1'!$K$2:$L$2,'JUNE-2026'!$A$2:$CU$2,0),0),0)</f>
        <v>0</v>
      </c>
      <c r="M8" s="71">
        <f t="shared" si="0"/>
        <v>-385427</v>
      </c>
      <c r="N8" s="169">
        <f t="shared" si="1"/>
        <v>-3.8542700000000001</v>
      </c>
      <c r="O8" s="156">
        <f>IFERROR(VLOOKUP($B$4:$B$66,#REF!,MATCH('FY-(26-27)Q1'!$O$2:$P$2,#REF!,0),0),0)</f>
        <v>0</v>
      </c>
      <c r="P8" s="162">
        <f>IFERROR(VLOOKUP($B$4:$B$66,#REF!,MATCH('FY-(26-27)Q1'!$O$2:$P$2,#REF!,0),0),0)</f>
        <v>0</v>
      </c>
      <c r="Q8" s="156">
        <f>IFERROR(VLOOKUP($B$4:$B$66,#REF!,MATCH('FY-(26-27)Q1'!$Q$2:$R$2,#REF!,0),0),0)</f>
        <v>0</v>
      </c>
      <c r="R8" s="162">
        <f>IFERROR(VLOOKUP($B$4:$B$66,#REF!,MATCH('FY-(26-27)Q1'!$Q$2:$R$2,#REF!,0),0),0)</f>
        <v>0</v>
      </c>
      <c r="S8" s="147"/>
      <c r="T8" s="153"/>
      <c r="U8" s="1"/>
      <c r="V8" s="157">
        <f t="shared" si="2"/>
        <v>-385427</v>
      </c>
      <c r="W8" s="171">
        <f t="shared" si="3"/>
        <v>-3.8542700000000001</v>
      </c>
    </row>
    <row r="9" spans="2:23" ht="15" customHeight="1" x14ac:dyDescent="0.25">
      <c r="B9" s="35" t="s">
        <v>136</v>
      </c>
      <c r="C9" s="34" t="s">
        <v>135</v>
      </c>
      <c r="D9" s="34" t="s">
        <v>137</v>
      </c>
      <c r="E9" s="38" t="s">
        <v>147</v>
      </c>
      <c r="F9" s="117">
        <v>3</v>
      </c>
      <c r="G9" s="156">
        <f>IFERROR(VLOOKUP($B$3:$B$128,'APR-2026'!$A$4:$ABW$112,MATCH('FY-(26-27)Q1'!$G$2:$H$2,'APR-2026'!$A$2:$BX$2,0),0),0)</f>
        <v>-86659</v>
      </c>
      <c r="H9" s="158">
        <f>IFERROR(VLOOKUP($B$3:$B$128,'APR-2026'!$A$4:$ABW$112,MATCH('FY-(26-27)Q1'!$G$2:$H$2,'APR-2026'!$A$2:$BX$2,0),0),0)</f>
        <v>-1.7331799999999999</v>
      </c>
      <c r="I9" s="156">
        <f>IFERROR(VLOOKUP($B$3:$B$128,'MAY-2026'!$A$4:$ACO$113,MATCH('FY-(26-27)Q1'!$I$2:$J$2,'MAY-2026'!$A$2:$CP$2,0),0),0)</f>
        <v>165574</v>
      </c>
      <c r="J9" s="158">
        <f>IFERROR(VLOOKUP($B$3:$B$128,'MAY-2026'!$A$4:$ACO$113,MATCH('FY-(26-27)Q1'!$I$2:$J$2,'MAY-2026'!$A$2:$CP$2,0),0),0)</f>
        <v>0.55191333333333337</v>
      </c>
      <c r="K9" s="156">
        <f>IFERROR(VLOOKUP($B$3:$B$128,'JUNE-2026'!$A$4:$ACT$113,MATCH('FY-(26-27)Q1'!$K$2:$L$2,'JUNE-2026'!$A$2:$CU$2,0),0),0)</f>
        <v>-306695</v>
      </c>
      <c r="L9" s="158">
        <f>IFERROR(VLOOKUP($B$3:$B$128,'JUNE-2026'!$A$4:$ACT$113,MATCH('FY-(26-27)Q1'!$K$2:$L$2,'JUNE-2026'!$A$2:$CU$2,0),0),0)</f>
        <v>-1.0223166666666668</v>
      </c>
      <c r="M9" s="71">
        <f t="shared" si="0"/>
        <v>-227780</v>
      </c>
      <c r="N9" s="169">
        <f t="shared" si="1"/>
        <v>-2.2035833333333334</v>
      </c>
      <c r="O9" s="88">
        <f>IFERROR(VLOOKUP($B$4:$B$66,#REF!,MATCH('FY-(26-27)Q1'!$O$2:$P$2,#REF!,0),0),0)</f>
        <v>0</v>
      </c>
      <c r="P9" s="127">
        <f>IFERROR(VLOOKUP($B$4:$B$66,#REF!,MATCH('FY-(26-27)Q1'!$O$2:$P$2,#REF!,0),0),0)</f>
        <v>0</v>
      </c>
      <c r="Q9" s="88">
        <f>IFERROR(VLOOKUP($B$4:$B$66,#REF!,MATCH('FY-(26-27)Q1'!$Q$2:$R$2,#REF!,0),0),0)</f>
        <v>0</v>
      </c>
      <c r="R9" s="127">
        <f>IFERROR(VLOOKUP($B$4:$B$66,#REF!,MATCH('FY-(26-27)Q1'!$Q$2:$R$2,#REF!,0),0),0)</f>
        <v>0</v>
      </c>
      <c r="S9" s="45"/>
      <c r="T9" s="72"/>
      <c r="V9" s="157">
        <f t="shared" si="2"/>
        <v>-227780</v>
      </c>
      <c r="W9" s="171">
        <f t="shared" si="3"/>
        <v>-2.2035833333333334</v>
      </c>
    </row>
    <row r="10" spans="2:23" s="135" customFormat="1" ht="15" customHeight="1" x14ac:dyDescent="0.25">
      <c r="B10" s="145" t="s">
        <v>221</v>
      </c>
      <c r="C10" s="144" t="s">
        <v>135</v>
      </c>
      <c r="D10" s="144" t="s">
        <v>97</v>
      </c>
      <c r="E10" s="38" t="s">
        <v>118</v>
      </c>
      <c r="F10" s="159">
        <v>1.5</v>
      </c>
      <c r="G10" s="156">
        <f>IFERROR(VLOOKUP($B$3:$B$128,'APR-2026'!$A$4:$ABW$112,MATCH('FY-(26-27)Q1'!$G$2:$H$2,'APR-2026'!$A$2:$BX$2,0),0),0)</f>
        <v>0</v>
      </c>
      <c r="H10" s="158">
        <f>IFERROR(VLOOKUP($B$3:$B$128,'APR-2026'!$A$4:$ABW$112,MATCH('FY-(26-27)Q1'!$G$2:$H$2,'APR-2026'!$A$2:$BX$2,0),0),0)</f>
        <v>0</v>
      </c>
      <c r="I10" s="156">
        <f>IFERROR(VLOOKUP($B$3:$B$128,'MAY-2026'!$A$4:$ACO$113,MATCH('FY-(26-27)Q1'!$I$2:$J$2,'MAY-2026'!$A$2:$CP$2,0),0),0)</f>
        <v>-175097</v>
      </c>
      <c r="J10" s="158">
        <f>IFERROR(VLOOKUP($B$3:$B$128,'MAY-2026'!$A$4:$ACO$113,MATCH('FY-(26-27)Q1'!$I$2:$J$2,'MAY-2026'!$A$2:$CP$2,0),0),0)</f>
        <v>-1.1673133333333332</v>
      </c>
      <c r="K10" s="156">
        <f>IFERROR(VLOOKUP($B$3:$B$128,'JUNE-2026'!$A$4:$ACT$113,MATCH('FY-(26-27)Q1'!$K$2:$L$2,'JUNE-2026'!$A$2:$CU$2,0),0),0)</f>
        <v>-1734</v>
      </c>
      <c r="L10" s="158">
        <f>IFERROR(VLOOKUP($B$3:$B$128,'JUNE-2026'!$A$4:$ACT$113,MATCH('FY-(26-27)Q1'!$K$2:$L$2,'JUNE-2026'!$A$2:$CU$2,0),0),0)</f>
        <v>-1.1560000000000001E-2</v>
      </c>
      <c r="M10" s="71">
        <f t="shared" ref="M10" si="7">G10+I10+K10</f>
        <v>-176831</v>
      </c>
      <c r="N10" s="169">
        <f t="shared" ref="N10" si="8">H10+J10+L10</f>
        <v>-1.1788733333333332</v>
      </c>
      <c r="O10" s="156">
        <f>IFERROR(VLOOKUP($B$4:$B$66,#REF!,MATCH('FY-(26-27)Q1'!$O$2:$P$2,#REF!,0),0),0)</f>
        <v>0</v>
      </c>
      <c r="P10" s="162">
        <f>IFERROR(VLOOKUP($B$4:$B$66,#REF!,MATCH('FY-(26-27)Q1'!$O$2:$P$2,#REF!,0),0),0)</f>
        <v>0</v>
      </c>
      <c r="Q10" s="156">
        <f>IFERROR(VLOOKUP($B$4:$B$66,#REF!,MATCH('FY-(26-27)Q1'!$Q$2:$R$2,#REF!,0),0),0)</f>
        <v>0</v>
      </c>
      <c r="R10" s="162">
        <f>IFERROR(VLOOKUP($B$4:$B$66,#REF!,MATCH('FY-(26-27)Q1'!$Q$2:$R$2,#REF!,0),0),0)</f>
        <v>0</v>
      </c>
      <c r="S10" s="147"/>
      <c r="T10" s="153"/>
      <c r="V10" s="157">
        <f t="shared" ref="V10" si="9">M10+O10+Q10+S10</f>
        <v>-176831</v>
      </c>
      <c r="W10" s="171">
        <f t="shared" ref="W10" si="10">(N10+P10+R10+T10)</f>
        <v>-1.1788733333333332</v>
      </c>
    </row>
    <row r="11" spans="2:23" s="1" customFormat="1" ht="15" customHeight="1" x14ac:dyDescent="0.25">
      <c r="B11" s="36" t="s">
        <v>35</v>
      </c>
      <c r="C11" s="34" t="s">
        <v>55</v>
      </c>
      <c r="D11" s="34" t="s">
        <v>80</v>
      </c>
      <c r="E11" s="146" t="s">
        <v>114</v>
      </c>
      <c r="F11" s="118">
        <v>15</v>
      </c>
      <c r="G11" s="156">
        <f>IFERROR(VLOOKUP($B$3:$B$128,'APR-2026'!$A$4:$ABW$112,MATCH('FY-(26-27)Q1'!$G$2:$H$2,'APR-2026'!$A$2:$BX$2,0),0),0)</f>
        <v>194000</v>
      </c>
      <c r="H11" s="158">
        <f>IFERROR(VLOOKUP($B$3:$B$128,'APR-2026'!$A$4:$ABW$112,MATCH('FY-(26-27)Q1'!$G$2:$H$2,'APR-2026'!$A$2:$BX$2,0),0),0)</f>
        <v>0.12933333333333336</v>
      </c>
      <c r="I11" s="156">
        <f>IFERROR(VLOOKUP($B$3:$B$128,'MAY-2026'!$A$4:$ACO$113,MATCH('FY-(26-27)Q1'!$I$2:$J$2,'MAY-2026'!$A$2:$CP$2,0),0),0)</f>
        <v>-774466</v>
      </c>
      <c r="J11" s="158">
        <f>IFERROR(VLOOKUP($B$3:$B$128,'MAY-2026'!$A$4:$ACO$113,MATCH('FY-(26-27)Q1'!$I$2:$J$2,'MAY-2026'!$A$2:$CP$2,0),0),0)</f>
        <v>-0.5163106666666667</v>
      </c>
      <c r="K11" s="156">
        <f>IFERROR(VLOOKUP($B$3:$B$128,'JUNE-2026'!$A$4:$ACT$113,MATCH('FY-(26-27)Q1'!$K$2:$L$2,'JUNE-2026'!$A$2:$CU$2,0),0),0)</f>
        <v>-286034</v>
      </c>
      <c r="L11" s="158">
        <f>IFERROR(VLOOKUP($B$3:$B$128,'JUNE-2026'!$A$4:$ACT$113,MATCH('FY-(26-27)Q1'!$K$2:$L$2,'JUNE-2026'!$A$2:$CU$2,0),0),0)</f>
        <v>-0.19068933333333335</v>
      </c>
      <c r="M11" s="71">
        <f t="shared" si="0"/>
        <v>-866500</v>
      </c>
      <c r="N11" s="169">
        <f t="shared" si="1"/>
        <v>-0.57766666666666666</v>
      </c>
      <c r="O11" s="88">
        <f>IFERROR(VLOOKUP($B$4:$B$66,#REF!,MATCH('FY-(26-27)Q1'!$O$2:$P$2,#REF!,0),0),0)</f>
        <v>0</v>
      </c>
      <c r="P11" s="127">
        <f>IFERROR(VLOOKUP($B$4:$B$66,#REF!,MATCH('FY-(26-27)Q1'!$O$2:$P$2,#REF!,0),0),0)</f>
        <v>0</v>
      </c>
      <c r="Q11" s="88">
        <f>IFERROR(VLOOKUP($B$4:$B$66,#REF!,MATCH('FY-(26-27)Q1'!$Q$2:$R$2,#REF!,0),0),0)</f>
        <v>0</v>
      </c>
      <c r="R11" s="127">
        <f>IFERROR(VLOOKUP($B$4:$B$66,#REF!,MATCH('FY-(26-27)Q1'!$Q$2:$R$2,#REF!,0),0),0)</f>
        <v>0</v>
      </c>
      <c r="S11" s="45"/>
      <c r="T11" s="72"/>
      <c r="U11"/>
      <c r="V11" s="157">
        <f t="shared" si="2"/>
        <v>-866500</v>
      </c>
      <c r="W11" s="171">
        <f t="shared" si="3"/>
        <v>-0.57766666666666666</v>
      </c>
    </row>
    <row r="12" spans="2:23" s="135" customFormat="1" ht="15" customHeight="1" x14ac:dyDescent="0.25">
      <c r="B12" s="146" t="s">
        <v>82</v>
      </c>
      <c r="C12" s="144" t="s">
        <v>55</v>
      </c>
      <c r="D12" s="144" t="s">
        <v>81</v>
      </c>
      <c r="E12" s="146" t="s">
        <v>109</v>
      </c>
      <c r="F12" s="160">
        <v>2</v>
      </c>
      <c r="G12" s="156">
        <f>IFERROR(VLOOKUP($B$3:$B$128,'APR-2026'!$A$4:$ABW$112,MATCH('FY-(26-27)Q1'!$G$2:$H$2,'APR-2026'!$A$2:$BX$2,0),0),0)</f>
        <v>803317</v>
      </c>
      <c r="H12" s="158">
        <f>IFERROR(VLOOKUP($B$3:$B$128,'APR-2026'!$A$4:$ABW$112,MATCH('FY-(26-27)Q1'!$G$2:$H$2,'APR-2026'!$A$2:$BX$2,0),0),0)</f>
        <v>4.0165850000000001</v>
      </c>
      <c r="I12" s="156">
        <f>IFERROR(VLOOKUP($B$3:$B$128,'MAY-2026'!$A$4:$ACO$113,MATCH('FY-(26-27)Q1'!$I$2:$J$2,'MAY-2026'!$A$2:$CP$2,0),0),0)</f>
        <v>0</v>
      </c>
      <c r="J12" s="158">
        <f>IFERROR(VLOOKUP($B$3:$B$128,'MAY-2026'!$A$4:$ACO$113,MATCH('FY-(26-27)Q1'!$I$2:$J$2,'MAY-2026'!$A$2:$CP$2,0),0),0)</f>
        <v>0</v>
      </c>
      <c r="K12" s="156">
        <f>IFERROR(VLOOKUP($B$3:$B$128,'JUNE-2026'!$A$4:$ACT$113,MATCH('FY-(26-27)Q1'!$K$2:$L$2,'JUNE-2026'!$A$2:$CU$2,0),0),0)</f>
        <v>0</v>
      </c>
      <c r="L12" s="158">
        <f>IFERROR(VLOOKUP($B$3:$B$128,'JUNE-2026'!$A$4:$ACT$113,MATCH('FY-(26-27)Q1'!$K$2:$L$2,'JUNE-2026'!$A$2:$CU$2,0),0),0)</f>
        <v>0</v>
      </c>
      <c r="M12" s="71">
        <f t="shared" si="0"/>
        <v>803317</v>
      </c>
      <c r="N12" s="169">
        <f t="shared" si="1"/>
        <v>4.0165850000000001</v>
      </c>
      <c r="O12" s="156">
        <f>IFERROR(VLOOKUP($B$4:$B$66,#REF!,MATCH('FY-(26-27)Q1'!$O$2:$P$2,#REF!,0),0),0)</f>
        <v>0</v>
      </c>
      <c r="P12" s="162">
        <f>IFERROR(VLOOKUP($B$4:$B$66,#REF!,MATCH('FY-(26-27)Q1'!$O$2:$P$2,#REF!,0),0),0)</f>
        <v>0</v>
      </c>
      <c r="Q12" s="156">
        <f>IFERROR(VLOOKUP($B$4:$B$66,#REF!,MATCH('FY-(26-27)Q1'!$Q$2:$R$2,#REF!,0),0),0)</f>
        <v>0</v>
      </c>
      <c r="R12" s="162">
        <f>IFERROR(VLOOKUP($B$4:$B$66,#REF!,MATCH('FY-(26-27)Q1'!$Q$2:$R$2,#REF!,0),0),0)</f>
        <v>0</v>
      </c>
      <c r="S12" s="147"/>
      <c r="T12" s="153"/>
      <c r="U12" s="1"/>
      <c r="V12" s="157">
        <f t="shared" si="2"/>
        <v>803317</v>
      </c>
      <c r="W12" s="171">
        <f t="shared" si="3"/>
        <v>4.0165850000000001</v>
      </c>
    </row>
    <row r="13" spans="2:23" s="1" customFormat="1" ht="15" customHeight="1" x14ac:dyDescent="0.25">
      <c r="B13" s="146" t="s">
        <v>193</v>
      </c>
      <c r="C13" s="144" t="s">
        <v>185</v>
      </c>
      <c r="D13" s="144" t="s">
        <v>184</v>
      </c>
      <c r="E13" s="146" t="s">
        <v>114</v>
      </c>
      <c r="F13" s="160">
        <v>3</v>
      </c>
      <c r="G13" s="156">
        <f>IFERROR(VLOOKUP($B$3:$B$128,'APR-2026'!$A$4:$ABW$112,MATCH('FY-(26-27)Q1'!$G$2:$H$2,'APR-2026'!$A$2:$BX$2,0),0),0)</f>
        <v>88900</v>
      </c>
      <c r="H13" s="158">
        <f>IFERROR(VLOOKUP($B$3:$B$128,'APR-2026'!$A$4:$ABW$112,MATCH('FY-(26-27)Q1'!$G$2:$H$2,'APR-2026'!$A$2:$BX$2,0),0),0)</f>
        <v>0.29633333333333328</v>
      </c>
      <c r="I13" s="156">
        <f>IFERROR(VLOOKUP($B$3:$B$128,'MAY-2026'!$A$4:$ACO$113,MATCH('FY-(26-27)Q1'!$I$2:$J$2,'MAY-2026'!$A$2:$CP$2,0),0),0)</f>
        <v>-191000</v>
      </c>
      <c r="J13" s="158">
        <f>IFERROR(VLOOKUP($B$3:$B$128,'MAY-2026'!$A$4:$ACO$113,MATCH('FY-(26-27)Q1'!$I$2:$J$2,'MAY-2026'!$A$2:$CP$2,0),0),0)</f>
        <v>-0.6366666666666666</v>
      </c>
      <c r="K13" s="156">
        <f>IFERROR(VLOOKUP($B$3:$B$128,'JUNE-2026'!$A$4:$ACT$113,MATCH('FY-(26-27)Q1'!$K$2:$L$2,'JUNE-2026'!$A$2:$CU$2,0),0),0)</f>
        <v>0</v>
      </c>
      <c r="L13" s="158">
        <f>IFERROR(VLOOKUP($B$3:$B$128,'JUNE-2026'!$A$4:$ACT$113,MATCH('FY-(26-27)Q1'!$K$2:$L$2,'JUNE-2026'!$A$2:$CU$2,0),0),0)</f>
        <v>0</v>
      </c>
      <c r="M13" s="71">
        <f t="shared" ref="M13" si="11">G13+I13+K13</f>
        <v>-102100</v>
      </c>
      <c r="N13" s="169">
        <f t="shared" ref="N13" si="12">H13+J13+L13</f>
        <v>-0.34033333333333332</v>
      </c>
      <c r="O13" s="156">
        <f>IFERROR(VLOOKUP($B$4:$B$66,#REF!,MATCH('FY-(26-27)Q1'!$O$2:$P$2,#REF!,0),0),0)</f>
        <v>0</v>
      </c>
      <c r="P13" s="162">
        <f>IFERROR(VLOOKUP($B$4:$B$66,#REF!,MATCH('FY-(26-27)Q1'!$O$2:$P$2,#REF!,0),0),0)</f>
        <v>0</v>
      </c>
      <c r="Q13" s="156">
        <f>IFERROR(VLOOKUP($B$4:$B$66,#REF!,MATCH('FY-(26-27)Q1'!$Q$2:$R$2,#REF!,0),0),0)</f>
        <v>0</v>
      </c>
      <c r="R13" s="162">
        <f>IFERROR(VLOOKUP($B$4:$B$66,#REF!,MATCH('FY-(26-27)Q1'!$Q$2:$R$2,#REF!,0),0),0)</f>
        <v>0</v>
      </c>
      <c r="S13" s="147"/>
      <c r="T13" s="153"/>
      <c r="U13" s="135"/>
      <c r="V13" s="157">
        <f t="shared" si="2"/>
        <v>-102100</v>
      </c>
      <c r="W13" s="171">
        <f t="shared" si="3"/>
        <v>-0.34033333333333332</v>
      </c>
    </row>
    <row r="14" spans="2:23" ht="15" customHeight="1" x14ac:dyDescent="0.25">
      <c r="B14" s="146" t="s">
        <v>192</v>
      </c>
      <c r="C14" s="144" t="s">
        <v>186</v>
      </c>
      <c r="D14" s="144" t="s">
        <v>182</v>
      </c>
      <c r="E14" s="146" t="s">
        <v>114</v>
      </c>
      <c r="F14" s="160">
        <v>3</v>
      </c>
      <c r="G14" s="156">
        <f>IFERROR(VLOOKUP($B$3:$B$128,'APR-2026'!$A$4:$ABW$112,MATCH('FY-(26-27)Q1'!$G$2:$H$2,'APR-2026'!$A$2:$BX$2,0),0),0)</f>
        <v>63500</v>
      </c>
      <c r="H14" s="158">
        <f>IFERROR(VLOOKUP($B$3:$B$128,'APR-2026'!$A$4:$ABW$112,MATCH('FY-(26-27)Q1'!$G$2:$H$2,'APR-2026'!$A$2:$BX$2,0),0),0)</f>
        <v>0.2116666666666667</v>
      </c>
      <c r="I14" s="156">
        <f>IFERROR(VLOOKUP($B$3:$B$128,'MAY-2026'!$A$4:$ACO$113,MATCH('FY-(26-27)Q1'!$I$2:$J$2,'MAY-2026'!$A$2:$CP$2,0),0),0)</f>
        <v>-244500</v>
      </c>
      <c r="J14" s="158">
        <f>IFERROR(VLOOKUP($B$3:$B$128,'MAY-2026'!$A$4:$ACO$113,MATCH('FY-(26-27)Q1'!$I$2:$J$2,'MAY-2026'!$A$2:$CP$2,0),0),0)</f>
        <v>-0.81499999999999995</v>
      </c>
      <c r="K14" s="156">
        <f>IFERROR(VLOOKUP($B$3:$B$128,'JUNE-2026'!$A$4:$ACT$113,MATCH('FY-(26-27)Q1'!$K$2:$L$2,'JUNE-2026'!$A$2:$CU$2,0),0),0)</f>
        <v>0</v>
      </c>
      <c r="L14" s="158">
        <f>IFERROR(VLOOKUP($B$3:$B$128,'JUNE-2026'!$A$4:$ACT$113,MATCH('FY-(26-27)Q1'!$K$2:$L$2,'JUNE-2026'!$A$2:$CU$2,0),0),0)</f>
        <v>0</v>
      </c>
      <c r="M14" s="71">
        <f t="shared" si="0"/>
        <v>-181000</v>
      </c>
      <c r="N14" s="169">
        <f t="shared" si="1"/>
        <v>-0.60333333333333328</v>
      </c>
      <c r="O14" s="156">
        <f>IFERROR(VLOOKUP($B$4:$B$66,#REF!,MATCH('FY-(26-27)Q1'!$O$2:$P$2,#REF!,0),0),0)</f>
        <v>0</v>
      </c>
      <c r="P14" s="162">
        <f>IFERROR(VLOOKUP($B$4:$B$66,#REF!,MATCH('FY-(26-27)Q1'!$O$2:$P$2,#REF!,0),0),0)</f>
        <v>0</v>
      </c>
      <c r="Q14" s="156">
        <f>IFERROR(VLOOKUP($B$4:$B$66,#REF!,MATCH('FY-(26-27)Q1'!$Q$2:$R$2,#REF!,0),0),0)</f>
        <v>0</v>
      </c>
      <c r="R14" s="162">
        <f>IFERROR(VLOOKUP($B$4:$B$66,#REF!,MATCH('FY-(26-27)Q1'!$Q$2:$R$2,#REF!,0),0),0)</f>
        <v>0</v>
      </c>
      <c r="S14" s="147"/>
      <c r="T14" s="153"/>
      <c r="U14" s="1"/>
      <c r="V14" s="157">
        <f t="shared" si="2"/>
        <v>-181000</v>
      </c>
      <c r="W14" s="171">
        <f t="shared" si="3"/>
        <v>-0.60333333333333328</v>
      </c>
    </row>
    <row r="15" spans="2:23" ht="15" customHeight="1" x14ac:dyDescent="0.25">
      <c r="B15" s="36" t="s">
        <v>125</v>
      </c>
      <c r="C15" s="34" t="s">
        <v>124</v>
      </c>
      <c r="D15" s="34" t="s">
        <v>244</v>
      </c>
      <c r="E15" s="39" t="s">
        <v>118</v>
      </c>
      <c r="F15" s="118">
        <v>1</v>
      </c>
      <c r="G15" s="156">
        <f>IFERROR(VLOOKUP($B$3:$B$128,'APR-2026'!$A$4:$ABW$112,MATCH('FY-(26-27)Q1'!$G$2:$H$2,'APR-2026'!$A$2:$BX$2,0),0),0)</f>
        <v>460500</v>
      </c>
      <c r="H15" s="158">
        <f>IFERROR(VLOOKUP($B$3:$B$128,'APR-2026'!$A$4:$ABW$112,MATCH('FY-(26-27)Q1'!$G$2:$H$2,'APR-2026'!$A$2:$BX$2,0),0),0)</f>
        <v>1.5349999999999999</v>
      </c>
      <c r="I15" s="156">
        <f>IFERROR(VLOOKUP($B$3:$B$128,'MAY-2026'!$A$4:$ACO$113,MATCH('FY-(26-27)Q1'!$I$2:$J$2,'MAY-2026'!$A$2:$CP$2,0),0),0)</f>
        <v>-255000</v>
      </c>
      <c r="J15" s="158">
        <f>IFERROR(VLOOKUP($B$3:$B$128,'MAY-2026'!$A$4:$ACO$113,MATCH('FY-(26-27)Q1'!$I$2:$J$2,'MAY-2026'!$A$2:$CP$2,0),0),0)</f>
        <v>-0.63749999999999996</v>
      </c>
      <c r="K15" s="156">
        <f>IFERROR(VLOOKUP($B$3:$B$128,'JUNE-2026'!$A$4:$ACT$113,MATCH('FY-(26-27)Q1'!$K$2:$L$2,'JUNE-2026'!$A$2:$CU$2,0),0),0)</f>
        <v>0</v>
      </c>
      <c r="L15" s="158">
        <f>IFERROR(VLOOKUP($B$3:$B$128,'JUNE-2026'!$A$4:$ACT$113,MATCH('FY-(26-27)Q1'!$K$2:$L$2,'JUNE-2026'!$A$2:$CU$2,0),0),0)</f>
        <v>0</v>
      </c>
      <c r="M15" s="71">
        <f t="shared" si="0"/>
        <v>205500</v>
      </c>
      <c r="N15" s="169">
        <f t="shared" si="1"/>
        <v>0.89749999999999996</v>
      </c>
      <c r="O15" s="88">
        <f>IFERROR(VLOOKUP($B$4:$B$66,#REF!,MATCH('FY-(26-27)Q1'!$O$2:$P$2,#REF!,0),0),0)</f>
        <v>0</v>
      </c>
      <c r="P15" s="127">
        <f>IFERROR(VLOOKUP($B$4:$B$66,#REF!,MATCH('FY-(26-27)Q1'!$O$2:$P$2,#REF!,0),0),0)</f>
        <v>0</v>
      </c>
      <c r="Q15" s="88">
        <f>IFERROR(VLOOKUP($B$4:$B$66,#REF!,MATCH('FY-(26-27)Q1'!$Q$2:$R$2,#REF!,0),0),0)</f>
        <v>0</v>
      </c>
      <c r="R15" s="127">
        <f>IFERROR(VLOOKUP($B$4:$B$66,#REF!,MATCH('FY-(26-27)Q1'!$Q$2:$R$2,#REF!,0),0),0)</f>
        <v>0</v>
      </c>
      <c r="S15" s="45"/>
      <c r="T15" s="72"/>
      <c r="V15" s="157">
        <f t="shared" si="2"/>
        <v>205500</v>
      </c>
      <c r="W15" s="171">
        <f t="shared" si="3"/>
        <v>0.89749999999999996</v>
      </c>
    </row>
    <row r="16" spans="2:23" ht="15" customHeight="1" x14ac:dyDescent="0.25">
      <c r="B16" s="36" t="s">
        <v>139</v>
      </c>
      <c r="C16" s="34" t="s">
        <v>124</v>
      </c>
      <c r="D16" s="34" t="s">
        <v>138</v>
      </c>
      <c r="E16" s="39"/>
      <c r="F16" s="118">
        <v>6</v>
      </c>
      <c r="G16" s="156">
        <f>IFERROR(VLOOKUP($B$3:$B$128,'APR-2026'!$A$4:$ABW$112,MATCH('FY-(26-27)Q1'!$G$2:$H$2,'APR-2026'!$A$2:$BX$2,0),0),0)</f>
        <v>-168658</v>
      </c>
      <c r="H16" s="158">
        <f>IFERROR(VLOOKUP($B$3:$B$128,'APR-2026'!$A$4:$ABW$112,MATCH('FY-(26-27)Q1'!$G$2:$H$2,'APR-2026'!$A$2:$BX$2,0),0),0)</f>
        <v>-3.3731599999999999</v>
      </c>
      <c r="I16" s="156">
        <f>IFERROR(VLOOKUP($B$3:$B$128,'MAY-2026'!$A$4:$ACO$113,MATCH('FY-(26-27)Q1'!$I$2:$J$2,'MAY-2026'!$A$2:$CP$2,0),0),0)</f>
        <v>-103041</v>
      </c>
      <c r="J16" s="158">
        <f>IFERROR(VLOOKUP($B$3:$B$128,'MAY-2026'!$A$4:$ACO$113,MATCH('FY-(26-27)Q1'!$I$2:$J$2,'MAY-2026'!$A$2:$CP$2,0),0),0)</f>
        <v>-0.171735</v>
      </c>
      <c r="K16" s="156">
        <f>IFERROR(VLOOKUP($B$3:$B$128,'JUNE-2026'!$A$4:$ACT$113,MATCH('FY-(26-27)Q1'!$K$2:$L$2,'JUNE-2026'!$A$2:$CU$2,0),0),0)</f>
        <v>139172</v>
      </c>
      <c r="L16" s="158">
        <f>IFERROR(VLOOKUP($B$3:$B$128,'JUNE-2026'!$A$4:$ACT$113,MATCH('FY-(26-27)Q1'!$K$2:$L$2,'JUNE-2026'!$A$2:$CU$2,0),0),0)</f>
        <v>0.23195333333333329</v>
      </c>
      <c r="M16" s="71">
        <f t="shared" si="0"/>
        <v>-132527</v>
      </c>
      <c r="N16" s="169">
        <f t="shared" si="1"/>
        <v>-3.3129416666666667</v>
      </c>
      <c r="O16" s="88">
        <f>IFERROR(VLOOKUP($B$4:$B$66,#REF!,MATCH('FY-(26-27)Q1'!$O$2:$P$2,#REF!,0),0),0)</f>
        <v>0</v>
      </c>
      <c r="P16" s="127">
        <f>IFERROR(VLOOKUP($B$4:$B$66,#REF!,MATCH('FY-(26-27)Q1'!$O$2:$P$2,#REF!,0),0),0)</f>
        <v>0</v>
      </c>
      <c r="Q16" s="88">
        <f>IFERROR(VLOOKUP($B$4:$B$66,#REF!,MATCH('FY-(26-27)Q1'!$Q$2:$R$2,#REF!,0),0),0)</f>
        <v>0</v>
      </c>
      <c r="R16" s="127">
        <f>IFERROR(VLOOKUP($B$4:$B$66,#REF!,MATCH('FY-(26-27)Q1'!$Q$2:$R$2,#REF!,0),0),0)</f>
        <v>0</v>
      </c>
      <c r="S16" s="45"/>
      <c r="T16" s="72"/>
      <c r="V16" s="157">
        <f t="shared" si="2"/>
        <v>-132527</v>
      </c>
      <c r="W16" s="171">
        <f t="shared" si="3"/>
        <v>-3.3129416666666667</v>
      </c>
    </row>
    <row r="17" spans="2:31" s="135" customFormat="1" ht="15" customHeight="1" x14ac:dyDescent="0.25">
      <c r="B17" s="146" t="s">
        <v>42</v>
      </c>
      <c r="C17" s="144" t="s">
        <v>235</v>
      </c>
      <c r="D17" s="144" t="s">
        <v>86</v>
      </c>
      <c r="E17" s="146" t="s">
        <v>108</v>
      </c>
      <c r="F17" s="160">
        <v>1</v>
      </c>
      <c r="G17" s="156">
        <f>IFERROR(VLOOKUP($B$3:$B$128,'APR-2026'!$A$4:$ABW$112,MATCH('FY-(26-27)Q1'!$G$2:$H$2,'APR-2026'!$A$2:$BX$2,0),0),0)</f>
        <v>4927</v>
      </c>
      <c r="H17" s="158">
        <f>IFERROR(VLOOKUP($B$3:$B$128,'APR-2026'!$A$4:$ABW$112,MATCH('FY-(26-27)Q1'!$G$2:$H$2,'APR-2026'!$A$2:$BX$2,0),0),0)</f>
        <v>4.9270000000000001E-2</v>
      </c>
      <c r="I17" s="156">
        <f>IFERROR(VLOOKUP($B$3:$B$128,'MAY-2026'!$A$4:$ACO$113,MATCH('FY-(26-27)Q1'!$I$2:$J$2,'MAY-2026'!$A$2:$CP$2,0),0),0)</f>
        <v>1404</v>
      </c>
      <c r="J17" s="158">
        <f>IFERROR(VLOOKUP($B$3:$B$128,'MAY-2026'!$A$4:$ACO$113,MATCH('FY-(26-27)Q1'!$I$2:$J$2,'MAY-2026'!$A$2:$CP$2,0),0),0)</f>
        <v>1.404E-2</v>
      </c>
      <c r="K17" s="156">
        <f>IFERROR(VLOOKUP($B$3:$B$128,'JUNE-2026'!$A$4:$ACT$113,MATCH('FY-(26-27)Q1'!$K$2:$L$2,'JUNE-2026'!$A$2:$CU$2,0),0),0)</f>
        <v>-2320</v>
      </c>
      <c r="L17" s="158">
        <f>IFERROR(VLOOKUP($B$3:$B$128,'JUNE-2026'!$A$4:$ACT$113,MATCH('FY-(26-27)Q1'!$K$2:$L$2,'JUNE-2026'!$A$2:$CU$2,0),0),0)</f>
        <v>-2.3199999999999998E-2</v>
      </c>
      <c r="M17" s="71">
        <f t="shared" ref="M17" si="13">G17+I17+K17</f>
        <v>4011</v>
      </c>
      <c r="N17" s="169">
        <f t="shared" ref="N17" si="14">H17+J17+L17</f>
        <v>4.0110000000000007E-2</v>
      </c>
      <c r="O17" s="156">
        <f>IFERROR(VLOOKUP($B$4:$B$66,#REF!,MATCH('FY-(26-27)Q1'!$O$2:$P$2,#REF!,0),0),0)</f>
        <v>0</v>
      </c>
      <c r="P17" s="162">
        <f>IFERROR(VLOOKUP($B$4:$B$66,#REF!,MATCH('FY-(26-27)Q1'!$O$2:$P$2,#REF!,0),0),0)</f>
        <v>0</v>
      </c>
      <c r="Q17" s="156">
        <f>IFERROR(VLOOKUP($B$4:$B$66,#REF!,MATCH('FY-(26-27)Q1'!$Q$2:$R$2,#REF!,0),0),0)</f>
        <v>0</v>
      </c>
      <c r="R17" s="162">
        <f>IFERROR(VLOOKUP($B$4:$B$66,#REF!,MATCH('FY-(26-27)Q1'!$Q$2:$R$2,#REF!,0),0),0)</f>
        <v>0</v>
      </c>
      <c r="S17" s="147"/>
      <c r="T17" s="153"/>
      <c r="V17" s="157">
        <f t="shared" ref="V17" si="15">M17+O17+Q17+S17</f>
        <v>4011</v>
      </c>
      <c r="W17" s="171">
        <f t="shared" ref="W17" si="16">(N17+P17+R17+T17)</f>
        <v>4.0110000000000007E-2</v>
      </c>
    </row>
    <row r="18" spans="2:31" ht="15" customHeight="1" x14ac:dyDescent="0.25">
      <c r="B18" s="35" t="s">
        <v>84</v>
      </c>
      <c r="C18" s="34" t="s">
        <v>235</v>
      </c>
      <c r="D18" s="34" t="s">
        <v>83</v>
      </c>
      <c r="E18" s="39" t="s">
        <v>109</v>
      </c>
      <c r="F18" s="118">
        <v>1</v>
      </c>
      <c r="G18" s="156">
        <f>IFERROR(VLOOKUP($B$3:$B$128,'APR-2026'!$A$4:$ABW$112,MATCH('FY-(26-27)Q1'!$G$2:$H$2,'APR-2026'!$A$2:$BX$2,0),0),0)</f>
        <v>1240967</v>
      </c>
      <c r="H18" s="158">
        <f>IFERROR(VLOOKUP($B$3:$B$128,'APR-2026'!$A$4:$ABW$112,MATCH('FY-(26-27)Q1'!$G$2:$H$2,'APR-2026'!$A$2:$BX$2,0),0),0)</f>
        <v>12.40967</v>
      </c>
      <c r="I18" s="156">
        <f>IFERROR(VLOOKUP($B$3:$B$128,'MAY-2026'!$A$4:$ACO$113,MATCH('FY-(26-27)Q1'!$I$2:$J$2,'MAY-2026'!$A$2:$CP$2,0),0),0)</f>
        <v>0</v>
      </c>
      <c r="J18" s="158">
        <f>IFERROR(VLOOKUP($B$3:$B$128,'MAY-2026'!$A$4:$ACO$113,MATCH('FY-(26-27)Q1'!$I$2:$J$2,'MAY-2026'!$A$2:$CP$2,0),0),0)</f>
        <v>0</v>
      </c>
      <c r="K18" s="156">
        <f>IFERROR(VLOOKUP($B$3:$B$128,'JUNE-2026'!$A$4:$ACT$113,MATCH('FY-(26-27)Q1'!$K$2:$L$2,'JUNE-2026'!$A$2:$CU$2,0),0),0)</f>
        <v>0</v>
      </c>
      <c r="L18" s="158">
        <f>IFERROR(VLOOKUP($B$3:$B$128,'JUNE-2026'!$A$4:$ACT$113,MATCH('FY-(26-27)Q1'!$K$2:$L$2,'JUNE-2026'!$A$2:$CU$2,0),0),0)</f>
        <v>0</v>
      </c>
      <c r="M18" s="71">
        <f t="shared" si="0"/>
        <v>1240967</v>
      </c>
      <c r="N18" s="169">
        <f t="shared" si="1"/>
        <v>12.40967</v>
      </c>
      <c r="O18" s="88">
        <f>IFERROR(VLOOKUP($B$4:$B$66,#REF!,MATCH('FY-(26-27)Q1'!$O$2:$P$2,#REF!,0),0),0)</f>
        <v>0</v>
      </c>
      <c r="P18" s="127">
        <f>IFERROR(VLOOKUP($B$4:$B$66,#REF!,MATCH('FY-(26-27)Q1'!$O$2:$P$2,#REF!,0),0),0)</f>
        <v>0</v>
      </c>
      <c r="Q18" s="88">
        <f>IFERROR(VLOOKUP($B$4:$B$66,#REF!,MATCH('FY-(26-27)Q1'!$Q$2:$R$2,#REF!,0),0),0)</f>
        <v>0</v>
      </c>
      <c r="R18" s="127">
        <f>IFERROR(VLOOKUP($B$4:$B$66,#REF!,MATCH('FY-(26-27)Q1'!$Q$2:$R$2,#REF!,0),0),0)</f>
        <v>0</v>
      </c>
      <c r="S18" s="45"/>
      <c r="T18" s="72"/>
      <c r="U18" s="135"/>
      <c r="V18" s="157">
        <f t="shared" si="2"/>
        <v>1240967</v>
      </c>
      <c r="W18" s="171">
        <f t="shared" si="3"/>
        <v>12.40967</v>
      </c>
      <c r="X18" s="135"/>
      <c r="Y18" s="135"/>
      <c r="Z18" s="135"/>
      <c r="AA18" s="135"/>
      <c r="AB18" s="135"/>
      <c r="AC18" s="135"/>
      <c r="AD18" s="135"/>
      <c r="AE18" s="135"/>
    </row>
    <row r="19" spans="2:31" ht="15" customHeight="1" x14ac:dyDescent="0.25">
      <c r="B19" s="35" t="s">
        <v>216</v>
      </c>
      <c r="C19" s="34" t="s">
        <v>235</v>
      </c>
      <c r="D19" s="35" t="s">
        <v>12</v>
      </c>
      <c r="E19" s="37" t="s">
        <v>39</v>
      </c>
      <c r="F19" s="117">
        <v>1</v>
      </c>
      <c r="G19" s="156">
        <f>IFERROR(VLOOKUP($B$3:$B$128,'APR-2026'!$A$4:$ABW$112,MATCH('FY-(26-27)Q1'!$G$2:$H$2,'APR-2026'!$A$2:$BX$2,0),0),0)</f>
        <v>0</v>
      </c>
      <c r="H19" s="158">
        <f>IFERROR(VLOOKUP($B$3:$B$128,'APR-2026'!$A$4:$ABW$112,MATCH('FY-(26-27)Q1'!$G$2:$H$2,'APR-2026'!$A$2:$BX$2,0),0),0)</f>
        <v>0</v>
      </c>
      <c r="I19" s="156">
        <f>IFERROR(VLOOKUP($B$3:$B$128,'MAY-2026'!$A$4:$ACO$113,MATCH('FY-(26-27)Q1'!$I$2:$J$2,'MAY-2026'!$A$2:$CP$2,0),0),0)</f>
        <v>-35229</v>
      </c>
      <c r="J19" s="158">
        <f>IFERROR(VLOOKUP($B$3:$B$128,'MAY-2026'!$A$4:$ACO$113,MATCH('FY-(26-27)Q1'!$I$2:$J$2,'MAY-2026'!$A$2:$CP$2,0),0),0)</f>
        <v>-0.35228999999999999</v>
      </c>
      <c r="K19" s="156">
        <f>IFERROR(VLOOKUP($B$3:$B$128,'JUNE-2026'!$A$4:$ACT$113,MATCH('FY-(26-27)Q1'!$K$2:$L$2,'JUNE-2026'!$A$2:$CU$2,0),0),0)</f>
        <v>-157623</v>
      </c>
      <c r="L19" s="158">
        <f>IFERROR(VLOOKUP($B$3:$B$128,'JUNE-2026'!$A$4:$ACT$113,MATCH('FY-(26-27)Q1'!$K$2:$L$2,'JUNE-2026'!$A$2:$CU$2,0),0),0)</f>
        <v>-1.57623</v>
      </c>
      <c r="M19" s="71">
        <f t="shared" si="0"/>
        <v>-192852</v>
      </c>
      <c r="N19" s="169">
        <f t="shared" si="1"/>
        <v>-1.92852</v>
      </c>
      <c r="O19" s="88">
        <f>IFERROR(VLOOKUP($B$4:$B$66,#REF!,MATCH('FY-(26-27)Q1'!$O$2:$P$2,#REF!,0),0),0)</f>
        <v>0</v>
      </c>
      <c r="P19" s="127">
        <f>IFERROR(VLOOKUP($B$4:$B$66,#REF!,MATCH('FY-(26-27)Q1'!$O$2:$P$2,#REF!,0),0),0)</f>
        <v>0</v>
      </c>
      <c r="Q19" s="88">
        <f>IFERROR(VLOOKUP($B$4:$B$66,#REF!,MATCH('FY-(26-27)Q1'!$Q$2:$R$2,#REF!,0),0),0)</f>
        <v>0</v>
      </c>
      <c r="R19" s="127">
        <f>IFERROR(VLOOKUP($B$4:$B$66,#REF!,MATCH('FY-(26-27)Q1'!$Q$2:$R$2,#REF!,0),0),0)</f>
        <v>0</v>
      </c>
      <c r="S19" s="45"/>
      <c r="T19" s="72"/>
      <c r="V19" s="157">
        <f t="shared" si="2"/>
        <v>-192852</v>
      </c>
      <c r="W19" s="171">
        <f t="shared" si="3"/>
        <v>-1.92852</v>
      </c>
    </row>
    <row r="20" spans="2:31" ht="15" customHeight="1" x14ac:dyDescent="0.25">
      <c r="B20" s="35" t="s">
        <v>51</v>
      </c>
      <c r="C20" s="34" t="s">
        <v>235</v>
      </c>
      <c r="D20" s="34" t="s">
        <v>230</v>
      </c>
      <c r="E20" s="37" t="s">
        <v>39</v>
      </c>
      <c r="F20" s="117">
        <v>1</v>
      </c>
      <c r="G20" s="156">
        <f>IFERROR(VLOOKUP($B$3:$B$128,'APR-2026'!$A$4:$ABW$112,MATCH('FY-(26-27)Q1'!$G$2:$H$2,'APR-2026'!$A$2:$BX$2,0),0),0)</f>
        <v>0</v>
      </c>
      <c r="H20" s="158">
        <f>IFERROR(VLOOKUP($B$3:$B$128,'APR-2026'!$A$4:$ABW$112,MATCH('FY-(26-27)Q1'!$G$2:$H$2,'APR-2026'!$A$2:$BX$2,0),0),0)</f>
        <v>0</v>
      </c>
      <c r="I20" s="156">
        <f>IFERROR(VLOOKUP($B$3:$B$128,'MAY-2026'!$A$4:$ACO$113,MATCH('FY-(26-27)Q1'!$I$2:$J$2,'MAY-2026'!$A$2:$CP$2,0),0),0)</f>
        <v>-88900</v>
      </c>
      <c r="J20" s="158">
        <f>IFERROR(VLOOKUP($B$3:$B$128,'MAY-2026'!$A$4:$ACO$113,MATCH('FY-(26-27)Q1'!$I$2:$J$2,'MAY-2026'!$A$2:$CP$2,0),0),0)</f>
        <v>-0.88900000000000001</v>
      </c>
      <c r="K20" s="156">
        <f>IFERROR(VLOOKUP($B$3:$B$128,'JUNE-2026'!$A$4:$ACT$113,MATCH('FY-(26-27)Q1'!$K$2:$L$2,'JUNE-2026'!$A$2:$CU$2,0),0),0)</f>
        <v>0</v>
      </c>
      <c r="L20" s="158">
        <f>IFERROR(VLOOKUP($B$3:$B$128,'JUNE-2026'!$A$4:$ACT$113,MATCH('FY-(26-27)Q1'!$K$2:$L$2,'JUNE-2026'!$A$2:$CU$2,0),0),0)</f>
        <v>0</v>
      </c>
      <c r="M20" s="71">
        <f t="shared" si="0"/>
        <v>-88900</v>
      </c>
      <c r="N20" s="169">
        <f t="shared" si="1"/>
        <v>-0.88900000000000001</v>
      </c>
      <c r="O20" s="88">
        <f>IFERROR(VLOOKUP($B$4:$B$66,#REF!,MATCH('FY-(26-27)Q1'!$O$2:$P$2,#REF!,0),0),0)</f>
        <v>0</v>
      </c>
      <c r="P20" s="127">
        <f>IFERROR(VLOOKUP($B$4:$B$66,#REF!,MATCH('FY-(26-27)Q1'!$O$2:$P$2,#REF!,0),0),0)</f>
        <v>0</v>
      </c>
      <c r="Q20" s="88">
        <f>IFERROR(VLOOKUP($B$4:$B$66,#REF!,MATCH('FY-(26-27)Q1'!$Q$2:$R$2,#REF!,0),0),0)</f>
        <v>0</v>
      </c>
      <c r="R20" s="127">
        <f>IFERROR(VLOOKUP($B$4:$B$66,#REF!,MATCH('FY-(26-27)Q1'!$Q$2:$R$2,#REF!,0),0),0)</f>
        <v>0</v>
      </c>
      <c r="S20" s="45"/>
      <c r="T20" s="72"/>
      <c r="V20" s="157">
        <f t="shared" si="2"/>
        <v>-88900</v>
      </c>
      <c r="W20" s="171">
        <f t="shared" si="3"/>
        <v>-0.88900000000000001</v>
      </c>
    </row>
    <row r="21" spans="2:31" ht="15" customHeight="1" x14ac:dyDescent="0.25">
      <c r="B21" s="35" t="s">
        <v>63</v>
      </c>
      <c r="C21" s="34" t="s">
        <v>235</v>
      </c>
      <c r="D21" s="34" t="s">
        <v>229</v>
      </c>
      <c r="E21" s="37" t="s">
        <v>39</v>
      </c>
      <c r="F21" s="117">
        <v>1</v>
      </c>
      <c r="G21" s="156">
        <f>IFERROR(VLOOKUP($B$3:$B$128,'APR-2026'!$A$4:$ABW$112,MATCH('FY-(26-27)Q1'!$G$2:$H$2,'APR-2026'!$A$2:$BX$2,0),0),0)</f>
        <v>141000</v>
      </c>
      <c r="H21" s="158">
        <f>IFERROR(VLOOKUP($B$3:$B$128,'APR-2026'!$A$4:$ABW$112,MATCH('FY-(26-27)Q1'!$G$2:$H$2,'APR-2026'!$A$2:$BX$2,0),0),0)</f>
        <v>1.41</v>
      </c>
      <c r="I21" s="156">
        <f>IFERROR(VLOOKUP($B$3:$B$128,'MAY-2026'!$A$4:$ACO$113,MATCH('FY-(26-27)Q1'!$I$2:$J$2,'MAY-2026'!$A$2:$CP$2,0),0),0)</f>
        <v>-66086</v>
      </c>
      <c r="J21" s="158">
        <f>IFERROR(VLOOKUP($B$3:$B$128,'MAY-2026'!$A$4:$ACO$113,MATCH('FY-(26-27)Q1'!$I$2:$J$2,'MAY-2026'!$A$2:$CP$2,0),0),0)</f>
        <v>-0.66086</v>
      </c>
      <c r="K21" s="156">
        <f>IFERROR(VLOOKUP($B$3:$B$128,'JUNE-2026'!$A$4:$ACT$113,MATCH('FY-(26-27)Q1'!$K$2:$L$2,'JUNE-2026'!$A$2:$CU$2,0),0),0)</f>
        <v>0</v>
      </c>
      <c r="L21" s="158">
        <f>IFERROR(VLOOKUP($B$3:$B$128,'JUNE-2026'!$A$4:$ACT$113,MATCH('FY-(26-27)Q1'!$K$2:$L$2,'JUNE-2026'!$A$2:$CU$2,0),0),0)</f>
        <v>0</v>
      </c>
      <c r="M21" s="71">
        <f t="shared" si="0"/>
        <v>74914</v>
      </c>
      <c r="N21" s="169">
        <f t="shared" si="1"/>
        <v>0.74913999999999992</v>
      </c>
      <c r="O21" s="88">
        <f>IFERROR(VLOOKUP($B$4:$B$66,#REF!,MATCH('FY-(26-27)Q1'!$O$2:$P$2,#REF!,0),0),0)</f>
        <v>0</v>
      </c>
      <c r="P21" s="127">
        <f>IFERROR(VLOOKUP($B$4:$B$66,#REF!,MATCH('FY-(26-27)Q1'!$O$2:$P$2,#REF!,0),0),0)</f>
        <v>0</v>
      </c>
      <c r="Q21" s="88">
        <f>IFERROR(VLOOKUP($B$4:$B$66,#REF!,MATCH('FY-(26-27)Q1'!$Q$2:$R$2,#REF!,0),0),0)</f>
        <v>0</v>
      </c>
      <c r="R21" s="127">
        <f>IFERROR(VLOOKUP($B$4:$B$66,#REF!,MATCH('FY-(26-27)Q1'!$Q$2:$R$2,#REF!,0),0),0)</f>
        <v>0</v>
      </c>
      <c r="S21" s="45"/>
      <c r="T21" s="72"/>
      <c r="V21" s="157">
        <f t="shared" si="2"/>
        <v>74914</v>
      </c>
      <c r="W21" s="171">
        <f t="shared" si="3"/>
        <v>0.74913999999999992</v>
      </c>
    </row>
    <row r="22" spans="2:31" ht="15" customHeight="1" x14ac:dyDescent="0.25">
      <c r="B22" s="35" t="s">
        <v>43</v>
      </c>
      <c r="C22" s="34" t="s">
        <v>85</v>
      </c>
      <c r="D22" s="34" t="s">
        <v>86</v>
      </c>
      <c r="E22" s="37" t="s">
        <v>109</v>
      </c>
      <c r="F22" s="118">
        <v>1</v>
      </c>
      <c r="G22" s="156">
        <f>IFERROR(VLOOKUP($B$3:$B$128,'APR-2026'!$A$4:$ABW$112,MATCH('FY-(26-27)Q1'!$G$2:$H$2,'APR-2026'!$A$2:$BX$2,0),0),0)</f>
        <v>1642522</v>
      </c>
      <c r="H22" s="158">
        <f>IFERROR(VLOOKUP($B$3:$B$128,'APR-2026'!$A$4:$ABW$112,MATCH('FY-(26-27)Q1'!$G$2:$H$2,'APR-2026'!$A$2:$BX$2,0),0),0)</f>
        <v>16.425219999999999</v>
      </c>
      <c r="I22" s="156">
        <f>IFERROR(VLOOKUP($B$3:$B$128,'MAY-2026'!$A$4:$ACO$113,MATCH('FY-(26-27)Q1'!$I$2:$J$2,'MAY-2026'!$A$2:$CP$2,0),0),0)</f>
        <v>42324</v>
      </c>
      <c r="J22" s="158">
        <f>IFERROR(VLOOKUP($B$3:$B$128,'MAY-2026'!$A$4:$ACO$113,MATCH('FY-(26-27)Q1'!$I$2:$J$2,'MAY-2026'!$A$2:$CP$2,0),0),0)</f>
        <v>0.42324000000000001</v>
      </c>
      <c r="K22" s="156">
        <f>IFERROR(VLOOKUP($B$3:$B$128,'JUNE-2026'!$A$4:$ACT$113,MATCH('FY-(26-27)Q1'!$K$2:$L$2,'JUNE-2026'!$A$2:$CU$2,0),0),0)</f>
        <v>-28980</v>
      </c>
      <c r="L22" s="158">
        <f>IFERROR(VLOOKUP($B$3:$B$128,'JUNE-2026'!$A$4:$ACT$113,MATCH('FY-(26-27)Q1'!$K$2:$L$2,'JUNE-2026'!$A$2:$CU$2,0),0),0)</f>
        <v>-0.2898</v>
      </c>
      <c r="M22" s="71">
        <f t="shared" si="0"/>
        <v>1655866</v>
      </c>
      <c r="N22" s="169">
        <f t="shared" si="1"/>
        <v>16.55866</v>
      </c>
      <c r="O22" s="88">
        <f>IFERROR(VLOOKUP($B$4:$B$66,#REF!,MATCH('FY-(26-27)Q1'!$O$2:$P$2,#REF!,0),0),0)</f>
        <v>0</v>
      </c>
      <c r="P22" s="127">
        <f>IFERROR(VLOOKUP($B$4:$B$66,#REF!,MATCH('FY-(26-27)Q1'!$O$2:$P$2,#REF!,0),0),0)</f>
        <v>0</v>
      </c>
      <c r="Q22" s="88">
        <f>IFERROR(VLOOKUP($B$4:$B$66,#REF!,MATCH('FY-(26-27)Q1'!$Q$2:$R$2,#REF!,0),0),0)</f>
        <v>0</v>
      </c>
      <c r="R22" s="127">
        <f>IFERROR(VLOOKUP($B$4:$B$66,#REF!,MATCH('FY-(26-27)Q1'!$Q$2:$R$2,#REF!,0),0),0)</f>
        <v>0</v>
      </c>
      <c r="S22" s="45"/>
      <c r="T22" s="72"/>
      <c r="V22" s="157">
        <f t="shared" si="2"/>
        <v>1655866</v>
      </c>
      <c r="W22" s="171">
        <f t="shared" si="3"/>
        <v>16.55866</v>
      </c>
    </row>
    <row r="23" spans="2:31" ht="15" customHeight="1" x14ac:dyDescent="0.25">
      <c r="B23" s="35" t="s">
        <v>44</v>
      </c>
      <c r="C23" s="34" t="s">
        <v>85</v>
      </c>
      <c r="D23" s="34" t="s">
        <v>175</v>
      </c>
      <c r="E23" s="37"/>
      <c r="F23" s="118">
        <v>1</v>
      </c>
      <c r="G23" s="156">
        <f>IFERROR(VLOOKUP($B$3:$B$128,'APR-2026'!$A$4:$ABW$112,MATCH('FY-(26-27)Q1'!$G$2:$H$2,'APR-2026'!$A$2:$BX$2,0),0),0)</f>
        <v>10517</v>
      </c>
      <c r="H23" s="158">
        <f>IFERROR(VLOOKUP($B$3:$B$128,'APR-2026'!$A$4:$ABW$112,MATCH('FY-(26-27)Q1'!$G$2:$H$2,'APR-2026'!$A$2:$BX$2,0),0),0)</f>
        <v>0.10517</v>
      </c>
      <c r="I23" s="156">
        <f>IFERROR(VLOOKUP($B$3:$B$128,'MAY-2026'!$A$4:$ACO$113,MATCH('FY-(26-27)Q1'!$I$2:$J$2,'MAY-2026'!$A$2:$CP$2,0),0),0)</f>
        <v>25727</v>
      </c>
      <c r="J23" s="158">
        <f>IFERROR(VLOOKUP($B$3:$B$128,'MAY-2026'!$A$4:$ACO$113,MATCH('FY-(26-27)Q1'!$I$2:$J$2,'MAY-2026'!$A$2:$CP$2,0),0),0)</f>
        <v>0.25727</v>
      </c>
      <c r="K23" s="156">
        <f>IFERROR(VLOOKUP($B$3:$B$128,'JUNE-2026'!$A$4:$ACT$113,MATCH('FY-(26-27)Q1'!$K$2:$L$2,'JUNE-2026'!$A$2:$CU$2,0),0),0)</f>
        <v>-71637</v>
      </c>
      <c r="L23" s="158">
        <f>IFERROR(VLOOKUP($B$3:$B$128,'JUNE-2026'!$A$4:$ACT$113,MATCH('FY-(26-27)Q1'!$K$2:$L$2,'JUNE-2026'!$A$2:$CU$2,0),0),0)</f>
        <v>-0.71636999999999995</v>
      </c>
      <c r="M23" s="71">
        <f t="shared" si="0"/>
        <v>-35393</v>
      </c>
      <c r="N23" s="169">
        <f t="shared" si="1"/>
        <v>-0.35392999999999997</v>
      </c>
      <c r="O23" s="88">
        <f>IFERROR(VLOOKUP($B$4:$B$66,#REF!,MATCH('FY-(26-27)Q1'!$O$2:$P$2,#REF!,0),0),0)</f>
        <v>0</v>
      </c>
      <c r="P23" s="127">
        <f>IFERROR(VLOOKUP($B$4:$B$66,#REF!,MATCH('FY-(26-27)Q1'!$O$2:$P$2,#REF!,0),0),0)</f>
        <v>0</v>
      </c>
      <c r="Q23" s="88">
        <f>IFERROR(VLOOKUP($B$4:$B$66,#REF!,MATCH('FY-(26-27)Q1'!$Q$2:$R$2,#REF!,0),0),0)</f>
        <v>0</v>
      </c>
      <c r="R23" s="127">
        <f>IFERROR(VLOOKUP($B$4:$B$66,#REF!,MATCH('FY-(26-27)Q1'!$Q$2:$R$2,#REF!,0),0),0)</f>
        <v>0</v>
      </c>
      <c r="S23" s="45"/>
      <c r="T23" s="72"/>
      <c r="V23" s="157">
        <f t="shared" si="2"/>
        <v>-35393</v>
      </c>
      <c r="W23" s="171">
        <f t="shared" si="3"/>
        <v>-0.35392999999999997</v>
      </c>
    </row>
    <row r="24" spans="2:31" ht="15" customHeight="1" x14ac:dyDescent="0.25">
      <c r="B24" s="35" t="s">
        <v>110</v>
      </c>
      <c r="C24" s="34" t="s">
        <v>85</v>
      </c>
      <c r="D24" s="34" t="s">
        <v>57</v>
      </c>
      <c r="E24" s="37"/>
      <c r="F24" s="118">
        <v>1</v>
      </c>
      <c r="G24" s="156">
        <f>IFERROR(VLOOKUP($B$3:$B$128,'APR-2026'!$A$4:$ABW$112,MATCH('FY-(26-27)Q1'!$G$2:$H$2,'APR-2026'!$A$2:$BX$2,0),0),0)</f>
        <v>-45133</v>
      </c>
      <c r="H24" s="158">
        <f>IFERROR(VLOOKUP($B$3:$B$128,'APR-2026'!$A$4:$ABW$112,MATCH('FY-(26-27)Q1'!$G$2:$H$2,'APR-2026'!$A$2:$BX$2,0),0),0)</f>
        <v>-0.45133000000000001</v>
      </c>
      <c r="I24" s="156">
        <f>IFERROR(VLOOKUP($B$3:$B$128,'MAY-2026'!$A$4:$ACO$113,MATCH('FY-(26-27)Q1'!$I$2:$J$2,'MAY-2026'!$A$2:$CP$2,0),0),0)</f>
        <v>-98600</v>
      </c>
      <c r="J24" s="158">
        <f>IFERROR(VLOOKUP($B$3:$B$128,'MAY-2026'!$A$4:$ACO$113,MATCH('FY-(26-27)Q1'!$I$2:$J$2,'MAY-2026'!$A$2:$CP$2,0),0),0)</f>
        <v>-0.98599999999999999</v>
      </c>
      <c r="K24" s="156">
        <f>IFERROR(VLOOKUP($B$3:$B$128,'JUNE-2026'!$A$4:$ACT$113,MATCH('FY-(26-27)Q1'!$K$2:$L$2,'JUNE-2026'!$A$2:$CU$2,0),0),0)</f>
        <v>-10000</v>
      </c>
      <c r="L24" s="158">
        <f>IFERROR(VLOOKUP($B$3:$B$128,'JUNE-2026'!$A$4:$ACT$113,MATCH('FY-(26-27)Q1'!$K$2:$L$2,'JUNE-2026'!$A$2:$CU$2,0),0),0)</f>
        <v>-0.1</v>
      </c>
      <c r="M24" s="71">
        <f t="shared" si="0"/>
        <v>-153733</v>
      </c>
      <c r="N24" s="169">
        <f t="shared" si="1"/>
        <v>-1.5373300000000001</v>
      </c>
      <c r="O24" s="88">
        <f>IFERROR(VLOOKUP($B$4:$B$66,#REF!,MATCH('FY-(26-27)Q1'!$O$2:$P$2,#REF!,0),0),0)</f>
        <v>0</v>
      </c>
      <c r="P24" s="127">
        <f>IFERROR(VLOOKUP($B$4:$B$66,#REF!,MATCH('FY-(26-27)Q1'!$O$2:$P$2,#REF!,0),0),0)</f>
        <v>0</v>
      </c>
      <c r="Q24" s="88">
        <f>IFERROR(VLOOKUP($B$4:$B$66,#REF!,MATCH('FY-(26-27)Q1'!$Q$2:$R$2,#REF!,0),0),0)</f>
        <v>0</v>
      </c>
      <c r="R24" s="127">
        <f>IFERROR(VLOOKUP($B$4:$B$66,#REF!,MATCH('FY-(26-27)Q1'!$Q$2:$R$2,#REF!,0),0),0)</f>
        <v>0</v>
      </c>
      <c r="S24" s="45"/>
      <c r="T24" s="72"/>
      <c r="V24" s="157">
        <f t="shared" si="2"/>
        <v>-153733</v>
      </c>
      <c r="W24" s="171">
        <f t="shared" si="3"/>
        <v>-1.5373300000000001</v>
      </c>
    </row>
    <row r="25" spans="2:31" ht="15" customHeight="1" x14ac:dyDescent="0.25">
      <c r="B25" s="35" t="s">
        <v>95</v>
      </c>
      <c r="C25" s="34" t="s">
        <v>235</v>
      </c>
      <c r="D25" s="34" t="s">
        <v>8</v>
      </c>
      <c r="E25" s="37" t="s">
        <v>39</v>
      </c>
      <c r="F25" s="118">
        <v>1</v>
      </c>
      <c r="G25" s="156">
        <f>IFERROR(VLOOKUP($B$3:$B$128,'APR-2026'!$A$4:$ABW$112,MATCH('FY-(26-27)Q1'!$G$2:$H$2,'APR-2026'!$A$2:$BX$2,0),0),0)</f>
        <v>100262</v>
      </c>
      <c r="H25" s="158">
        <f>IFERROR(VLOOKUP($B$3:$B$128,'APR-2026'!$A$4:$ABW$112,MATCH('FY-(26-27)Q1'!$G$2:$H$2,'APR-2026'!$A$2:$BX$2,0),0),0)</f>
        <v>1.0026200000000001</v>
      </c>
      <c r="I25" s="156">
        <f>IFERROR(VLOOKUP($B$3:$B$128,'MAY-2026'!$A$4:$ACO$113,MATCH('FY-(26-27)Q1'!$I$2:$J$2,'MAY-2026'!$A$2:$CP$2,0),0),0)</f>
        <v>-159139</v>
      </c>
      <c r="J25" s="158">
        <f>IFERROR(VLOOKUP($B$3:$B$128,'MAY-2026'!$A$4:$ACO$113,MATCH('FY-(26-27)Q1'!$I$2:$J$2,'MAY-2026'!$A$2:$CP$2,0),0),0)</f>
        <v>-1.5913900000000001</v>
      </c>
      <c r="K25" s="156">
        <f>IFERROR(VLOOKUP($B$3:$B$128,'JUNE-2026'!$A$4:$ACT$113,MATCH('FY-(26-27)Q1'!$K$2:$L$2,'JUNE-2026'!$A$2:$CU$2,0),0),0)</f>
        <v>-1400</v>
      </c>
      <c r="L25" s="158">
        <f>IFERROR(VLOOKUP($B$3:$B$128,'JUNE-2026'!$A$4:$ACT$113,MATCH('FY-(26-27)Q1'!$K$2:$L$2,'JUNE-2026'!$A$2:$CU$2,0),0),0)</f>
        <v>-1.4E-2</v>
      </c>
      <c r="M25" s="71">
        <f t="shared" si="0"/>
        <v>-60277</v>
      </c>
      <c r="N25" s="169">
        <f t="shared" si="1"/>
        <v>-0.60277000000000003</v>
      </c>
      <c r="O25" s="88">
        <f>IFERROR(VLOOKUP($B$4:$B$66,#REF!,MATCH('FY-(26-27)Q1'!$O$2:$P$2,#REF!,0),0),0)</f>
        <v>0</v>
      </c>
      <c r="P25" s="127">
        <f>IFERROR(VLOOKUP($B$4:$B$66,#REF!,MATCH('FY-(26-27)Q1'!$O$2:$P$2,#REF!,0),0),0)</f>
        <v>0</v>
      </c>
      <c r="Q25" s="88">
        <f>IFERROR(VLOOKUP($B$4:$B$66,#REF!,MATCH('FY-(26-27)Q1'!$Q$2:$R$2,#REF!,0),0),0)</f>
        <v>0</v>
      </c>
      <c r="R25" s="127">
        <f>IFERROR(VLOOKUP($B$4:$B$66,#REF!,MATCH('FY-(26-27)Q1'!$Q$2:$R$2,#REF!,0),0),0)</f>
        <v>0</v>
      </c>
      <c r="S25" s="45"/>
      <c r="T25" s="72"/>
      <c r="V25" s="157">
        <f t="shared" si="2"/>
        <v>-60277</v>
      </c>
      <c r="W25" s="171">
        <f t="shared" si="3"/>
        <v>-0.60277000000000003</v>
      </c>
    </row>
    <row r="26" spans="2:31" ht="15" customHeight="1" x14ac:dyDescent="0.25">
      <c r="B26" s="35" t="s">
        <v>24</v>
      </c>
      <c r="C26" s="34" t="s">
        <v>74</v>
      </c>
      <c r="D26" s="34" t="s">
        <v>58</v>
      </c>
      <c r="E26" s="37" t="s">
        <v>20</v>
      </c>
      <c r="F26" s="117">
        <v>2.5</v>
      </c>
      <c r="G26" s="156">
        <f>IFERROR(VLOOKUP($B$3:$B$128,'APR-2026'!$A$4:$ABW$112,MATCH('FY-(26-27)Q1'!$G$2:$H$2,'APR-2026'!$A$2:$BX$2,0),0),0)</f>
        <v>308939</v>
      </c>
      <c r="H26" s="158">
        <f>IFERROR(VLOOKUP($B$3:$B$128,'APR-2026'!$A$4:$ABW$112,MATCH('FY-(26-27)Q1'!$G$2:$H$2,'APR-2026'!$A$2:$BX$2,0),0),0)</f>
        <v>1.2357560000000001</v>
      </c>
      <c r="I26" s="156">
        <f>IFERROR(VLOOKUP($B$3:$B$128,'MAY-2026'!$A$4:$ACO$113,MATCH('FY-(26-27)Q1'!$I$2:$J$2,'MAY-2026'!$A$2:$CP$2,0),0),0)</f>
        <v>79409</v>
      </c>
      <c r="J26" s="158">
        <f>IFERROR(VLOOKUP($B$3:$B$128,'MAY-2026'!$A$4:$ACO$113,MATCH('FY-(26-27)Q1'!$I$2:$J$2,'MAY-2026'!$A$2:$CP$2,0),0),0)</f>
        <v>0.31763599999999997</v>
      </c>
      <c r="K26" s="156">
        <f>IFERROR(VLOOKUP($B$3:$B$128,'JUNE-2026'!$A$4:$ACT$113,MATCH('FY-(26-27)Q1'!$K$2:$L$2,'JUNE-2026'!$A$2:$CU$2,0),0),0)</f>
        <v>-153624</v>
      </c>
      <c r="L26" s="158">
        <f>IFERROR(VLOOKUP($B$3:$B$128,'JUNE-2026'!$A$4:$ACT$113,MATCH('FY-(26-27)Q1'!$K$2:$L$2,'JUNE-2026'!$A$2:$CU$2,0),0),0)</f>
        <v>-0.61449600000000004</v>
      </c>
      <c r="M26" s="71">
        <f t="shared" si="0"/>
        <v>234724</v>
      </c>
      <c r="N26" s="169">
        <f t="shared" si="1"/>
        <v>0.93889600000000006</v>
      </c>
      <c r="O26" s="88">
        <f>IFERROR(VLOOKUP($B$4:$B$66,#REF!,MATCH('FY-(26-27)Q1'!$O$2:$P$2,#REF!,0),0),0)</f>
        <v>0</v>
      </c>
      <c r="P26" s="127">
        <f>IFERROR(VLOOKUP($B$4:$B$66,#REF!,MATCH('FY-(26-27)Q1'!$O$2:$P$2,#REF!,0),0),0)</f>
        <v>0</v>
      </c>
      <c r="Q26" s="88">
        <f>IFERROR(VLOOKUP($B$4:$B$66,#REF!,MATCH('FY-(26-27)Q1'!$Q$2:$R$2,#REF!,0),0),0)</f>
        <v>0</v>
      </c>
      <c r="R26" s="127">
        <f>IFERROR(VLOOKUP($B$4:$B$66,#REF!,MATCH('FY-(26-27)Q1'!$Q$2:$R$2,#REF!,0),0),0)</f>
        <v>0</v>
      </c>
      <c r="S26" s="45"/>
      <c r="T26" s="72"/>
      <c r="V26" s="157">
        <f t="shared" si="2"/>
        <v>234724</v>
      </c>
      <c r="W26" s="171">
        <f t="shared" si="3"/>
        <v>0.93889600000000006</v>
      </c>
    </row>
    <row r="27" spans="2:31" ht="15" customHeight="1" x14ac:dyDescent="0.25">
      <c r="B27" s="35" t="s">
        <v>23</v>
      </c>
      <c r="C27" s="34" t="s">
        <v>75</v>
      </c>
      <c r="D27" s="34" t="s">
        <v>59</v>
      </c>
      <c r="E27" s="37" t="s">
        <v>3</v>
      </c>
      <c r="F27" s="117">
        <v>4</v>
      </c>
      <c r="G27" s="156">
        <f>IFERROR(VLOOKUP($B$3:$B$128,'APR-2026'!$A$4:$ABW$112,MATCH('FY-(26-27)Q1'!$G$2:$H$2,'APR-2026'!$A$2:$BX$2,0),0),0)</f>
        <v>405124</v>
      </c>
      <c r="H27" s="158">
        <f>IFERROR(VLOOKUP($B$3:$B$128,'APR-2026'!$A$4:$ABW$112,MATCH('FY-(26-27)Q1'!$G$2:$H$2,'APR-2026'!$A$2:$BX$2,0),0),0)</f>
        <v>1.01281</v>
      </c>
      <c r="I27" s="156">
        <f>IFERROR(VLOOKUP($B$3:$B$128,'MAY-2026'!$A$4:$ACO$113,MATCH('FY-(26-27)Q1'!$I$2:$J$2,'MAY-2026'!$A$2:$CP$2,0),0),0)</f>
        <v>-290952</v>
      </c>
      <c r="J27" s="158">
        <f>IFERROR(VLOOKUP($B$3:$B$128,'MAY-2026'!$A$4:$ACO$113,MATCH('FY-(26-27)Q1'!$I$2:$J$2,'MAY-2026'!$A$2:$CP$2,0),0),0)</f>
        <v>-0.72738000000000003</v>
      </c>
      <c r="K27" s="156">
        <f>IFERROR(VLOOKUP($B$3:$B$128,'JUNE-2026'!$A$4:$ACT$113,MATCH('FY-(26-27)Q1'!$K$2:$L$2,'JUNE-2026'!$A$2:$CU$2,0),0),0)</f>
        <v>269272</v>
      </c>
      <c r="L27" s="158">
        <f>IFERROR(VLOOKUP($B$3:$B$128,'JUNE-2026'!$A$4:$ACT$113,MATCH('FY-(26-27)Q1'!$K$2:$L$2,'JUNE-2026'!$A$2:$CU$2,0),0),0)</f>
        <v>0.67318</v>
      </c>
      <c r="M27" s="71">
        <f t="shared" si="0"/>
        <v>383444</v>
      </c>
      <c r="N27" s="169">
        <f t="shared" si="1"/>
        <v>0.95860999999999996</v>
      </c>
      <c r="O27" s="88">
        <f>IFERROR(VLOOKUP($B$4:$B$66,#REF!,MATCH('FY-(26-27)Q1'!$O$2:$P$2,#REF!,0),0),0)</f>
        <v>0</v>
      </c>
      <c r="P27" s="127">
        <f>IFERROR(VLOOKUP($B$4:$B$66,#REF!,MATCH('FY-(26-27)Q1'!$O$2:$P$2,#REF!,0),0),0)</f>
        <v>0</v>
      </c>
      <c r="Q27" s="88">
        <f>IFERROR(VLOOKUP($B$4:$B$66,#REF!,MATCH('FY-(26-27)Q1'!$Q$2:$R$2,#REF!,0),0),0)</f>
        <v>0</v>
      </c>
      <c r="R27" s="127">
        <f>IFERROR(VLOOKUP($B$4:$B$66,#REF!,MATCH('FY-(26-27)Q1'!$Q$2:$R$2,#REF!,0),0),0)</f>
        <v>0</v>
      </c>
      <c r="S27" s="45"/>
      <c r="T27" s="72"/>
      <c r="U27" s="1"/>
      <c r="V27" s="157">
        <f t="shared" si="2"/>
        <v>383444</v>
      </c>
      <c r="W27" s="171">
        <f t="shared" si="3"/>
        <v>0.95860999999999996</v>
      </c>
    </row>
    <row r="28" spans="2:31" ht="15" customHeight="1" x14ac:dyDescent="0.25">
      <c r="B28" s="35" t="s">
        <v>112</v>
      </c>
      <c r="C28" s="34" t="s">
        <v>113</v>
      </c>
      <c r="D28" s="34" t="s">
        <v>111</v>
      </c>
      <c r="E28" s="37"/>
      <c r="F28" s="117">
        <v>0.25</v>
      </c>
      <c r="G28" s="156">
        <f>IFERROR(VLOOKUP($B$3:$B$128,'APR-2026'!$A$4:$ABW$112,MATCH('FY-(26-27)Q1'!$G$2:$H$2,'APR-2026'!$A$2:$BX$2,0),0),0)</f>
        <v>35922</v>
      </c>
      <c r="H28" s="158">
        <f>IFERROR(VLOOKUP($B$3:$B$128,'APR-2026'!$A$4:$ABW$112,MATCH('FY-(26-27)Q1'!$G$2:$H$2,'APR-2026'!$A$2:$BX$2,0),0),0)</f>
        <v>0.32656363636363633</v>
      </c>
      <c r="I28" s="156">
        <f>IFERROR(VLOOKUP($B$3:$B$128,'MAY-2026'!$A$4:$ACO$113,MATCH('FY-(26-27)Q1'!$I$2:$J$2,'MAY-2026'!$A$2:$CP$2,0),0),0)</f>
        <v>-178282</v>
      </c>
      <c r="J28" s="158">
        <f>IFERROR(VLOOKUP($B$3:$B$128,'MAY-2026'!$A$4:$ACO$113,MATCH('FY-(26-27)Q1'!$I$2:$J$2,'MAY-2026'!$A$2:$CP$2,0),0),0)</f>
        <v>-1.6207454545454545</v>
      </c>
      <c r="K28" s="156">
        <f>IFERROR(VLOOKUP($B$3:$B$128,'JUNE-2026'!$A$4:$ACT$113,MATCH('FY-(26-27)Q1'!$K$2:$L$2,'JUNE-2026'!$A$2:$CU$2,0),0),0)</f>
        <v>-4294</v>
      </c>
      <c r="L28" s="158">
        <f>IFERROR(VLOOKUP($B$3:$B$128,'JUNE-2026'!$A$4:$ACT$113,MATCH('FY-(26-27)Q1'!$K$2:$L$2,'JUNE-2026'!$A$2:$CU$2,0),0),0)</f>
        <v>-3.9036363636363633E-2</v>
      </c>
      <c r="M28" s="71">
        <f t="shared" si="0"/>
        <v>-146654</v>
      </c>
      <c r="N28" s="169">
        <f t="shared" si="1"/>
        <v>-1.3332181818181816</v>
      </c>
      <c r="O28" s="88">
        <f>IFERROR(VLOOKUP($B$4:$B$66,#REF!,MATCH('FY-(26-27)Q1'!$O$2:$P$2,#REF!,0),0),0)</f>
        <v>0</v>
      </c>
      <c r="P28" s="127">
        <f>IFERROR(VLOOKUP($B$4:$B$66,#REF!,MATCH('FY-(26-27)Q1'!$O$2:$P$2,#REF!,0),0),0)</f>
        <v>0</v>
      </c>
      <c r="Q28" s="88">
        <f>IFERROR(VLOOKUP($B$4:$B$66,#REF!,MATCH('FY-(26-27)Q1'!$Q$2:$R$2,#REF!,0),0),0)</f>
        <v>0</v>
      </c>
      <c r="R28" s="127">
        <f>IFERROR(VLOOKUP($B$4:$B$66,#REF!,MATCH('FY-(26-27)Q1'!$Q$2:$R$2,#REF!,0),0),0)</f>
        <v>0</v>
      </c>
      <c r="S28" s="45"/>
      <c r="T28" s="72"/>
      <c r="U28" s="1"/>
      <c r="V28" s="157">
        <f t="shared" si="2"/>
        <v>-146654</v>
      </c>
      <c r="W28" s="171">
        <f t="shared" si="3"/>
        <v>-1.3332181818181816</v>
      </c>
    </row>
    <row r="29" spans="2:31" s="1" customFormat="1" ht="15" customHeight="1" x14ac:dyDescent="0.25">
      <c r="B29" s="35" t="s">
        <v>150</v>
      </c>
      <c r="C29" s="34" t="s">
        <v>113</v>
      </c>
      <c r="D29" s="34" t="s">
        <v>130</v>
      </c>
      <c r="E29" s="37"/>
      <c r="F29" s="117">
        <v>0.25</v>
      </c>
      <c r="G29" s="156">
        <f>IFERROR(VLOOKUP($B$3:$B$128,'APR-2026'!$A$4:$ABW$112,MATCH('FY-(26-27)Q1'!$G$2:$H$2,'APR-2026'!$A$2:$BX$2,0),0),0)</f>
        <v>10003</v>
      </c>
      <c r="H29" s="158">
        <f>IFERROR(VLOOKUP($B$3:$B$128,'APR-2026'!$A$4:$ABW$112,MATCH('FY-(26-27)Q1'!$G$2:$H$2,'APR-2026'!$A$2:$BX$2,0),0),0)</f>
        <v>0.40011999999999998</v>
      </c>
      <c r="I29" s="156">
        <f>IFERROR(VLOOKUP($B$3:$B$128,'MAY-2026'!$A$4:$ACO$113,MATCH('FY-(26-27)Q1'!$I$2:$J$2,'MAY-2026'!$A$2:$CP$2,0),0),0)</f>
        <v>-76253</v>
      </c>
      <c r="J29" s="158">
        <f>IFERROR(VLOOKUP($B$3:$B$128,'MAY-2026'!$A$4:$ACO$113,MATCH('FY-(26-27)Q1'!$I$2:$J$2,'MAY-2026'!$A$2:$CP$2,0),0),0)</f>
        <v>-3.0501200000000002</v>
      </c>
      <c r="K29" s="156">
        <f>IFERROR(VLOOKUP($B$3:$B$128,'JUNE-2026'!$A$4:$ACT$113,MATCH('FY-(26-27)Q1'!$K$2:$L$2,'JUNE-2026'!$A$2:$CU$2,0),0),0)</f>
        <v>0</v>
      </c>
      <c r="L29" s="158">
        <f>IFERROR(VLOOKUP($B$3:$B$128,'JUNE-2026'!$A$4:$ACT$113,MATCH('FY-(26-27)Q1'!$K$2:$L$2,'JUNE-2026'!$A$2:$CU$2,0),0),0)</f>
        <v>0</v>
      </c>
      <c r="M29" s="71">
        <f t="shared" si="0"/>
        <v>-66250</v>
      </c>
      <c r="N29" s="169">
        <f t="shared" si="1"/>
        <v>-2.6500000000000004</v>
      </c>
      <c r="O29" s="88">
        <f>IFERROR(VLOOKUP($B$4:$B$66,#REF!,MATCH('FY-(26-27)Q1'!$O$2:$P$2,#REF!,0),0),0)</f>
        <v>0</v>
      </c>
      <c r="P29" s="127">
        <f>IFERROR(VLOOKUP($B$4:$B$66,#REF!,MATCH('FY-(26-27)Q1'!$O$2:$P$2,#REF!,0),0),0)</f>
        <v>0</v>
      </c>
      <c r="Q29" s="88">
        <f>IFERROR(VLOOKUP($B$4:$B$66,#REF!,MATCH('FY-(26-27)Q1'!$Q$2:$R$2,#REF!,0),0),0)</f>
        <v>0</v>
      </c>
      <c r="R29" s="127">
        <f>IFERROR(VLOOKUP($B$4:$B$66,#REF!,MATCH('FY-(26-27)Q1'!$Q$2:$R$2,#REF!,0),0),0)</f>
        <v>0</v>
      </c>
      <c r="S29" s="45"/>
      <c r="T29" s="72"/>
      <c r="U29"/>
      <c r="V29" s="157">
        <f t="shared" si="2"/>
        <v>-66250</v>
      </c>
      <c r="W29" s="171">
        <f t="shared" si="3"/>
        <v>-2.6500000000000004</v>
      </c>
      <c r="Y29"/>
      <c r="Z29"/>
      <c r="AA29"/>
      <c r="AB29"/>
      <c r="AC29"/>
      <c r="AD29"/>
      <c r="AE29"/>
    </row>
    <row r="30" spans="2:31" s="1" customFormat="1" ht="15" customHeight="1" x14ac:dyDescent="0.25">
      <c r="B30" s="35" t="s">
        <v>168</v>
      </c>
      <c r="C30" s="34" t="s">
        <v>170</v>
      </c>
      <c r="D30" s="34" t="s">
        <v>228</v>
      </c>
      <c r="E30" s="37"/>
      <c r="F30" s="117">
        <v>0.5</v>
      </c>
      <c r="G30" s="156">
        <f>IFERROR(VLOOKUP($B$3:$B$128,'APR-2026'!$A$4:$ABW$112,MATCH('FY-(26-27)Q1'!$G$2:$H$2,'APR-2026'!$A$2:$BX$2,0),0),0)</f>
        <v>202276</v>
      </c>
      <c r="H30" s="158">
        <f>IFERROR(VLOOKUP($B$3:$B$128,'APR-2026'!$A$4:$ABW$112,MATCH('FY-(26-27)Q1'!$G$2:$H$2,'APR-2026'!$A$2:$BX$2,0),0),0)</f>
        <v>1.3485066666666665</v>
      </c>
      <c r="I30" s="156">
        <f>IFERROR(VLOOKUP($B$3:$B$128,'MAY-2026'!$A$4:$ACO$113,MATCH('FY-(26-27)Q1'!$I$2:$J$2,'MAY-2026'!$A$2:$CP$2,0),0),0)</f>
        <v>-2293</v>
      </c>
      <c r="J30" s="158">
        <f>IFERROR(VLOOKUP($B$3:$B$128,'MAY-2026'!$A$4:$ACO$113,MATCH('FY-(26-27)Q1'!$I$2:$J$2,'MAY-2026'!$A$2:$CP$2,0),0),0)</f>
        <v>-1.5286666666666669E-2</v>
      </c>
      <c r="K30" s="156">
        <f>IFERROR(VLOOKUP($B$3:$B$128,'JUNE-2026'!$A$4:$ACT$113,MATCH('FY-(26-27)Q1'!$K$2:$L$2,'JUNE-2026'!$A$2:$CU$2,0),0),0)</f>
        <v>-533340</v>
      </c>
      <c r="L30" s="158">
        <f>IFERROR(VLOOKUP($B$3:$B$128,'JUNE-2026'!$A$4:$ACT$113,MATCH('FY-(26-27)Q1'!$K$2:$L$2,'JUNE-2026'!$A$2:$CU$2,0),0),0)</f>
        <v>-3.5556000000000001</v>
      </c>
      <c r="M30" s="71">
        <f t="shared" si="0"/>
        <v>-333357</v>
      </c>
      <c r="N30" s="169">
        <f t="shared" si="1"/>
        <v>-2.2223800000000002</v>
      </c>
      <c r="O30" s="88">
        <f>IFERROR(VLOOKUP($B$4:$B$66,#REF!,MATCH('FY-(26-27)Q1'!$O$2:$P$2,#REF!,0),0),0)</f>
        <v>0</v>
      </c>
      <c r="P30" s="127">
        <f>IFERROR(VLOOKUP($B$4:$B$66,#REF!,MATCH('FY-(26-27)Q1'!$O$2:$P$2,#REF!,0),0),0)</f>
        <v>0</v>
      </c>
      <c r="Q30" s="88">
        <f>IFERROR(VLOOKUP($B$4:$B$66,#REF!,MATCH('FY-(26-27)Q1'!$Q$2:$R$2,#REF!,0),0),0)</f>
        <v>0</v>
      </c>
      <c r="R30" s="127">
        <f>IFERROR(VLOOKUP($B$4:$B$66,#REF!,MATCH('FY-(26-27)Q1'!$Q$2:$R$2,#REF!,0),0),0)</f>
        <v>0</v>
      </c>
      <c r="S30" s="45"/>
      <c r="T30" s="72"/>
      <c r="U30"/>
      <c r="V30" s="157">
        <f t="shared" si="2"/>
        <v>-333357</v>
      </c>
      <c r="W30" s="171">
        <f t="shared" si="3"/>
        <v>-2.2223800000000002</v>
      </c>
    </row>
    <row r="31" spans="2:31" ht="15" customHeight="1" x14ac:dyDescent="0.25">
      <c r="B31" s="35" t="s">
        <v>32</v>
      </c>
      <c r="C31" s="34" t="s">
        <v>64</v>
      </c>
      <c r="D31" s="35" t="s">
        <v>21</v>
      </c>
      <c r="E31" s="37" t="s">
        <v>40</v>
      </c>
      <c r="F31" s="117">
        <v>1.1000000000000001</v>
      </c>
      <c r="G31" s="156">
        <f>IFERROR(VLOOKUP($B$3:$B$128,'APR-2026'!$A$4:$ABW$112,MATCH('FY-(26-27)Q1'!$G$2:$H$2,'APR-2026'!$A$2:$BX$2,0),0),0)</f>
        <v>16344</v>
      </c>
      <c r="H31" s="158">
        <f>IFERROR(VLOOKUP($B$3:$B$128,'APR-2026'!$A$4:$ABW$112,MATCH('FY-(26-27)Q1'!$G$2:$H$2,'APR-2026'!$A$2:$BX$2,0),0),0)</f>
        <v>0.14858181818181818</v>
      </c>
      <c r="I31" s="156">
        <f>IFERROR(VLOOKUP($B$3:$B$128,'MAY-2026'!$A$4:$ACO$113,MATCH('FY-(26-27)Q1'!$I$2:$J$2,'MAY-2026'!$A$2:$CP$2,0),0),0)</f>
        <v>-99601</v>
      </c>
      <c r="J31" s="158">
        <f>IFERROR(VLOOKUP($B$3:$B$128,'MAY-2026'!$A$4:$ACO$113,MATCH('FY-(26-27)Q1'!$I$2:$J$2,'MAY-2026'!$A$2:$CP$2,0),0),0)</f>
        <v>-0.90546363636363636</v>
      </c>
      <c r="K31" s="156">
        <f>IFERROR(VLOOKUP($B$3:$B$128,'JUNE-2026'!$A$4:$ACT$113,MATCH('FY-(26-27)Q1'!$K$2:$L$2,'JUNE-2026'!$A$2:$CU$2,0),0),0)</f>
        <v>10018</v>
      </c>
      <c r="L31" s="158">
        <f>IFERROR(VLOOKUP($B$3:$B$128,'JUNE-2026'!$A$4:$ACT$113,MATCH('FY-(26-27)Q1'!$K$2:$L$2,'JUNE-2026'!$A$2:$CU$2,0),0),0)</f>
        <v>9.1072727272727264E-2</v>
      </c>
      <c r="M31" s="71">
        <f t="shared" si="0"/>
        <v>-73239</v>
      </c>
      <c r="N31" s="169">
        <f t="shared" si="1"/>
        <v>-0.66580909090909091</v>
      </c>
      <c r="O31" s="88">
        <f>IFERROR(VLOOKUP($B$4:$B$66,#REF!,MATCH('FY-(26-27)Q1'!$O$2:$P$2,#REF!,0),0),0)</f>
        <v>0</v>
      </c>
      <c r="P31" s="127">
        <f>IFERROR(VLOOKUP($B$4:$B$66,#REF!,MATCH('FY-(26-27)Q1'!$O$2:$P$2,#REF!,0),0),0)</f>
        <v>0</v>
      </c>
      <c r="Q31" s="88">
        <f>IFERROR(VLOOKUP($B$4:$B$66,#REF!,MATCH('FY-(26-27)Q1'!$Q$2:$R$2,#REF!,0),0),0)</f>
        <v>0</v>
      </c>
      <c r="R31" s="127">
        <f>IFERROR(VLOOKUP($B$4:$B$66,#REF!,MATCH('FY-(26-27)Q1'!$Q$2:$R$2,#REF!,0),0),0)</f>
        <v>0</v>
      </c>
      <c r="S31" s="45"/>
      <c r="T31" s="72"/>
      <c r="V31" s="157">
        <f t="shared" si="2"/>
        <v>-73239</v>
      </c>
      <c r="W31" s="171">
        <f t="shared" si="3"/>
        <v>-0.66580909090909091</v>
      </c>
      <c r="Y31" s="1"/>
      <c r="Z31" s="1"/>
      <c r="AA31" s="1"/>
      <c r="AB31" s="1"/>
      <c r="AC31" s="1"/>
      <c r="AD31" s="1"/>
      <c r="AE31" s="1"/>
    </row>
    <row r="32" spans="2:31" ht="15" customHeight="1" x14ac:dyDescent="0.25">
      <c r="B32" s="35" t="s">
        <v>119</v>
      </c>
      <c r="C32" s="34" t="s">
        <v>64</v>
      </c>
      <c r="D32" s="35" t="s">
        <v>236</v>
      </c>
      <c r="E32" s="37" t="s">
        <v>67</v>
      </c>
      <c r="F32" s="117">
        <v>0.5</v>
      </c>
      <c r="G32" s="156">
        <f>IFERROR(VLOOKUP($B$3:$B$128,'APR-2026'!$A$4:$ABW$112,MATCH('FY-(26-27)Q1'!$G$2:$H$2,'APR-2026'!$A$2:$BX$2,0),0),0)</f>
        <v>-203101</v>
      </c>
      <c r="H32" s="158">
        <f>IFERROR(VLOOKUP($B$3:$B$128,'APR-2026'!$A$4:$ABW$112,MATCH('FY-(26-27)Q1'!$G$2:$H$2,'APR-2026'!$A$2:$BX$2,0),0),0)</f>
        <v>-4.0620200000000004</v>
      </c>
      <c r="I32" s="156">
        <f>IFERROR(VLOOKUP($B$3:$B$128,'MAY-2026'!$A$4:$ACO$113,MATCH('FY-(26-27)Q1'!$I$2:$J$2,'MAY-2026'!$A$2:$CP$2,0),0),0)</f>
        <v>-128306</v>
      </c>
      <c r="J32" s="158">
        <f>IFERROR(VLOOKUP($B$3:$B$128,'MAY-2026'!$A$4:$ACO$113,MATCH('FY-(26-27)Q1'!$I$2:$J$2,'MAY-2026'!$A$2:$CP$2,0),0),0)</f>
        <v>-2.5661200000000002</v>
      </c>
      <c r="K32" s="156">
        <f>IFERROR(VLOOKUP($B$3:$B$128,'JUNE-2026'!$A$4:$ACT$113,MATCH('FY-(26-27)Q1'!$K$2:$L$2,'JUNE-2026'!$A$2:$CU$2,0),0),0)</f>
        <v>0</v>
      </c>
      <c r="L32" s="158">
        <f>IFERROR(VLOOKUP($B$3:$B$128,'JUNE-2026'!$A$4:$ACT$113,MATCH('FY-(26-27)Q1'!$K$2:$L$2,'JUNE-2026'!$A$2:$CU$2,0),0),0)</f>
        <v>0</v>
      </c>
      <c r="M32" s="71">
        <f t="shared" si="0"/>
        <v>-331407</v>
      </c>
      <c r="N32" s="169">
        <f t="shared" si="1"/>
        <v>-6.6281400000000001</v>
      </c>
      <c r="O32" s="88">
        <f>IFERROR(VLOOKUP($B$4:$B$66,#REF!,MATCH('FY-(26-27)Q1'!$O$2:$P$2,#REF!,0),0),0)</f>
        <v>0</v>
      </c>
      <c r="P32" s="127">
        <f>IFERROR(VLOOKUP($B$4:$B$66,#REF!,MATCH('FY-(26-27)Q1'!$O$2:$P$2,#REF!,0),0),0)</f>
        <v>0</v>
      </c>
      <c r="Q32" s="88">
        <f>IFERROR(VLOOKUP($B$4:$B$66,#REF!,MATCH('FY-(26-27)Q1'!$Q$2:$R$2,#REF!,0),0),0)</f>
        <v>0</v>
      </c>
      <c r="R32" s="127">
        <f>IFERROR(VLOOKUP($B$4:$B$66,#REF!,MATCH('FY-(26-27)Q1'!$Q$2:$R$2,#REF!,0),0),0)</f>
        <v>0</v>
      </c>
      <c r="S32" s="45"/>
      <c r="T32" s="72"/>
      <c r="V32" s="157">
        <f t="shared" si="2"/>
        <v>-331407</v>
      </c>
      <c r="W32" s="171">
        <f t="shared" si="3"/>
        <v>-6.6281400000000001</v>
      </c>
    </row>
    <row r="33" spans="2:31" ht="15" customHeight="1" x14ac:dyDescent="0.25">
      <c r="B33" s="35" t="s">
        <v>98</v>
      </c>
      <c r="C33" s="34" t="s">
        <v>69</v>
      </c>
      <c r="D33" s="34" t="s">
        <v>210</v>
      </c>
      <c r="E33" s="37" t="s">
        <v>109</v>
      </c>
      <c r="F33" s="117">
        <v>2.2999999999999998</v>
      </c>
      <c r="G33" s="156">
        <f>IFERROR(VLOOKUP($B$3:$B$128,'APR-2026'!$A$4:$ABW$112,MATCH('FY-(26-27)Q1'!$G$2:$H$2,'APR-2026'!$A$2:$BX$2,0),0),0)</f>
        <v>3190697</v>
      </c>
      <c r="H33" s="158">
        <f>IFERROR(VLOOKUP($B$3:$B$128,'APR-2026'!$A$4:$ABW$112,MATCH('FY-(26-27)Q1'!$G$2:$H$2,'APR-2026'!$A$2:$BX$2,0),0),0)</f>
        <v>13.872595652173912</v>
      </c>
      <c r="I33" s="156">
        <f>IFERROR(VLOOKUP($B$3:$B$128,'MAY-2026'!$A$4:$ACO$113,MATCH('FY-(26-27)Q1'!$I$2:$J$2,'MAY-2026'!$A$2:$CP$2,0),0),0)</f>
        <v>688029</v>
      </c>
      <c r="J33" s="158">
        <f>IFERROR(VLOOKUP($B$3:$B$128,'MAY-2026'!$A$4:$ACO$113,MATCH('FY-(26-27)Q1'!$I$2:$J$2,'MAY-2026'!$A$2:$CP$2,0),0),0)</f>
        <v>2.9914304347826084</v>
      </c>
      <c r="K33" s="156">
        <f>IFERROR(VLOOKUP($B$3:$B$128,'JUNE-2026'!$A$4:$ACT$113,MATCH('FY-(26-27)Q1'!$K$2:$L$2,'JUNE-2026'!$A$2:$CU$2,0),0),0)</f>
        <v>-722984</v>
      </c>
      <c r="L33" s="158">
        <f>IFERROR(VLOOKUP($B$3:$B$128,'JUNE-2026'!$A$4:$ACT$113,MATCH('FY-(26-27)Q1'!$K$2:$L$2,'JUNE-2026'!$A$2:$CU$2,0),0),0)</f>
        <v>-3.1434086956521741</v>
      </c>
      <c r="M33" s="71">
        <f t="shared" si="0"/>
        <v>3155742</v>
      </c>
      <c r="N33" s="169">
        <f t="shared" si="1"/>
        <v>13.720617391304348</v>
      </c>
      <c r="O33" s="88">
        <f>IFERROR(VLOOKUP($B$4:$B$66,#REF!,MATCH('FY-(26-27)Q1'!$O$2:$P$2,#REF!,0),0),0)</f>
        <v>0</v>
      </c>
      <c r="P33" s="127">
        <f>IFERROR(VLOOKUP($B$4:$B$66,#REF!,MATCH('FY-(26-27)Q1'!$O$2:$P$2,#REF!,0),0),0)</f>
        <v>0</v>
      </c>
      <c r="Q33" s="88">
        <f>IFERROR(VLOOKUP($B$4:$B$66,#REF!,MATCH('FY-(26-27)Q1'!$Q$2:$R$2,#REF!,0),0),0)</f>
        <v>0</v>
      </c>
      <c r="R33" s="127">
        <f>IFERROR(VLOOKUP($B$4:$B$66,#REF!,MATCH('FY-(26-27)Q1'!$Q$2:$R$2,#REF!,0),0),0)</f>
        <v>0</v>
      </c>
      <c r="S33" s="45"/>
      <c r="T33" s="72"/>
      <c r="V33" s="157">
        <f t="shared" si="2"/>
        <v>3155742</v>
      </c>
      <c r="W33" s="171">
        <f t="shared" si="3"/>
        <v>13.720617391304348</v>
      </c>
    </row>
    <row r="34" spans="2:31" ht="15" customHeight="1" x14ac:dyDescent="0.25">
      <c r="B34" s="35" t="s">
        <v>29</v>
      </c>
      <c r="C34" s="34" t="s">
        <v>22</v>
      </c>
      <c r="D34" s="34" t="s">
        <v>153</v>
      </c>
      <c r="E34" s="37" t="s">
        <v>5</v>
      </c>
      <c r="F34" s="117">
        <v>5</v>
      </c>
      <c r="G34" s="156">
        <f>IFERROR(VLOOKUP($B$3:$B$128,'APR-2026'!$A$4:$ABW$112,MATCH('FY-(26-27)Q1'!$G$2:$H$2,'APR-2026'!$A$2:$BX$2,0),0),0)</f>
        <v>1319283</v>
      </c>
      <c r="H34" s="158">
        <f>IFERROR(VLOOKUP($B$3:$B$128,'APR-2026'!$A$4:$ABW$112,MATCH('FY-(26-27)Q1'!$G$2:$H$2,'APR-2026'!$A$2:$BX$2,0),0),0)</f>
        <v>2.6385659999999995</v>
      </c>
      <c r="I34" s="156">
        <f>IFERROR(VLOOKUP($B$3:$B$128,'MAY-2026'!$A$4:$ACO$113,MATCH('FY-(26-27)Q1'!$I$2:$J$2,'MAY-2026'!$A$2:$CP$2,0),0),0)</f>
        <v>841036</v>
      </c>
      <c r="J34" s="158">
        <f>IFERROR(VLOOKUP($B$3:$B$128,'MAY-2026'!$A$4:$ACO$113,MATCH('FY-(26-27)Q1'!$I$2:$J$2,'MAY-2026'!$A$2:$CP$2,0),0),0)</f>
        <v>1.682072</v>
      </c>
      <c r="K34" s="156">
        <f>IFERROR(VLOOKUP($B$3:$B$128,'JUNE-2026'!$A$4:$ACT$113,MATCH('FY-(26-27)Q1'!$K$2:$L$2,'JUNE-2026'!$A$2:$CU$2,0),0),0)</f>
        <v>-130452</v>
      </c>
      <c r="L34" s="158">
        <f>IFERROR(VLOOKUP($B$3:$B$128,'JUNE-2026'!$A$4:$ACT$113,MATCH('FY-(26-27)Q1'!$K$2:$L$2,'JUNE-2026'!$A$2:$CU$2,0),0),0)</f>
        <v>-0.26090400000000002</v>
      </c>
      <c r="M34" s="71">
        <f t="shared" si="0"/>
        <v>2029867</v>
      </c>
      <c r="N34" s="169">
        <f t="shared" si="1"/>
        <v>4.0597339999999997</v>
      </c>
      <c r="O34" s="88">
        <f>IFERROR(VLOOKUP($B$4:$B$66,#REF!,MATCH('FY-(26-27)Q1'!$O$2:$P$2,#REF!,0),0),0)</f>
        <v>0</v>
      </c>
      <c r="P34" s="127">
        <f>IFERROR(VLOOKUP($B$4:$B$66,#REF!,MATCH('FY-(26-27)Q1'!$O$2:$P$2,#REF!,0),0),0)</f>
        <v>0</v>
      </c>
      <c r="Q34" s="88">
        <f>IFERROR(VLOOKUP($B$4:$B$66,#REF!,MATCH('FY-(26-27)Q1'!$Q$2:$R$2,#REF!,0),0),0)</f>
        <v>0</v>
      </c>
      <c r="R34" s="127">
        <f>IFERROR(VLOOKUP($B$4:$B$66,#REF!,MATCH('FY-(26-27)Q1'!$Q$2:$R$2,#REF!,0),0),0)</f>
        <v>0</v>
      </c>
      <c r="S34" s="45"/>
      <c r="T34" s="72"/>
      <c r="V34" s="157">
        <f t="shared" si="2"/>
        <v>2029867</v>
      </c>
      <c r="W34" s="171">
        <f t="shared" si="3"/>
        <v>4.0597339999999997</v>
      </c>
    </row>
    <row r="35" spans="2:31" ht="15" customHeight="1" x14ac:dyDescent="0.25">
      <c r="B35" s="35" t="s">
        <v>28</v>
      </c>
      <c r="C35" s="34" t="s">
        <v>252</v>
      </c>
      <c r="D35" s="34" t="s">
        <v>123</v>
      </c>
      <c r="E35" s="37" t="s">
        <v>92</v>
      </c>
      <c r="F35" s="117">
        <v>10</v>
      </c>
      <c r="G35" s="156">
        <f>IFERROR(VLOOKUP($B$3:$B$128,'APR-2026'!$A$4:$ABW$112,MATCH('FY-(26-27)Q1'!$G$2:$H$2,'APR-2026'!$A$2:$BX$2,0),0),0)</f>
        <v>2899700</v>
      </c>
      <c r="H35" s="158">
        <f>IFERROR(VLOOKUP($B$3:$B$128,'APR-2026'!$A$4:$ABW$112,MATCH('FY-(26-27)Q1'!$G$2:$H$2,'APR-2026'!$A$2:$BX$2,0),0),0)</f>
        <v>2.8997000000000002</v>
      </c>
      <c r="I35" s="156">
        <f>IFERROR(VLOOKUP($B$3:$B$128,'MAY-2026'!$A$4:$ACO$113,MATCH('FY-(26-27)Q1'!$I$2:$J$2,'MAY-2026'!$A$2:$CP$2,0),0),0)</f>
        <v>-30465</v>
      </c>
      <c r="J35" s="158">
        <f>IFERROR(VLOOKUP($B$3:$B$128,'MAY-2026'!$A$4:$ACO$113,MATCH('FY-(26-27)Q1'!$I$2:$J$2,'MAY-2026'!$A$2:$CP$2,0),0),0)</f>
        <v>-3.0464999999999999E-2</v>
      </c>
      <c r="K35" s="156">
        <f>IFERROR(VLOOKUP($B$3:$B$128,'JUNE-2026'!$A$4:$ACT$113,MATCH('FY-(26-27)Q1'!$K$2:$L$2,'JUNE-2026'!$A$2:$CU$2,0),0),0)</f>
        <v>-122056</v>
      </c>
      <c r="L35" s="158">
        <f>IFERROR(VLOOKUP($B$3:$B$128,'JUNE-2026'!$A$4:$ACT$113,MATCH('FY-(26-27)Q1'!$K$2:$L$2,'JUNE-2026'!$A$2:$CU$2,0),0),0)</f>
        <v>-0.122056</v>
      </c>
      <c r="M35" s="71">
        <f t="shared" si="0"/>
        <v>2747179</v>
      </c>
      <c r="N35" s="169">
        <f t="shared" si="1"/>
        <v>2.747179</v>
      </c>
      <c r="O35" s="88">
        <f>IFERROR(VLOOKUP($B$4:$B$66,#REF!,MATCH('FY-(26-27)Q1'!$O$2:$P$2,#REF!,0),0),0)</f>
        <v>0</v>
      </c>
      <c r="P35" s="127">
        <f>IFERROR(VLOOKUP($B$4:$B$66,#REF!,MATCH('FY-(26-27)Q1'!$O$2:$P$2,#REF!,0),0),0)</f>
        <v>0</v>
      </c>
      <c r="Q35" s="88">
        <f>IFERROR(VLOOKUP($B$4:$B$66,#REF!,MATCH('FY-(26-27)Q1'!$Q$2:$R$2,#REF!,0),0),0)</f>
        <v>0</v>
      </c>
      <c r="R35" s="127">
        <f>IFERROR(VLOOKUP($B$4:$B$66,#REF!,MATCH('FY-(26-27)Q1'!$Q$2:$R$2,#REF!,0),0),0)</f>
        <v>0</v>
      </c>
      <c r="S35" s="45"/>
      <c r="T35" s="72"/>
      <c r="U35" s="135"/>
      <c r="V35" s="157">
        <f t="shared" si="2"/>
        <v>2747179</v>
      </c>
      <c r="W35" s="171">
        <f t="shared" si="3"/>
        <v>2.747179</v>
      </c>
      <c r="Y35" s="134"/>
    </row>
    <row r="36" spans="2:31" s="135" customFormat="1" ht="15" customHeight="1" x14ac:dyDescent="0.25">
      <c r="B36" s="145" t="s">
        <v>194</v>
      </c>
      <c r="C36" s="144" t="s">
        <v>187</v>
      </c>
      <c r="D36" s="144" t="s">
        <v>188</v>
      </c>
      <c r="E36" s="145" t="s">
        <v>92</v>
      </c>
      <c r="F36" s="159">
        <v>13</v>
      </c>
      <c r="G36" s="156">
        <f>IFERROR(VLOOKUP($B$3:$B$128,'APR-2026'!$A$4:$ABW$112,MATCH('FY-(26-27)Q1'!$G$2:$H$2,'APR-2026'!$A$2:$BX$2,0),0),0)</f>
        <v>2457630</v>
      </c>
      <c r="H36" s="158">
        <f>IFERROR(VLOOKUP($B$3:$B$128,'APR-2026'!$A$4:$ABW$112,MATCH('FY-(26-27)Q1'!$G$2:$H$2,'APR-2026'!$A$2:$BX$2,0),0),0)</f>
        <v>2.45763</v>
      </c>
      <c r="I36" s="156">
        <f>IFERROR(VLOOKUP($B$3:$B$128,'MAY-2026'!$A$4:$ACO$113,MATCH('FY-(26-27)Q1'!$I$2:$J$2,'MAY-2026'!$A$2:$CP$2,0),0),0)</f>
        <v>357271</v>
      </c>
      <c r="J36" s="158">
        <f>IFERROR(VLOOKUP($B$3:$B$128,'MAY-2026'!$A$4:$ACO$113,MATCH('FY-(26-27)Q1'!$I$2:$J$2,'MAY-2026'!$A$2:$CP$2,0),0),0)</f>
        <v>0.27482384615384614</v>
      </c>
      <c r="K36" s="156">
        <f>IFERROR(VLOOKUP($B$3:$B$128,'JUNE-2026'!$A$4:$ACT$113,MATCH('FY-(26-27)Q1'!$K$2:$L$2,'JUNE-2026'!$A$2:$CU$2,0),0),0)</f>
        <v>-117212</v>
      </c>
      <c r="L36" s="158">
        <f>IFERROR(VLOOKUP($B$3:$B$128,'JUNE-2026'!$A$4:$ACT$113,MATCH('FY-(26-27)Q1'!$K$2:$L$2,'JUNE-2026'!$A$2:$CU$2,0),0),0)</f>
        <v>-9.0163076923076915E-2</v>
      </c>
      <c r="M36" s="71">
        <f t="shared" ref="M36" si="17">G36+I36+K36</f>
        <v>2697689</v>
      </c>
      <c r="N36" s="169">
        <f t="shared" ref="N36" si="18">H36+J36+L36</f>
        <v>2.6422907692307693</v>
      </c>
      <c r="O36" s="156">
        <f>IFERROR(VLOOKUP($B$4:$B$66,#REF!,MATCH('FY-(26-27)Q1'!$O$2:$P$2,#REF!,0),0),0)</f>
        <v>0</v>
      </c>
      <c r="P36" s="162">
        <f>IFERROR(VLOOKUP($B$4:$B$66,#REF!,MATCH('FY-(26-27)Q1'!$O$2:$P$2,#REF!,0),0),0)</f>
        <v>0</v>
      </c>
      <c r="Q36" s="156">
        <f>IFERROR(VLOOKUP($B$4:$B$66,#REF!,MATCH('FY-(26-27)Q1'!$Q$2:$R$2,#REF!,0),0),0)</f>
        <v>0</v>
      </c>
      <c r="R36" s="162">
        <f>IFERROR(VLOOKUP($B$4:$B$66,#REF!,MATCH('FY-(26-27)Q1'!$Q$2:$R$2,#REF!,0),0),0)</f>
        <v>0</v>
      </c>
      <c r="S36" s="147"/>
      <c r="T36" s="153"/>
      <c r="V36" s="157">
        <f t="shared" si="2"/>
        <v>2697689</v>
      </c>
      <c r="W36" s="171">
        <f t="shared" si="3"/>
        <v>2.6422907692307693</v>
      </c>
      <c r="X36"/>
      <c r="Y36"/>
      <c r="Z36"/>
      <c r="AA36"/>
      <c r="AB36"/>
      <c r="AC36"/>
      <c r="AD36"/>
      <c r="AE36"/>
    </row>
    <row r="37" spans="2:31" ht="15" customHeight="1" x14ac:dyDescent="0.25">
      <c r="B37" s="145" t="s">
        <v>149</v>
      </c>
      <c r="C37" s="144" t="s">
        <v>148</v>
      </c>
      <c r="D37" s="144" t="s">
        <v>142</v>
      </c>
      <c r="E37" s="145" t="s">
        <v>92</v>
      </c>
      <c r="F37" s="159">
        <v>1.5</v>
      </c>
      <c r="G37" s="156">
        <f>IFERROR(VLOOKUP($B$3:$B$128,'APR-2026'!$A$4:$ABW$112,MATCH('FY-(26-27)Q1'!$G$2:$H$2,'APR-2026'!$A$2:$BX$2,0),0),0)</f>
        <v>339000</v>
      </c>
      <c r="H37" s="158">
        <f>IFERROR(VLOOKUP($B$3:$B$128,'APR-2026'!$A$4:$ABW$112,MATCH('FY-(26-27)Q1'!$G$2:$H$2,'APR-2026'!$A$2:$BX$2,0),0),0)</f>
        <v>2.2599999999999998</v>
      </c>
      <c r="I37" s="156">
        <f>IFERROR(VLOOKUP($B$3:$B$128,'MAY-2026'!$A$4:$ACO$113,MATCH('FY-(26-27)Q1'!$I$2:$J$2,'MAY-2026'!$A$2:$CP$2,0),0),0)</f>
        <v>-17574</v>
      </c>
      <c r="J37" s="158">
        <f>IFERROR(VLOOKUP($B$3:$B$128,'MAY-2026'!$A$4:$ACO$113,MATCH('FY-(26-27)Q1'!$I$2:$J$2,'MAY-2026'!$A$2:$CP$2,0),0),0)</f>
        <v>-0.11716</v>
      </c>
      <c r="K37" s="156">
        <f>IFERROR(VLOOKUP($B$3:$B$128,'JUNE-2026'!$A$4:$ACT$113,MATCH('FY-(26-27)Q1'!$K$2:$L$2,'JUNE-2026'!$A$2:$CU$2,0),0),0)</f>
        <v>-9380</v>
      </c>
      <c r="L37" s="158">
        <f>IFERROR(VLOOKUP($B$3:$B$128,'JUNE-2026'!$A$4:$ACT$113,MATCH('FY-(26-27)Q1'!$K$2:$L$2,'JUNE-2026'!$A$2:$CU$2,0),0),0)</f>
        <v>-6.253333333333333E-2</v>
      </c>
      <c r="M37" s="71">
        <f t="shared" si="0"/>
        <v>312046</v>
      </c>
      <c r="N37" s="169">
        <f t="shared" si="1"/>
        <v>2.0803066666666661</v>
      </c>
      <c r="O37" s="156">
        <f>IFERROR(VLOOKUP($B$4:$B$66,#REF!,MATCH('FY-(26-27)Q1'!$O$2:$P$2,#REF!,0),0),0)</f>
        <v>0</v>
      </c>
      <c r="P37" s="162">
        <f>IFERROR(VLOOKUP($B$4:$B$66,#REF!,MATCH('FY-(26-27)Q1'!$O$2:$P$2,#REF!,0),0),0)</f>
        <v>0</v>
      </c>
      <c r="Q37" s="156">
        <f>IFERROR(VLOOKUP($B$4:$B$66,#REF!,MATCH('FY-(26-27)Q1'!$Q$2:$R$2,#REF!,0),0),0)</f>
        <v>0</v>
      </c>
      <c r="R37" s="162">
        <f>IFERROR(VLOOKUP($B$4:$B$66,#REF!,MATCH('FY-(26-27)Q1'!$Q$2:$R$2,#REF!,0),0),0)</f>
        <v>0</v>
      </c>
      <c r="S37" s="147"/>
      <c r="T37" s="153"/>
      <c r="V37" s="157">
        <f t="shared" si="2"/>
        <v>312046</v>
      </c>
      <c r="W37" s="171">
        <f t="shared" si="3"/>
        <v>2.0803066666666661</v>
      </c>
      <c r="X37" s="1"/>
      <c r="AA37" s="135"/>
      <c r="AB37" s="135"/>
      <c r="AC37" s="135"/>
      <c r="AD37" s="135"/>
      <c r="AE37" s="135"/>
    </row>
    <row r="38" spans="2:31" s="1" customFormat="1" ht="15" customHeight="1" x14ac:dyDescent="0.25">
      <c r="B38" s="145" t="s">
        <v>198</v>
      </c>
      <c r="C38" s="34" t="s">
        <v>251</v>
      </c>
      <c r="D38" s="34" t="s">
        <v>183</v>
      </c>
      <c r="E38" s="37" t="s">
        <v>92</v>
      </c>
      <c r="F38" s="117">
        <v>6</v>
      </c>
      <c r="G38" s="156">
        <f>IFERROR(VLOOKUP($B$3:$B$128,'APR-2026'!$A$4:$ABW$112,MATCH('FY-(26-27)Q1'!$G$2:$H$2,'APR-2026'!$A$2:$BX$2,0),0),0)</f>
        <v>679300</v>
      </c>
      <c r="H38" s="158">
        <f>IFERROR(VLOOKUP($B$3:$B$128,'APR-2026'!$A$4:$ABW$112,MATCH('FY-(26-27)Q1'!$G$2:$H$2,'APR-2026'!$A$2:$BX$2,0),0),0)</f>
        <v>2.2643333333333335</v>
      </c>
      <c r="I38" s="156">
        <f>IFERROR(VLOOKUP($B$3:$B$128,'MAY-2026'!$A$4:$ACO$113,MATCH('FY-(26-27)Q1'!$I$2:$J$2,'MAY-2026'!$A$2:$CP$2,0),0),0)</f>
        <v>199400</v>
      </c>
      <c r="J38" s="158">
        <f>IFERROR(VLOOKUP($B$3:$B$128,'MAY-2026'!$A$4:$ACO$113,MATCH('FY-(26-27)Q1'!$I$2:$J$2,'MAY-2026'!$A$2:$CP$2,0),0),0)</f>
        <v>0.33233333333333337</v>
      </c>
      <c r="K38" s="156">
        <f>IFERROR(VLOOKUP($B$3:$B$128,'JUNE-2026'!$A$4:$ACT$113,MATCH('FY-(26-27)Q1'!$K$2:$L$2,'JUNE-2026'!$A$2:$CU$2,0),0),0)</f>
        <v>-40645</v>
      </c>
      <c r="L38" s="158">
        <f>IFERROR(VLOOKUP($B$3:$B$128,'JUNE-2026'!$A$4:$ACT$113,MATCH('FY-(26-27)Q1'!$K$2:$L$2,'JUNE-2026'!$A$2:$CU$2,0),0),0)</f>
        <v>-6.7741666666666672E-2</v>
      </c>
      <c r="M38" s="71">
        <f t="shared" ref="M38:N40" si="19">G38+I38+K38</f>
        <v>838055</v>
      </c>
      <c r="N38" s="169">
        <f t="shared" si="19"/>
        <v>2.5289250000000001</v>
      </c>
      <c r="O38" s="88">
        <f>IFERROR(VLOOKUP($B$4:$B$66,#REF!,MATCH('FY-(26-27)Q1'!$O$2:$P$2,#REF!,0),0),0)</f>
        <v>0</v>
      </c>
      <c r="P38" s="127">
        <f>IFERROR(VLOOKUP($B$4:$B$66,#REF!,MATCH('FY-(26-27)Q1'!$O$2:$P$2,#REF!,0),0),0)</f>
        <v>0</v>
      </c>
      <c r="Q38" s="88">
        <f>IFERROR(VLOOKUP($B$4:$B$66,#REF!,MATCH('FY-(26-27)Q1'!$Q$2:$R$2,#REF!,0),0),0)</f>
        <v>0</v>
      </c>
      <c r="R38" s="127">
        <f>IFERROR(VLOOKUP($B$4:$B$66,#REF!,MATCH('FY-(26-27)Q1'!$Q$2:$R$2,#REF!,0),0),0)</f>
        <v>0</v>
      </c>
      <c r="S38" s="45"/>
      <c r="T38" s="72"/>
      <c r="U38"/>
      <c r="V38" s="157">
        <f t="shared" si="2"/>
        <v>838055</v>
      </c>
      <c r="W38" s="171">
        <f t="shared" si="3"/>
        <v>2.5289250000000001</v>
      </c>
      <c r="X38"/>
      <c r="AA38"/>
      <c r="AB38"/>
      <c r="AC38"/>
      <c r="AD38"/>
      <c r="AE38"/>
    </row>
    <row r="39" spans="2:31" ht="15" customHeight="1" x14ac:dyDescent="0.25">
      <c r="B39" s="166" t="s">
        <v>209</v>
      </c>
      <c r="C39" s="144" t="s">
        <v>207</v>
      </c>
      <c r="D39" s="144" t="s">
        <v>208</v>
      </c>
      <c r="E39" s="145" t="s">
        <v>92</v>
      </c>
      <c r="F39" s="167">
        <v>1</v>
      </c>
      <c r="G39" s="156">
        <f>IFERROR(VLOOKUP($B$3:$B$128,'APR-2026'!$A$4:$ABW$112,MATCH('FY-(26-27)Q1'!$G$2:$H$2,'APR-2026'!$A$2:$BX$2,0),0),0)</f>
        <v>114100</v>
      </c>
      <c r="H39" s="158">
        <f>IFERROR(VLOOKUP($B$3:$B$128,'APR-2026'!$A$4:$ABW$112,MATCH('FY-(26-27)Q1'!$G$2:$H$2,'APR-2026'!$A$2:$BX$2,0),0),0)</f>
        <v>0.91279999999999994</v>
      </c>
      <c r="I39" s="156">
        <f>IFERROR(VLOOKUP($B$3:$B$128,'MAY-2026'!$A$4:$ACO$113,MATCH('FY-(26-27)Q1'!$I$2:$J$2,'MAY-2026'!$A$2:$CP$2,0),0),0)</f>
        <v>-13242</v>
      </c>
      <c r="J39" s="158">
        <f>IFERROR(VLOOKUP($B$3:$B$128,'MAY-2026'!$A$4:$ACO$113,MATCH('FY-(26-27)Q1'!$I$2:$J$2,'MAY-2026'!$A$2:$CP$2,0),0),0)</f>
        <v>-0.105936</v>
      </c>
      <c r="K39" s="156">
        <f>IFERROR(VLOOKUP($B$3:$B$128,'JUNE-2026'!$A$4:$ACT$113,MATCH('FY-(26-27)Q1'!$K$2:$L$2,'JUNE-2026'!$A$2:$CU$2,0),0),0)</f>
        <v>-10776</v>
      </c>
      <c r="L39" s="158">
        <f>IFERROR(VLOOKUP($B$3:$B$128,'JUNE-2026'!$A$4:$ACT$113,MATCH('FY-(26-27)Q1'!$K$2:$L$2,'JUNE-2026'!$A$2:$CU$2,0),0),0)</f>
        <v>-8.6207999999999993E-2</v>
      </c>
      <c r="M39" s="71">
        <f t="shared" si="19"/>
        <v>90082</v>
      </c>
      <c r="N39" s="169">
        <f t="shared" si="19"/>
        <v>0.72065599999999996</v>
      </c>
      <c r="O39" s="156">
        <f>IFERROR(VLOOKUP($B$4:$B$66,#REF!,MATCH('FY-(26-27)Q1'!$O$2:$P$2,#REF!,0),0),0)</f>
        <v>0</v>
      </c>
      <c r="P39" s="162">
        <f>IFERROR(VLOOKUP($B$4:$B$66,#REF!,MATCH('FY-(26-27)Q1'!$O$2:$P$2,#REF!,0),0),0)</f>
        <v>0</v>
      </c>
      <c r="Q39" s="156">
        <f>IFERROR(VLOOKUP($B$4:$B$66,#REF!,MATCH('FY-(26-27)Q1'!$Q$2:$R$2,#REF!,0),0),0)</f>
        <v>0</v>
      </c>
      <c r="R39" s="162">
        <f>IFERROR(VLOOKUP($B$4:$B$66,#REF!,MATCH('FY-(26-27)Q1'!$Q$2:$R$2,#REF!,0),0),0)</f>
        <v>0</v>
      </c>
      <c r="S39" s="147"/>
      <c r="T39" s="153"/>
      <c r="U39" s="135"/>
      <c r="V39" s="157">
        <f t="shared" si="2"/>
        <v>90082</v>
      </c>
      <c r="W39" s="171">
        <f t="shared" si="3"/>
        <v>0.72065599999999996</v>
      </c>
      <c r="AA39" s="1"/>
      <c r="AB39" s="1"/>
      <c r="AC39" s="1"/>
      <c r="AD39" s="1"/>
      <c r="AE39" s="1"/>
    </row>
    <row r="40" spans="2:31" s="135" customFormat="1" ht="15" customHeight="1" thickBot="1" x14ac:dyDescent="0.3">
      <c r="B40" s="62" t="s">
        <v>1</v>
      </c>
      <c r="C40" s="62" t="s">
        <v>94</v>
      </c>
      <c r="D40" s="62" t="s">
        <v>253</v>
      </c>
      <c r="E40" s="42" t="s">
        <v>93</v>
      </c>
      <c r="F40" s="204">
        <v>1.5</v>
      </c>
      <c r="G40" s="156">
        <f>IFERROR(VLOOKUP($B$3:$B$128,'APR-2026'!$A$4:$ABW$112,MATCH('FY-(26-27)Q1'!$G$2:$H$2,'APR-2026'!$A$2:$BX$2,0),0),0)</f>
        <v>354500</v>
      </c>
      <c r="H40" s="158">
        <f>IFERROR(VLOOKUP($B$3:$B$128,'APR-2026'!$A$4:$ABW$112,MATCH('FY-(26-27)Q1'!$G$2:$H$2,'APR-2026'!$A$2:$BX$2,0),0),0)</f>
        <v>2.3633333333333337</v>
      </c>
      <c r="I40" s="156">
        <f>IFERROR(VLOOKUP($B$3:$B$128,'MAY-2026'!$A$4:$ACO$113,MATCH('FY-(26-27)Q1'!$I$2:$J$2,'MAY-2026'!$A$2:$CP$2,0),0),0)</f>
        <v>-16090</v>
      </c>
      <c r="J40" s="158">
        <f>IFERROR(VLOOKUP($B$3:$B$128,'MAY-2026'!$A$4:$ACO$113,MATCH('FY-(26-27)Q1'!$I$2:$J$2,'MAY-2026'!$A$2:$CP$2,0),0),0)</f>
        <v>-0.10726666666666665</v>
      </c>
      <c r="K40" s="156">
        <f>IFERROR(VLOOKUP($B$3:$B$128,'JUNE-2026'!$A$4:$ACT$113,MATCH('FY-(26-27)Q1'!$K$2:$L$2,'JUNE-2026'!$A$2:$CU$2,0),0),0)</f>
        <v>-9647</v>
      </c>
      <c r="L40" s="158">
        <f>IFERROR(VLOOKUP($B$3:$B$128,'JUNE-2026'!$A$4:$ACT$113,MATCH('FY-(26-27)Q1'!$K$2:$L$2,'JUNE-2026'!$A$2:$CU$2,0),0),0)</f>
        <v>-6.431333333333332E-2</v>
      </c>
      <c r="M40" s="71">
        <f t="shared" si="19"/>
        <v>328763</v>
      </c>
      <c r="N40" s="169">
        <f t="shared" si="19"/>
        <v>2.1917533333333337</v>
      </c>
      <c r="O40" s="88">
        <f>IFERROR(VLOOKUP($B$4:$B$66,#REF!,MATCH('FY-(26-27)Q1'!$O$2:$P$2,#REF!,0),0),0)</f>
        <v>0</v>
      </c>
      <c r="P40" s="127">
        <f>IFERROR(VLOOKUP($B$4:$B$66,#REF!,MATCH('FY-(26-27)Q1'!$O$2:$P$2,#REF!,0),0),0)</f>
        <v>0</v>
      </c>
      <c r="Q40" s="88">
        <f>IFERROR(VLOOKUP($B$4:$B$66,#REF!,MATCH('FY-(26-27)Q1'!$Q$2:$R$2,#REF!,0),0),0)</f>
        <v>0</v>
      </c>
      <c r="R40" s="88">
        <f>IFERROR(VLOOKUP($B$4:$B$66,#REF!,MATCH('FY-(26-27)Q1'!$Q$2:$R$2,#REF!,0),0),0)</f>
        <v>0</v>
      </c>
      <c r="S40" s="73"/>
      <c r="T40" s="72"/>
      <c r="U40"/>
      <c r="V40" s="157">
        <f>M40+O40+Q40+S40</f>
        <v>328763</v>
      </c>
      <c r="W40" s="171">
        <f>(N40+P40+R40+T40)</f>
        <v>2.1917533333333337</v>
      </c>
    </row>
    <row r="41" spans="2:31" ht="15" customHeight="1" x14ac:dyDescent="0.25">
      <c r="B41" s="35" t="s">
        <v>66</v>
      </c>
      <c r="C41" s="34" t="s">
        <v>65</v>
      </c>
      <c r="D41" s="34" t="s">
        <v>7</v>
      </c>
      <c r="E41" s="37" t="s">
        <v>61</v>
      </c>
      <c r="F41" s="117">
        <v>5</v>
      </c>
      <c r="G41" s="156">
        <f>IFERROR(VLOOKUP($B$3:$B$128,'APR-2026'!$A$4:$ABW$112,MATCH('FY-(26-27)Q1'!$G$2:$H$2,'APR-2026'!$A$2:$BX$2,0),0),0)</f>
        <v>213967</v>
      </c>
      <c r="H41" s="158">
        <f>IFERROR(VLOOKUP($B$3:$B$128,'APR-2026'!$A$4:$ABW$112,MATCH('FY-(26-27)Q1'!$G$2:$H$2,'APR-2026'!$A$2:$BX$2,0),0),0)</f>
        <v>0.42793399999999998</v>
      </c>
      <c r="I41" s="156">
        <f>IFERROR(VLOOKUP($B$3:$B$128,'MAY-2026'!$A$4:$ACO$113,MATCH('FY-(26-27)Q1'!$I$2:$J$2,'MAY-2026'!$A$2:$CP$2,0),0),0)</f>
        <v>844228</v>
      </c>
      <c r="J41" s="158">
        <f>IFERROR(VLOOKUP($B$3:$B$128,'MAY-2026'!$A$4:$ACO$113,MATCH('FY-(26-27)Q1'!$I$2:$J$2,'MAY-2026'!$A$2:$CP$2,0),0),0)</f>
        <v>1.688456</v>
      </c>
      <c r="K41" s="156">
        <f>IFERROR(VLOOKUP($B$3:$B$128,'JUNE-2026'!$A$4:$ACT$113,MATCH('FY-(26-27)Q1'!$K$2:$L$2,'JUNE-2026'!$A$2:$CU$2,0),0),0)</f>
        <v>28164</v>
      </c>
      <c r="L41" s="158">
        <f>IFERROR(VLOOKUP($B$3:$B$128,'JUNE-2026'!$A$4:$ACT$113,MATCH('FY-(26-27)Q1'!$K$2:$L$2,'JUNE-2026'!$A$2:$CU$2,0),0),0)</f>
        <v>5.6328000000000003E-2</v>
      </c>
      <c r="M41" s="71">
        <f t="shared" si="0"/>
        <v>1086359</v>
      </c>
      <c r="N41" s="169">
        <f t="shared" si="1"/>
        <v>2.1727180000000001</v>
      </c>
      <c r="O41" s="88">
        <f>IFERROR(VLOOKUP($B$4:$B$66,#REF!,MATCH('FY-(26-27)Q1'!$O$2:$P$2,#REF!,0),0),0)</f>
        <v>0</v>
      </c>
      <c r="P41" s="127">
        <f>IFERROR(VLOOKUP($B$4:$B$66,#REF!,MATCH('FY-(26-27)Q1'!$O$2:$P$2,#REF!,0),0),0)</f>
        <v>0</v>
      </c>
      <c r="Q41" s="88">
        <f>IFERROR(VLOOKUP($B$4:$B$66,#REF!,MATCH('FY-(26-27)Q1'!$Q$2:$R$2,#REF!,0),0),0)</f>
        <v>0</v>
      </c>
      <c r="R41" s="127">
        <f>IFERROR(VLOOKUP($B$4:$B$66,#REF!,MATCH('FY-(26-27)Q1'!$Q$2:$R$2,#REF!,0),0),0)</f>
        <v>0</v>
      </c>
      <c r="S41" s="45"/>
      <c r="T41" s="72"/>
      <c r="V41" s="157">
        <f t="shared" si="2"/>
        <v>1086359</v>
      </c>
      <c r="W41" s="171">
        <f t="shared" si="3"/>
        <v>2.1727180000000001</v>
      </c>
    </row>
    <row r="42" spans="2:31" ht="15" customHeight="1" x14ac:dyDescent="0.25">
      <c r="B42" s="34" t="s">
        <v>34</v>
      </c>
      <c r="C42" s="36" t="s">
        <v>18</v>
      </c>
      <c r="D42" s="34" t="s">
        <v>10</v>
      </c>
      <c r="E42" s="37" t="s">
        <v>61</v>
      </c>
      <c r="F42" s="119">
        <v>5</v>
      </c>
      <c r="G42" s="156">
        <f>IFERROR(VLOOKUP($B$3:$B$128,'APR-2026'!$A$4:$ABW$112,MATCH('FY-(26-27)Q1'!$G$2:$H$2,'APR-2026'!$A$2:$BX$2,0),0),0)</f>
        <v>668954</v>
      </c>
      <c r="H42" s="158">
        <f>IFERROR(VLOOKUP($B$3:$B$128,'APR-2026'!$A$4:$ABW$112,MATCH('FY-(26-27)Q1'!$G$2:$H$2,'APR-2026'!$A$2:$BX$2,0),0),0)</f>
        <v>1.3379079999999999</v>
      </c>
      <c r="I42" s="156">
        <f>IFERROR(VLOOKUP($B$3:$B$128,'MAY-2026'!$A$4:$ACO$113,MATCH('FY-(26-27)Q1'!$I$2:$J$2,'MAY-2026'!$A$2:$CP$2,0),0),0)</f>
        <v>-630839</v>
      </c>
      <c r="J42" s="158">
        <f>IFERROR(VLOOKUP($B$3:$B$128,'MAY-2026'!$A$4:$ACO$113,MATCH('FY-(26-27)Q1'!$I$2:$J$2,'MAY-2026'!$A$2:$CP$2,0),0),0)</f>
        <v>-1.2616780000000001</v>
      </c>
      <c r="K42" s="156">
        <f>IFERROR(VLOOKUP($B$3:$B$128,'JUNE-2026'!$A$4:$ACT$113,MATCH('FY-(26-27)Q1'!$K$2:$L$2,'JUNE-2026'!$A$2:$CU$2,0),0),0)</f>
        <v>-307780</v>
      </c>
      <c r="L42" s="158">
        <f>IFERROR(VLOOKUP($B$3:$B$128,'JUNE-2026'!$A$4:$ACT$113,MATCH('FY-(26-27)Q1'!$K$2:$L$2,'JUNE-2026'!$A$2:$CU$2,0),0),0)</f>
        <v>-0.61556</v>
      </c>
      <c r="M42" s="71">
        <f t="shared" si="0"/>
        <v>-269665</v>
      </c>
      <c r="N42" s="169">
        <f t="shared" si="1"/>
        <v>-0.5393300000000002</v>
      </c>
      <c r="O42" s="88">
        <f>IFERROR(VLOOKUP($B$4:$B$66,#REF!,MATCH('FY-(26-27)Q1'!$O$2:$P$2,#REF!,0),0),0)</f>
        <v>0</v>
      </c>
      <c r="P42" s="127">
        <f>IFERROR(VLOOKUP($B$4:$B$66,#REF!,MATCH('FY-(26-27)Q1'!$O$2:$P$2,#REF!,0),0),0)</f>
        <v>0</v>
      </c>
      <c r="Q42" s="88">
        <f>IFERROR(VLOOKUP($B$4:$B$66,#REF!,MATCH('FY-(26-27)Q1'!$Q$2:$R$2,#REF!,0),0),0)</f>
        <v>0</v>
      </c>
      <c r="R42" s="127">
        <f>IFERROR(VLOOKUP($B$4:$B$66,#REF!,MATCH('FY-(26-27)Q1'!$Q$2:$R$2,#REF!,0),0),0)</f>
        <v>0</v>
      </c>
      <c r="S42" s="45"/>
      <c r="T42" s="72"/>
      <c r="U42" s="1"/>
      <c r="V42" s="157">
        <f t="shared" si="2"/>
        <v>-269665</v>
      </c>
      <c r="W42" s="171">
        <f t="shared" si="3"/>
        <v>-0.5393300000000002</v>
      </c>
      <c r="X42" s="1"/>
    </row>
    <row r="43" spans="2:31" ht="15" customHeight="1" x14ac:dyDescent="0.25">
      <c r="B43" s="34" t="s">
        <v>133</v>
      </c>
      <c r="C43" s="36" t="s">
        <v>132</v>
      </c>
      <c r="D43" s="34" t="s">
        <v>16</v>
      </c>
      <c r="E43" s="37" t="s">
        <v>118</v>
      </c>
      <c r="F43" s="119">
        <v>0.5</v>
      </c>
      <c r="G43" s="156">
        <f>IFERROR(VLOOKUP($B$3:$B$128,'APR-2026'!$A$4:$ABW$112,MATCH('FY-(26-27)Q1'!$G$2:$H$2,'APR-2026'!$A$2:$BX$2,0),0),0)</f>
        <v>47009</v>
      </c>
      <c r="H43" s="158">
        <f>IFERROR(VLOOKUP($B$3:$B$128,'APR-2026'!$A$4:$ABW$112,MATCH('FY-(26-27)Q1'!$G$2:$H$2,'APR-2026'!$A$2:$BX$2,0),0),0)</f>
        <v>0.94018000000000002</v>
      </c>
      <c r="I43" s="156">
        <f>IFERROR(VLOOKUP($B$3:$B$128,'MAY-2026'!$A$4:$ACO$113,MATCH('FY-(26-27)Q1'!$I$2:$J$2,'MAY-2026'!$A$2:$CP$2,0),0),0)</f>
        <v>-22476</v>
      </c>
      <c r="J43" s="158">
        <f>IFERROR(VLOOKUP($B$3:$B$128,'MAY-2026'!$A$4:$ACO$113,MATCH('FY-(26-27)Q1'!$I$2:$J$2,'MAY-2026'!$A$2:$CP$2,0),0),0)</f>
        <v>-0.44951999999999998</v>
      </c>
      <c r="K43" s="156">
        <f>IFERROR(VLOOKUP($B$3:$B$128,'JUNE-2026'!$A$4:$ACT$113,MATCH('FY-(26-27)Q1'!$K$2:$L$2,'JUNE-2026'!$A$2:$CU$2,0),0),0)</f>
        <v>11436</v>
      </c>
      <c r="L43" s="158">
        <f>IFERROR(VLOOKUP($B$3:$B$128,'JUNE-2026'!$A$4:$ACT$113,MATCH('FY-(26-27)Q1'!$K$2:$L$2,'JUNE-2026'!$A$2:$CU$2,0),0),0)</f>
        <v>0.22872000000000001</v>
      </c>
      <c r="M43" s="71">
        <f t="shared" si="0"/>
        <v>35969</v>
      </c>
      <c r="N43" s="169">
        <f t="shared" si="1"/>
        <v>0.71938000000000002</v>
      </c>
      <c r="O43" s="88">
        <f>IFERROR(VLOOKUP($B$4:$B$66,#REF!,MATCH('FY-(26-27)Q1'!$O$2:$P$2,#REF!,0),0),0)</f>
        <v>0</v>
      </c>
      <c r="P43" s="127">
        <f>IFERROR(VLOOKUP($B$4:$B$66,#REF!,MATCH('FY-(26-27)Q1'!$O$2:$P$2,#REF!,0),0),0)</f>
        <v>0</v>
      </c>
      <c r="Q43" s="88">
        <f>IFERROR(VLOOKUP($B$4:$B$66,#REF!,MATCH('FY-(26-27)Q1'!$Q$2:$R$2,#REF!,0),0),0)</f>
        <v>0</v>
      </c>
      <c r="R43" s="127">
        <f>IFERROR(VLOOKUP($B$4:$B$66,#REF!,MATCH('FY-(26-27)Q1'!$Q$2:$R$2,#REF!,0),0),0)</f>
        <v>0</v>
      </c>
      <c r="S43" s="45"/>
      <c r="T43" s="72"/>
      <c r="V43" s="157">
        <f t="shared" si="2"/>
        <v>35969</v>
      </c>
      <c r="W43" s="171">
        <f t="shared" si="3"/>
        <v>0.71938000000000002</v>
      </c>
      <c r="AA43" s="1"/>
      <c r="AB43" s="1"/>
      <c r="AC43" s="1"/>
      <c r="AD43" s="1"/>
      <c r="AE43" s="1"/>
    </row>
    <row r="44" spans="2:31" ht="15" customHeight="1" x14ac:dyDescent="0.25">
      <c r="B44" s="36" t="s">
        <v>26</v>
      </c>
      <c r="C44" s="34" t="s">
        <v>76</v>
      </c>
      <c r="D44" s="34" t="s">
        <v>15</v>
      </c>
      <c r="E44" s="39" t="s">
        <v>40</v>
      </c>
      <c r="F44" s="118">
        <v>0.6</v>
      </c>
      <c r="G44" s="156">
        <f>IFERROR(VLOOKUP($B$3:$B$128,'APR-2026'!$A$4:$ABW$112,MATCH('FY-(26-27)Q1'!$G$2:$H$2,'APR-2026'!$A$2:$BX$2,0),0),0)</f>
        <v>3832</v>
      </c>
      <c r="H44" s="158">
        <f>IFERROR(VLOOKUP($B$3:$B$128,'APR-2026'!$A$4:$ABW$112,MATCH('FY-(26-27)Q1'!$G$2:$H$2,'APR-2026'!$A$2:$BX$2,0),0),0)</f>
        <v>6.3866666666666669E-2</v>
      </c>
      <c r="I44" s="156">
        <f>IFERROR(VLOOKUP($B$3:$B$128,'MAY-2026'!$A$4:$ACO$113,MATCH('FY-(26-27)Q1'!$I$2:$J$2,'MAY-2026'!$A$2:$CP$2,0),0),0)</f>
        <v>56826</v>
      </c>
      <c r="J44" s="158">
        <f>IFERROR(VLOOKUP($B$3:$B$128,'MAY-2026'!$A$4:$ACO$113,MATCH('FY-(26-27)Q1'!$I$2:$J$2,'MAY-2026'!$A$2:$CP$2,0),0),0)</f>
        <v>0.94710000000000005</v>
      </c>
      <c r="K44" s="156">
        <f>IFERROR(VLOOKUP($B$3:$B$128,'JUNE-2026'!$A$4:$ACT$113,MATCH('FY-(26-27)Q1'!$K$2:$L$2,'JUNE-2026'!$A$2:$CU$2,0),0),0)</f>
        <v>0</v>
      </c>
      <c r="L44" s="158">
        <f>IFERROR(VLOOKUP($B$3:$B$128,'JUNE-2026'!$A$4:$ACT$113,MATCH('FY-(26-27)Q1'!$K$2:$L$2,'JUNE-2026'!$A$2:$CU$2,0),0),0)</f>
        <v>0</v>
      </c>
      <c r="M44" s="71">
        <f t="shared" si="0"/>
        <v>60658</v>
      </c>
      <c r="N44" s="169">
        <f t="shared" si="1"/>
        <v>1.0109666666666668</v>
      </c>
      <c r="O44" s="88">
        <f>IFERROR(VLOOKUP($B$4:$B$66,#REF!,MATCH('FY-(26-27)Q1'!$O$2:$P$2,#REF!,0),0),0)</f>
        <v>0</v>
      </c>
      <c r="P44" s="127">
        <f>IFERROR(VLOOKUP($B$4:$B$66,#REF!,MATCH('FY-(26-27)Q1'!$O$2:$P$2,#REF!,0),0),0)</f>
        <v>0</v>
      </c>
      <c r="Q44" s="88">
        <f>IFERROR(VLOOKUP($B$4:$B$66,#REF!,MATCH('FY-(26-27)Q1'!$Q$2:$R$2,#REF!,0),0),0)</f>
        <v>0</v>
      </c>
      <c r="R44" s="127">
        <f>IFERROR(VLOOKUP($B$4:$B$66,#REF!,MATCH('FY-(26-27)Q1'!$Q$2:$R$2,#REF!,0),0),0)</f>
        <v>0</v>
      </c>
      <c r="S44" s="45"/>
      <c r="T44" s="72"/>
      <c r="U44" s="1"/>
      <c r="V44" s="157">
        <f t="shared" si="2"/>
        <v>60658</v>
      </c>
      <c r="W44" s="171">
        <f t="shared" si="3"/>
        <v>1.0109666666666668</v>
      </c>
      <c r="X44" s="1"/>
    </row>
    <row r="45" spans="2:31" s="1" customFormat="1" ht="15" customHeight="1" x14ac:dyDescent="0.25">
      <c r="B45" s="43" t="s">
        <v>68</v>
      </c>
      <c r="C45" s="34" t="s">
        <v>77</v>
      </c>
      <c r="D45" s="34" t="s">
        <v>60</v>
      </c>
      <c r="E45" s="37" t="s">
        <v>4</v>
      </c>
      <c r="F45" s="117">
        <v>0.4</v>
      </c>
      <c r="G45" s="156">
        <f>IFERROR(VLOOKUP($B$3:$B$128,'APR-2026'!$A$4:$ABW$112,MATCH('FY-(26-27)Q1'!$G$2:$H$2,'APR-2026'!$A$2:$BX$2,0),0),0)</f>
        <v>104032</v>
      </c>
      <c r="H45" s="158">
        <f>IFERROR(VLOOKUP($B$3:$B$128,'APR-2026'!$A$4:$ABW$112,MATCH('FY-(26-27)Q1'!$G$2:$H$2,'APR-2026'!$A$2:$BX$2,0),0),0)</f>
        <v>2.6008</v>
      </c>
      <c r="I45" s="156">
        <f>IFERROR(VLOOKUP($B$3:$B$128,'MAY-2026'!$A$4:$ACO$113,MATCH('FY-(26-27)Q1'!$I$2:$J$2,'MAY-2026'!$A$2:$CP$2,0),0),0)</f>
        <v>-9232</v>
      </c>
      <c r="J45" s="158">
        <f>IFERROR(VLOOKUP($B$3:$B$128,'MAY-2026'!$A$4:$ACO$113,MATCH('FY-(26-27)Q1'!$I$2:$J$2,'MAY-2026'!$A$2:$CP$2,0),0),0)</f>
        <v>-0.23080000000000001</v>
      </c>
      <c r="K45" s="156">
        <f>IFERROR(VLOOKUP($B$3:$B$128,'JUNE-2026'!$A$4:$ACT$113,MATCH('FY-(26-27)Q1'!$K$2:$L$2,'JUNE-2026'!$A$2:$CU$2,0),0),0)</f>
        <v>-457</v>
      </c>
      <c r="L45" s="158">
        <f>IFERROR(VLOOKUP($B$3:$B$128,'JUNE-2026'!$A$4:$ACT$113,MATCH('FY-(26-27)Q1'!$K$2:$L$2,'JUNE-2026'!$A$2:$CU$2,0),0),0)</f>
        <v>-1.1424999999999999E-2</v>
      </c>
      <c r="M45" s="71">
        <f t="shared" si="0"/>
        <v>94343</v>
      </c>
      <c r="N45" s="169">
        <f t="shared" si="1"/>
        <v>2.3585750000000001</v>
      </c>
      <c r="O45" s="88">
        <f>IFERROR(VLOOKUP($B$4:$B$66,#REF!,MATCH('FY-(26-27)Q1'!$O$2:$P$2,#REF!,0),0),0)</f>
        <v>0</v>
      </c>
      <c r="P45" s="127">
        <f>IFERROR(VLOOKUP($B$4:$B$66,#REF!,MATCH('FY-(26-27)Q1'!$O$2:$P$2,#REF!,0),0),0)</f>
        <v>0</v>
      </c>
      <c r="Q45" s="88">
        <f>IFERROR(VLOOKUP($B$4:$B$66,#REF!,MATCH('FY-(26-27)Q1'!$Q$2:$R$2,#REF!,0),0),0)</f>
        <v>0</v>
      </c>
      <c r="R45" s="127">
        <f>IFERROR(VLOOKUP($B$4:$B$66,#REF!,MATCH('FY-(26-27)Q1'!$Q$2:$R$2,#REF!,0),0),0)</f>
        <v>0</v>
      </c>
      <c r="S45" s="45"/>
      <c r="T45" s="72"/>
      <c r="V45" s="157">
        <f t="shared" si="2"/>
        <v>94343</v>
      </c>
      <c r="W45" s="171">
        <f t="shared" si="3"/>
        <v>2.3585750000000001</v>
      </c>
      <c r="AA45"/>
      <c r="AB45"/>
      <c r="AC45"/>
      <c r="AD45"/>
      <c r="AE45"/>
    </row>
    <row r="46" spans="2:31" s="1" customFormat="1" ht="15" customHeight="1" x14ac:dyDescent="0.25">
      <c r="B46" s="43" t="s">
        <v>145</v>
      </c>
      <c r="C46" s="34" t="s">
        <v>19</v>
      </c>
      <c r="D46" s="35" t="s">
        <v>237</v>
      </c>
      <c r="E46" s="35" t="s">
        <v>144</v>
      </c>
      <c r="F46" s="117">
        <v>0.5</v>
      </c>
      <c r="G46" s="156">
        <f>IFERROR(VLOOKUP($B$3:$B$128,'APR-2026'!$A$4:$ABW$112,MATCH('FY-(26-27)Q1'!$G$2:$H$2,'APR-2026'!$A$2:$BX$2,0),0),0)</f>
        <v>77627</v>
      </c>
      <c r="H46" s="158">
        <f>IFERROR(VLOOKUP($B$3:$B$128,'APR-2026'!$A$4:$ABW$112,MATCH('FY-(26-27)Q1'!$G$2:$H$2,'APR-2026'!$A$2:$BX$2,0),0),0)</f>
        <v>1.55254</v>
      </c>
      <c r="I46" s="156">
        <f>IFERROR(VLOOKUP($B$3:$B$128,'MAY-2026'!$A$4:$ACO$113,MATCH('FY-(26-27)Q1'!$I$2:$J$2,'MAY-2026'!$A$2:$CP$2,0),0),0)</f>
        <v>-318673</v>
      </c>
      <c r="J46" s="158">
        <f>IFERROR(VLOOKUP($B$3:$B$128,'MAY-2026'!$A$4:$ACO$113,MATCH('FY-(26-27)Q1'!$I$2:$J$2,'MAY-2026'!$A$2:$CP$2,0),0),0)</f>
        <v>-6.3734599999999997</v>
      </c>
      <c r="K46" s="156">
        <f>IFERROR(VLOOKUP($B$3:$B$128,'JUNE-2026'!$A$4:$ACT$113,MATCH('FY-(26-27)Q1'!$K$2:$L$2,'JUNE-2026'!$A$2:$CU$2,0),0),0)</f>
        <v>109000</v>
      </c>
      <c r="L46" s="158">
        <f>IFERROR(VLOOKUP($B$3:$B$128,'JUNE-2026'!$A$4:$ACT$113,MATCH('FY-(26-27)Q1'!$K$2:$L$2,'JUNE-2026'!$A$2:$CU$2,0),0),0)</f>
        <v>2.1800000000000002</v>
      </c>
      <c r="M46" s="71">
        <f t="shared" si="0"/>
        <v>-132046</v>
      </c>
      <c r="N46" s="169">
        <f t="shared" si="1"/>
        <v>-2.640919999999999</v>
      </c>
      <c r="O46" s="88">
        <f>IFERROR(VLOOKUP($B$4:$B$66,#REF!,MATCH('FY-(26-27)Q1'!$O$2:$P$2,#REF!,0),0),0)</f>
        <v>0</v>
      </c>
      <c r="P46" s="127">
        <f>IFERROR(VLOOKUP($B$4:$B$66,#REF!,MATCH('FY-(26-27)Q1'!$O$2:$P$2,#REF!,0),0),0)</f>
        <v>0</v>
      </c>
      <c r="Q46" s="88">
        <f>IFERROR(VLOOKUP($B$4:$B$66,#REF!,MATCH('FY-(26-27)Q1'!$Q$2:$R$2,#REF!,0),0),0)</f>
        <v>0</v>
      </c>
      <c r="R46" s="127">
        <f>IFERROR(VLOOKUP($B$4:$B$66,#REF!,MATCH('FY-(26-27)Q1'!$Q$2:$R$2,#REF!,0),0),0)</f>
        <v>0</v>
      </c>
      <c r="S46" s="45"/>
      <c r="T46" s="72"/>
      <c r="U46"/>
      <c r="V46" s="157">
        <f t="shared" si="2"/>
        <v>-132046</v>
      </c>
      <c r="W46" s="171">
        <f t="shared" si="3"/>
        <v>-2.640919999999999</v>
      </c>
      <c r="X46"/>
    </row>
    <row r="47" spans="2:31" ht="15" customHeight="1" x14ac:dyDescent="0.25">
      <c r="B47" s="43" t="s">
        <v>146</v>
      </c>
      <c r="C47" s="34" t="s">
        <v>19</v>
      </c>
      <c r="D47" s="35" t="s">
        <v>237</v>
      </c>
      <c r="E47" s="35" t="s">
        <v>147</v>
      </c>
      <c r="F47" s="117">
        <v>0.5</v>
      </c>
      <c r="G47" s="156">
        <f>IFERROR(VLOOKUP($B$3:$B$128,'APR-2026'!$A$4:$ABW$112,MATCH('FY-(26-27)Q1'!$G$2:$H$2,'APR-2026'!$A$2:$BX$2,0),0),0)</f>
        <v>43500</v>
      </c>
      <c r="H47" s="158">
        <f>IFERROR(VLOOKUP($B$3:$B$128,'APR-2026'!$A$4:$ABW$112,MATCH('FY-(26-27)Q1'!$G$2:$H$2,'APR-2026'!$A$2:$BX$2,0),0),0)</f>
        <v>0.87</v>
      </c>
      <c r="I47" s="156">
        <f>IFERROR(VLOOKUP($B$3:$B$128,'MAY-2026'!$A$4:$ACO$113,MATCH('FY-(26-27)Q1'!$I$2:$J$2,'MAY-2026'!$A$2:$CP$2,0),0),0)</f>
        <v>-206560</v>
      </c>
      <c r="J47" s="158">
        <f>IFERROR(VLOOKUP($B$3:$B$128,'MAY-2026'!$A$4:$ACO$113,MATCH('FY-(26-27)Q1'!$I$2:$J$2,'MAY-2026'!$A$2:$CP$2,0),0),0)</f>
        <v>-4.1311999999999998</v>
      </c>
      <c r="K47" s="156">
        <f>IFERROR(VLOOKUP($B$3:$B$128,'JUNE-2026'!$A$4:$ACT$113,MATCH('FY-(26-27)Q1'!$K$2:$L$2,'JUNE-2026'!$A$2:$CU$2,0),0),0)</f>
        <v>-134551</v>
      </c>
      <c r="L47" s="158">
        <f>IFERROR(VLOOKUP($B$3:$B$128,'JUNE-2026'!$A$4:$ACT$113,MATCH('FY-(26-27)Q1'!$K$2:$L$2,'JUNE-2026'!$A$2:$CU$2,0),0),0)</f>
        <v>-2.69102</v>
      </c>
      <c r="M47" s="71">
        <f t="shared" si="0"/>
        <v>-297611</v>
      </c>
      <c r="N47" s="169">
        <f t="shared" si="1"/>
        <v>-5.9522199999999996</v>
      </c>
      <c r="O47" s="88">
        <f>IFERROR(VLOOKUP($B$4:$B$66,#REF!,MATCH('FY-(26-27)Q1'!$O$2:$P$2,#REF!,0),0),0)</f>
        <v>0</v>
      </c>
      <c r="P47" s="127">
        <f>IFERROR(VLOOKUP($B$4:$B$66,#REF!,MATCH('FY-(26-27)Q1'!$O$2:$P$2,#REF!,0),0),0)</f>
        <v>0</v>
      </c>
      <c r="Q47" s="88">
        <f>IFERROR(VLOOKUP($B$4:$B$66,#REF!,MATCH('FY-(26-27)Q1'!$Q$2:$R$2,#REF!,0),0),0)</f>
        <v>0</v>
      </c>
      <c r="R47" s="127">
        <f>IFERROR(VLOOKUP($B$4:$B$66,#REF!,MATCH('FY-(26-27)Q1'!$Q$2:$R$2,#REF!,0),0),0)</f>
        <v>0</v>
      </c>
      <c r="S47" s="45"/>
      <c r="T47" s="72"/>
      <c r="V47" s="157">
        <f t="shared" si="2"/>
        <v>-297611</v>
      </c>
      <c r="W47" s="171">
        <f t="shared" si="3"/>
        <v>-5.9522199999999996</v>
      </c>
      <c r="AA47" s="1"/>
      <c r="AB47" s="1"/>
      <c r="AC47" s="1"/>
      <c r="AD47" s="1"/>
      <c r="AE47" s="1"/>
    </row>
    <row r="48" spans="2:31" ht="15" customHeight="1" x14ac:dyDescent="0.25">
      <c r="B48" s="35" t="s">
        <v>31</v>
      </c>
      <c r="C48" s="36" t="s">
        <v>155</v>
      </c>
      <c r="D48" s="35" t="s">
        <v>227</v>
      </c>
      <c r="E48" s="40" t="s">
        <v>118</v>
      </c>
      <c r="F48" s="117">
        <v>4</v>
      </c>
      <c r="G48" s="156">
        <f>IFERROR(VLOOKUP($B$3:$B$128,'APR-2026'!$A$4:$ABW$112,MATCH('FY-(26-27)Q1'!$G$2:$H$2,'APR-2026'!$A$2:$BX$2,0),0),0)</f>
        <v>134591</v>
      </c>
      <c r="H48" s="158">
        <f>IFERROR(VLOOKUP($B$3:$B$128,'APR-2026'!$A$4:$ABW$112,MATCH('FY-(26-27)Q1'!$G$2:$H$2,'APR-2026'!$A$2:$BX$2,0),0),0)</f>
        <v>0.33647749999999998</v>
      </c>
      <c r="I48" s="156">
        <f>IFERROR(VLOOKUP($B$3:$B$128,'MAY-2026'!$A$4:$ACO$113,MATCH('FY-(26-27)Q1'!$I$2:$J$2,'MAY-2026'!$A$2:$CP$2,0),0),0)</f>
        <v>-283771</v>
      </c>
      <c r="J48" s="158">
        <f>IFERROR(VLOOKUP($B$3:$B$128,'MAY-2026'!$A$4:$ACO$113,MATCH('FY-(26-27)Q1'!$I$2:$J$2,'MAY-2026'!$A$2:$CP$2,0),0),0)</f>
        <v>-0.70942749999999999</v>
      </c>
      <c r="K48" s="156">
        <f>IFERROR(VLOOKUP($B$3:$B$128,'JUNE-2026'!$A$4:$ACT$113,MATCH('FY-(26-27)Q1'!$K$2:$L$2,'JUNE-2026'!$A$2:$CU$2,0),0),0)</f>
        <v>-271386</v>
      </c>
      <c r="L48" s="158">
        <f>IFERROR(VLOOKUP($B$3:$B$128,'JUNE-2026'!$A$4:$ACT$113,MATCH('FY-(26-27)Q1'!$K$2:$L$2,'JUNE-2026'!$A$2:$CU$2,0),0),0)</f>
        <v>-0.67846499999999998</v>
      </c>
      <c r="M48" s="71">
        <f t="shared" si="0"/>
        <v>-420566</v>
      </c>
      <c r="N48" s="169">
        <f t="shared" si="1"/>
        <v>-1.051415</v>
      </c>
      <c r="O48" s="88">
        <f>IFERROR(VLOOKUP($B$4:$B$66,#REF!,MATCH('FY-(26-27)Q1'!$O$2:$P$2,#REF!,0),0),0)</f>
        <v>0</v>
      </c>
      <c r="P48" s="127">
        <f>IFERROR(VLOOKUP($B$4:$B$66,#REF!,MATCH('FY-(26-27)Q1'!$O$2:$P$2,#REF!,0),0),0)</f>
        <v>0</v>
      </c>
      <c r="Q48" s="88">
        <f>IFERROR(VLOOKUP($B$4:$B$66,#REF!,MATCH('FY-(26-27)Q1'!$Q$2:$R$2,#REF!,0),0),0)</f>
        <v>0</v>
      </c>
      <c r="R48" s="127">
        <f>IFERROR(VLOOKUP($B$4:$B$66,#REF!,MATCH('FY-(26-27)Q1'!$Q$2:$R$2,#REF!,0),0),0)</f>
        <v>0</v>
      </c>
      <c r="S48" s="45"/>
      <c r="T48" s="72"/>
      <c r="V48" s="157">
        <f t="shared" si="2"/>
        <v>-420566</v>
      </c>
      <c r="W48" s="171">
        <f t="shared" si="3"/>
        <v>-1.051415</v>
      </c>
    </row>
    <row r="49" spans="1:31" ht="15" customHeight="1" x14ac:dyDescent="0.25">
      <c r="B49" s="35" t="s">
        <v>106</v>
      </c>
      <c r="C49" s="36" t="s">
        <v>107</v>
      </c>
      <c r="D49" s="35" t="s">
        <v>57</v>
      </c>
      <c r="E49" s="40" t="s">
        <v>108</v>
      </c>
      <c r="F49" s="117">
        <v>1</v>
      </c>
      <c r="G49" s="156">
        <f>IFERROR(VLOOKUP($B$3:$B$128,'APR-2026'!$A$4:$ABW$112,MATCH('FY-(26-27)Q1'!$G$2:$H$2,'APR-2026'!$A$2:$BX$2,0),0),0)</f>
        <v>601979</v>
      </c>
      <c r="H49" s="158">
        <f>IFERROR(VLOOKUP($B$3:$B$128,'APR-2026'!$A$4:$ABW$112,MATCH('FY-(26-27)Q1'!$G$2:$H$2,'APR-2026'!$A$2:$BX$2,0),0),0)</f>
        <v>6.0197900000000004</v>
      </c>
      <c r="I49" s="156">
        <f>IFERROR(VLOOKUP($B$3:$B$128,'MAY-2026'!$A$4:$ACO$113,MATCH('FY-(26-27)Q1'!$I$2:$J$2,'MAY-2026'!$A$2:$CP$2,0),0),0)</f>
        <v>74933</v>
      </c>
      <c r="J49" s="158">
        <f>IFERROR(VLOOKUP($B$3:$B$128,'MAY-2026'!$A$4:$ACO$113,MATCH('FY-(26-27)Q1'!$I$2:$J$2,'MAY-2026'!$A$2:$CP$2,0),0),0)</f>
        <v>0.74933000000000005</v>
      </c>
      <c r="K49" s="156">
        <f>IFERROR(VLOOKUP($B$3:$B$128,'JUNE-2026'!$A$4:$ACT$113,MATCH('FY-(26-27)Q1'!$K$2:$L$2,'JUNE-2026'!$A$2:$CU$2,0),0),0)</f>
        <v>-160963</v>
      </c>
      <c r="L49" s="158">
        <f>IFERROR(VLOOKUP($B$3:$B$128,'JUNE-2026'!$A$4:$ACT$113,MATCH('FY-(26-27)Q1'!$K$2:$L$2,'JUNE-2026'!$A$2:$CU$2,0),0),0)</f>
        <v>-1.6096299999999999</v>
      </c>
      <c r="M49" s="71">
        <f t="shared" si="0"/>
        <v>515949</v>
      </c>
      <c r="N49" s="169">
        <f t="shared" si="1"/>
        <v>5.1594900000000008</v>
      </c>
      <c r="O49" s="88">
        <f>IFERROR(VLOOKUP($B$4:$B$66,#REF!,MATCH('FY-(26-27)Q1'!$O$2:$P$2,#REF!,0),0),0)</f>
        <v>0</v>
      </c>
      <c r="P49" s="127">
        <f>IFERROR(VLOOKUP($B$4:$B$66,#REF!,MATCH('FY-(26-27)Q1'!$O$2:$P$2,#REF!,0),0),0)</f>
        <v>0</v>
      </c>
      <c r="Q49" s="88">
        <f>IFERROR(VLOOKUP($B$4:$B$66,#REF!,MATCH('FY-(26-27)Q1'!$Q$2:$R$2,#REF!,0),0),0)</f>
        <v>0</v>
      </c>
      <c r="R49" s="127">
        <f>IFERROR(VLOOKUP($B$4:$B$66,#REF!,MATCH('FY-(26-27)Q1'!$Q$2:$R$2,#REF!,0),0),0)</f>
        <v>0</v>
      </c>
      <c r="S49" s="45"/>
      <c r="T49" s="72"/>
      <c r="V49" s="157">
        <f t="shared" si="2"/>
        <v>515949</v>
      </c>
      <c r="W49" s="171">
        <f t="shared" si="3"/>
        <v>5.1594900000000008</v>
      </c>
    </row>
    <row r="50" spans="1:31" ht="15" customHeight="1" x14ac:dyDescent="0.25">
      <c r="B50" s="145" t="s">
        <v>234</v>
      </c>
      <c r="C50" s="146" t="s">
        <v>107</v>
      </c>
      <c r="D50" s="145" t="s">
        <v>222</v>
      </c>
      <c r="E50" s="145" t="s">
        <v>223</v>
      </c>
      <c r="F50" s="159">
        <v>0.5</v>
      </c>
      <c r="G50" s="156">
        <f>IFERROR(VLOOKUP($B$3:$B$128,'APR-2026'!$A$4:$ABW$112,MATCH('FY-(26-27)Q1'!$G$2:$H$2,'APR-2026'!$A$2:$BX$2,0),0),0)</f>
        <v>0</v>
      </c>
      <c r="H50" s="158">
        <f>IFERROR(VLOOKUP($B$3:$B$128,'APR-2026'!$A$4:$ABW$112,MATCH('FY-(26-27)Q1'!$G$2:$H$2,'APR-2026'!$A$2:$BX$2,0),0),0)</f>
        <v>0</v>
      </c>
      <c r="I50" s="156">
        <f>IFERROR(VLOOKUP($B$3:$B$128,'MAY-2026'!$A$4:$ACO$113,MATCH('FY-(26-27)Q1'!$I$2:$J$2,'MAY-2026'!$A$2:$CP$2,0),0),0)</f>
        <v>-2189</v>
      </c>
      <c r="J50" s="158">
        <f>IFERROR(VLOOKUP($B$3:$B$128,'MAY-2026'!$A$4:$ACO$113,MATCH('FY-(26-27)Q1'!$I$2:$J$2,'MAY-2026'!$A$2:$CP$2,0),0),0)</f>
        <v>-4.3779999999999999E-2</v>
      </c>
      <c r="K50" s="156">
        <f>IFERROR(VLOOKUP($B$3:$B$128,'JUNE-2026'!$A$4:$ACT$113,MATCH('FY-(26-27)Q1'!$K$2:$L$2,'JUNE-2026'!$A$2:$CU$2,0),0),0)</f>
        <v>-32186</v>
      </c>
      <c r="L50" s="158">
        <f>IFERROR(VLOOKUP($B$3:$B$128,'JUNE-2026'!$A$4:$ACT$113,MATCH('FY-(26-27)Q1'!$K$2:$L$2,'JUNE-2026'!$A$2:$CU$2,0),0),0)</f>
        <v>-0.64371999999999996</v>
      </c>
      <c r="M50" s="71">
        <f t="shared" ref="M50" si="20">G50+I50+K50</f>
        <v>-34375</v>
      </c>
      <c r="N50" s="169">
        <f t="shared" ref="N50" si="21">H50+J50+L50</f>
        <v>-0.6875</v>
      </c>
      <c r="O50" s="156">
        <f>IFERROR(VLOOKUP($B$4:$B$66,#REF!,MATCH('FY-(26-27)Q1'!$O$2:$P$2,#REF!,0),0),0)</f>
        <v>0</v>
      </c>
      <c r="P50" s="162">
        <f>IFERROR(VLOOKUP($B$4:$B$66,#REF!,MATCH('FY-(26-27)Q1'!$O$2:$P$2,#REF!,0),0),0)</f>
        <v>0</v>
      </c>
      <c r="Q50" s="156">
        <f>IFERROR(VLOOKUP($B$4:$B$66,#REF!,MATCH('FY-(26-27)Q1'!$Q$2:$R$2,#REF!,0),0),0)</f>
        <v>0</v>
      </c>
      <c r="R50" s="162">
        <f>IFERROR(VLOOKUP($B$4:$B$66,#REF!,MATCH('FY-(26-27)Q1'!$Q$2:$R$2,#REF!,0),0),0)</f>
        <v>0</v>
      </c>
      <c r="S50" s="147"/>
      <c r="T50" s="153"/>
      <c r="U50" s="135"/>
      <c r="V50" s="157">
        <f t="shared" ref="V50" si="22">M50+O50+Q50+S50</f>
        <v>-34375</v>
      </c>
      <c r="W50" s="171">
        <f t="shared" ref="W50" si="23">(N50+P50+R50+T50)</f>
        <v>-0.6875</v>
      </c>
      <c r="X50" s="135"/>
    </row>
    <row r="51" spans="1:31" ht="15" customHeight="1" x14ac:dyDescent="0.25">
      <c r="A51" s="135"/>
      <c r="B51" s="35" t="s">
        <v>45</v>
      </c>
      <c r="C51" s="36" t="s">
        <v>99</v>
      </c>
      <c r="D51" s="35" t="s">
        <v>225</v>
      </c>
      <c r="E51" s="60" t="s">
        <v>255</v>
      </c>
      <c r="F51" s="117">
        <v>1</v>
      </c>
      <c r="G51" s="156">
        <f>IFERROR(VLOOKUP($B$3:$B$128,'APR-2026'!$A$4:$ABW$112,MATCH('FY-(26-27)Q1'!$G$2:$H$2,'APR-2026'!$A$2:$BX$2,0),0),0)</f>
        <v>-4883324</v>
      </c>
      <c r="H51" s="158">
        <f>IFERROR(VLOOKUP($B$3:$B$128,'APR-2026'!$A$4:$ABW$112,MATCH('FY-(26-27)Q1'!$G$2:$H$2,'APR-2026'!$A$2:$BX$2,0),0),0)</f>
        <v>-16.277746666666669</v>
      </c>
      <c r="I51" s="156">
        <f>IFERROR(VLOOKUP($B$3:$B$128,'MAY-2026'!$A$4:$ACO$113,MATCH('FY-(26-27)Q1'!$I$2:$J$2,'MAY-2026'!$A$2:$CP$2,0),0),0)</f>
        <v>76551</v>
      </c>
      <c r="J51" s="158">
        <f>IFERROR(VLOOKUP($B$3:$B$128,'MAY-2026'!$A$4:$ACO$113,MATCH('FY-(26-27)Q1'!$I$2:$J$2,'MAY-2026'!$A$2:$CP$2,0),0),0)</f>
        <v>0.25517000000000001</v>
      </c>
      <c r="K51" s="156">
        <f>IFERROR(VLOOKUP($B$3:$B$128,'JUNE-2026'!$A$4:$ACT$113,MATCH('FY-(26-27)Q1'!$K$2:$L$2,'JUNE-2026'!$A$2:$CU$2,0),0),0)</f>
        <v>-74026</v>
      </c>
      <c r="L51" s="158">
        <f>IFERROR(VLOOKUP($B$3:$B$128,'JUNE-2026'!$A$4:$ACT$113,MATCH('FY-(26-27)Q1'!$K$2:$L$2,'JUNE-2026'!$A$2:$CU$2,0),0),0)</f>
        <v>-0.2467533333333333</v>
      </c>
      <c r="M51" s="71">
        <f t="shared" si="0"/>
        <v>-4880799</v>
      </c>
      <c r="N51" s="169">
        <f t="shared" si="1"/>
        <v>-16.269330000000004</v>
      </c>
      <c r="O51" s="88">
        <f>IFERROR(VLOOKUP($B$4:$B$66,#REF!,MATCH('FY-(26-27)Q1'!$O$2:$P$2,#REF!,0),0),0)</f>
        <v>0</v>
      </c>
      <c r="P51" s="127">
        <f>IFERROR(VLOOKUP($B$4:$B$66,#REF!,MATCH('FY-(26-27)Q1'!$O$2:$P$2,#REF!,0),0),0)</f>
        <v>0</v>
      </c>
      <c r="Q51" s="88">
        <f>IFERROR(VLOOKUP($B$4:$B$66,#REF!,MATCH('FY-(26-27)Q1'!$Q$2:$R$2,#REF!,0),0),0)</f>
        <v>0</v>
      </c>
      <c r="R51" s="127">
        <f>IFERROR(VLOOKUP($B$4:$B$66,#REF!,MATCH('FY-(26-27)Q1'!$Q$2:$R$2,#REF!,0),0),0)</f>
        <v>0</v>
      </c>
      <c r="S51" s="45"/>
      <c r="T51" s="72"/>
      <c r="V51" s="157">
        <f t="shared" si="2"/>
        <v>-4880799</v>
      </c>
      <c r="W51" s="171">
        <f t="shared" si="3"/>
        <v>-16.269330000000004</v>
      </c>
      <c r="Y51" s="135"/>
      <c r="Z51" s="135"/>
    </row>
    <row r="52" spans="1:31" ht="15" customHeight="1" x14ac:dyDescent="0.25">
      <c r="B52" s="145" t="s">
        <v>197</v>
      </c>
      <c r="C52" s="146" t="s">
        <v>189</v>
      </c>
      <c r="D52" s="145" t="s">
        <v>226</v>
      </c>
      <c r="E52" s="145" t="s">
        <v>159</v>
      </c>
      <c r="F52" s="159">
        <v>3</v>
      </c>
      <c r="G52" s="156">
        <f>IFERROR(VLOOKUP($B$3:$B$128,'APR-2026'!$A$4:$ABW$112,MATCH('FY-(26-27)Q1'!$G$2:$H$2,'APR-2026'!$A$2:$BX$2,0),0),0)</f>
        <v>-586367</v>
      </c>
      <c r="H52" s="158">
        <f>IFERROR(VLOOKUP($B$3:$B$128,'APR-2026'!$A$4:$ABW$112,MATCH('FY-(26-27)Q1'!$G$2:$H$2,'APR-2026'!$A$2:$BX$2,0),0),0)</f>
        <v>-1.9545566666666665</v>
      </c>
      <c r="I52" s="156">
        <f>IFERROR(VLOOKUP($B$3:$B$128,'MAY-2026'!$A$4:$ACO$113,MATCH('FY-(26-27)Q1'!$I$2:$J$2,'MAY-2026'!$A$2:$CP$2,0),0),0)</f>
        <v>152411</v>
      </c>
      <c r="J52" s="158">
        <f>IFERROR(VLOOKUP($B$3:$B$128,'MAY-2026'!$A$4:$ACO$113,MATCH('FY-(26-27)Q1'!$I$2:$J$2,'MAY-2026'!$A$2:$CP$2,0),0),0)</f>
        <v>0.50803666666666658</v>
      </c>
      <c r="K52" s="156">
        <f>IFERROR(VLOOKUP($B$3:$B$128,'JUNE-2026'!$A$4:$ACT$113,MATCH('FY-(26-27)Q1'!$K$2:$L$2,'JUNE-2026'!$A$2:$CU$2,0),0),0)</f>
        <v>-73700</v>
      </c>
      <c r="L52" s="158">
        <f>IFERROR(VLOOKUP($B$3:$B$128,'JUNE-2026'!$A$4:$ACT$113,MATCH('FY-(26-27)Q1'!$K$2:$L$2,'JUNE-2026'!$A$2:$CU$2,0),0),0)</f>
        <v>-0.2456666666666667</v>
      </c>
      <c r="M52" s="71">
        <f t="shared" ref="M52" si="24">G52+I52+K52</f>
        <v>-507656</v>
      </c>
      <c r="N52" s="169">
        <f t="shared" ref="N52" si="25">H52+J52+L52</f>
        <v>-1.6921866666666667</v>
      </c>
      <c r="O52" s="156">
        <f>IFERROR(VLOOKUP($B$4:$B$66,#REF!,MATCH('FY-(26-27)Q1'!$O$2:$P$2,#REF!,0),0),0)</f>
        <v>0</v>
      </c>
      <c r="P52" s="162">
        <f>IFERROR(VLOOKUP($B$4:$B$66,#REF!,MATCH('FY-(26-27)Q1'!$O$2:$P$2,#REF!,0),0),0)</f>
        <v>0</v>
      </c>
      <c r="Q52" s="156">
        <f>IFERROR(VLOOKUP($B$4:$B$66,#REF!,MATCH('FY-(26-27)Q1'!$Q$2:$R$2,#REF!,0),0),0)</f>
        <v>0</v>
      </c>
      <c r="R52" s="162">
        <f>IFERROR(VLOOKUP($B$4:$B$66,#REF!,MATCH('FY-(26-27)Q1'!$Q$2:$R$2,#REF!,0),0),0)</f>
        <v>0</v>
      </c>
      <c r="S52" s="147"/>
      <c r="T52" s="153"/>
      <c r="U52" s="135"/>
      <c r="V52" s="157">
        <f t="shared" ref="V52" si="26">M52+O52+Q52+S52</f>
        <v>-507656</v>
      </c>
      <c r="W52" s="171">
        <f t="shared" si="3"/>
        <v>-1.6921866666666667</v>
      </c>
    </row>
    <row r="53" spans="1:31" s="1" customFormat="1" ht="15" customHeight="1" x14ac:dyDescent="0.25">
      <c r="B53" s="35" t="s">
        <v>52</v>
      </c>
      <c r="C53" s="36" t="s">
        <v>117</v>
      </c>
      <c r="D53" s="35" t="s">
        <v>224</v>
      </c>
      <c r="E53" s="37" t="s">
        <v>118</v>
      </c>
      <c r="F53" s="117">
        <v>3</v>
      </c>
      <c r="G53" s="156">
        <f>IFERROR(VLOOKUP($B$3:$B$128,'APR-2026'!$A$4:$ABW$112,MATCH('FY-(26-27)Q1'!$G$2:$H$2,'APR-2026'!$A$2:$BX$2,0),0),0)</f>
        <v>-109500</v>
      </c>
      <c r="H53" s="158">
        <f>IFERROR(VLOOKUP($B$3:$B$128,'APR-2026'!$A$4:$ABW$112,MATCH('FY-(26-27)Q1'!$G$2:$H$2,'APR-2026'!$A$2:$BX$2,0),0),0)</f>
        <v>-0.36499999999999999</v>
      </c>
      <c r="I53" s="156">
        <f>IFERROR(VLOOKUP($B$3:$B$128,'MAY-2026'!$A$4:$ACO$113,MATCH('FY-(26-27)Q1'!$I$2:$J$2,'MAY-2026'!$A$2:$CP$2,0),0),0)</f>
        <v>174432</v>
      </c>
      <c r="J53" s="158">
        <f>IFERROR(VLOOKUP($B$3:$B$128,'MAY-2026'!$A$4:$ACO$113,MATCH('FY-(26-27)Q1'!$I$2:$J$2,'MAY-2026'!$A$2:$CP$2,0),0),0)</f>
        <v>0.58143999999999996</v>
      </c>
      <c r="K53" s="156">
        <f>IFERROR(VLOOKUP($B$3:$B$128,'JUNE-2026'!$A$4:$ACT$113,MATCH('FY-(26-27)Q1'!$K$2:$L$2,'JUNE-2026'!$A$2:$CU$2,0),0),0)</f>
        <v>-61539</v>
      </c>
      <c r="L53" s="158">
        <f>IFERROR(VLOOKUP($B$3:$B$128,'JUNE-2026'!$A$4:$ACT$113,MATCH('FY-(26-27)Q1'!$K$2:$L$2,'JUNE-2026'!$A$2:$CU$2,0),0),0)</f>
        <v>-0.20513000000000001</v>
      </c>
      <c r="M53" s="71">
        <f t="shared" si="0"/>
        <v>3393</v>
      </c>
      <c r="N53" s="169">
        <f t="shared" si="1"/>
        <v>1.1309999999999959E-2</v>
      </c>
      <c r="O53" s="88">
        <f>IFERROR(VLOOKUP($B$4:$B$66,#REF!,MATCH('FY-(26-27)Q1'!$O$2:$P$2,#REF!,0),0),0)</f>
        <v>0</v>
      </c>
      <c r="P53" s="127">
        <f>IFERROR(VLOOKUP($B$4:$B$66,#REF!,MATCH('FY-(26-27)Q1'!$O$2:$P$2,#REF!,0),0),0)</f>
        <v>0</v>
      </c>
      <c r="Q53" s="88">
        <f>IFERROR(VLOOKUP($B$4:$B$66,#REF!,MATCH('FY-(26-27)Q1'!$Q$2:$R$2,#REF!,0),0),0)</f>
        <v>0</v>
      </c>
      <c r="R53" s="127">
        <f>IFERROR(VLOOKUP($B$4:$B$66,#REF!,MATCH('FY-(26-27)Q1'!$Q$2:$R$2,#REF!,0),0),0)</f>
        <v>0</v>
      </c>
      <c r="S53" s="45"/>
      <c r="T53" s="72"/>
      <c r="U53"/>
      <c r="V53" s="157">
        <f t="shared" si="2"/>
        <v>3393</v>
      </c>
      <c r="W53" s="171">
        <f t="shared" si="3"/>
        <v>1.1309999999999959E-2</v>
      </c>
      <c r="Y53"/>
      <c r="Z53"/>
      <c r="AA53"/>
      <c r="AB53"/>
      <c r="AC53"/>
      <c r="AD53"/>
      <c r="AE53"/>
    </row>
    <row r="54" spans="1:31" s="135" customFormat="1" ht="15" customHeight="1" x14ac:dyDescent="0.25">
      <c r="A54" s="1"/>
      <c r="B54" s="35" t="s">
        <v>134</v>
      </c>
      <c r="C54" s="36" t="s">
        <v>131</v>
      </c>
      <c r="D54" s="35" t="s">
        <v>17</v>
      </c>
      <c r="E54" s="37"/>
      <c r="F54" s="117">
        <v>1</v>
      </c>
      <c r="G54" s="156">
        <f>IFERROR(VLOOKUP($B$3:$B$128,'APR-2026'!$A$4:$ABW$112,MATCH('FY-(26-27)Q1'!$G$2:$H$2,'APR-2026'!$A$2:$BX$2,0),0),0)</f>
        <v>38535</v>
      </c>
      <c r="H54" s="158">
        <f>IFERROR(VLOOKUP($B$3:$B$128,'APR-2026'!$A$4:$ABW$112,MATCH('FY-(26-27)Q1'!$G$2:$H$2,'APR-2026'!$A$2:$BX$2,0),0),0)</f>
        <v>0.38535000000000003</v>
      </c>
      <c r="I54" s="156">
        <f>IFERROR(VLOOKUP($B$3:$B$128,'MAY-2026'!$A$4:$ACO$113,MATCH('FY-(26-27)Q1'!$I$2:$J$2,'MAY-2026'!$A$2:$CP$2,0),0),0)</f>
        <v>11519</v>
      </c>
      <c r="J54" s="158">
        <f>IFERROR(VLOOKUP($B$3:$B$128,'MAY-2026'!$A$4:$ACO$113,MATCH('FY-(26-27)Q1'!$I$2:$J$2,'MAY-2026'!$A$2:$CP$2,0),0),0)</f>
        <v>7.6793333333333325E-2</v>
      </c>
      <c r="K54" s="156">
        <f>IFERROR(VLOOKUP($B$3:$B$128,'JUNE-2026'!$A$4:$ACT$113,MATCH('FY-(26-27)Q1'!$K$2:$L$2,'JUNE-2026'!$A$2:$CU$2,0),0),0)</f>
        <v>41339</v>
      </c>
      <c r="L54" s="158">
        <f>IFERROR(VLOOKUP($B$3:$B$128,'JUNE-2026'!$A$4:$ACT$113,MATCH('FY-(26-27)Q1'!$K$2:$L$2,'JUNE-2026'!$A$2:$CU$2,0),0),0)</f>
        <v>0.2755933333333333</v>
      </c>
      <c r="M54" s="71">
        <f t="shared" si="0"/>
        <v>91393</v>
      </c>
      <c r="N54" s="169">
        <f t="shared" si="1"/>
        <v>0.73773666666666671</v>
      </c>
      <c r="O54" s="88">
        <f>IFERROR(VLOOKUP($B$4:$B$66,#REF!,MATCH('FY-(26-27)Q1'!$O$2:$P$2,#REF!,0),0),0)</f>
        <v>0</v>
      </c>
      <c r="P54" s="127">
        <f>IFERROR(VLOOKUP($B$4:$B$66,#REF!,MATCH('FY-(26-27)Q1'!$O$2:$P$2,#REF!,0),0),0)</f>
        <v>0</v>
      </c>
      <c r="Q54" s="88">
        <f>IFERROR(VLOOKUP($B$4:$B$66,#REF!,MATCH('FY-(26-27)Q1'!$Q$2:$R$2,#REF!,0),0),0)</f>
        <v>0</v>
      </c>
      <c r="R54" s="127">
        <f>IFERROR(VLOOKUP($B$4:$B$66,#REF!,MATCH('FY-(26-27)Q1'!$Q$2:$R$2,#REF!,0),0),0)</f>
        <v>0</v>
      </c>
      <c r="S54" s="45"/>
      <c r="T54" s="72"/>
      <c r="U54" s="1"/>
      <c r="V54" s="157">
        <f t="shared" si="2"/>
        <v>91393</v>
      </c>
      <c r="W54" s="171">
        <f t="shared" si="3"/>
        <v>0.73773666666666671</v>
      </c>
      <c r="Y54" s="1"/>
      <c r="Z54" s="1"/>
      <c r="AA54" s="1"/>
      <c r="AB54" s="1"/>
      <c r="AC54" s="1"/>
      <c r="AD54" s="1"/>
      <c r="AE54" s="1"/>
    </row>
    <row r="55" spans="1:31" s="1" customFormat="1" ht="15" customHeight="1" x14ac:dyDescent="0.25">
      <c r="A55" s="135"/>
      <c r="B55" s="35" t="s">
        <v>48</v>
      </c>
      <c r="C55" s="34" t="s">
        <v>96</v>
      </c>
      <c r="D55" s="35" t="s">
        <v>50</v>
      </c>
      <c r="E55" s="40" t="s">
        <v>109</v>
      </c>
      <c r="F55" s="119">
        <v>1</v>
      </c>
      <c r="G55" s="156">
        <f>IFERROR(VLOOKUP($B$3:$B$128,'APR-2026'!$A$4:$ABW$112,MATCH('FY-(26-27)Q1'!$G$2:$H$2,'APR-2026'!$A$2:$BX$2,0),0),0)</f>
        <v>3123845</v>
      </c>
      <c r="H55" s="158">
        <f>IFERROR(VLOOKUP($B$3:$B$128,'APR-2026'!$A$4:$ABW$112,MATCH('FY-(26-27)Q1'!$G$2:$H$2,'APR-2026'!$A$2:$BX$2,0),0),0)</f>
        <v>31.23845</v>
      </c>
      <c r="I55" s="156">
        <f>IFERROR(VLOOKUP($B$3:$B$128,'MAY-2026'!$A$4:$ACO$113,MATCH('FY-(26-27)Q1'!$I$2:$J$2,'MAY-2026'!$A$2:$CP$2,0),0),0)</f>
        <v>232568</v>
      </c>
      <c r="J55" s="158">
        <f>IFERROR(VLOOKUP($B$3:$B$128,'MAY-2026'!$A$4:$ACO$113,MATCH('FY-(26-27)Q1'!$I$2:$J$2,'MAY-2026'!$A$2:$CP$2,0),0),0)</f>
        <v>2.3256800000000002</v>
      </c>
      <c r="K55" s="156">
        <f>IFERROR(VLOOKUP($B$3:$B$128,'JUNE-2026'!$A$4:$ACT$113,MATCH('FY-(26-27)Q1'!$K$2:$L$2,'JUNE-2026'!$A$2:$CU$2,0),0),0)</f>
        <v>-159380</v>
      </c>
      <c r="L55" s="158">
        <f>IFERROR(VLOOKUP($B$3:$B$128,'JUNE-2026'!$A$4:$ACT$113,MATCH('FY-(26-27)Q1'!$K$2:$L$2,'JUNE-2026'!$A$2:$CU$2,0),0),0)</f>
        <v>-1.5938000000000001</v>
      </c>
      <c r="M55" s="71">
        <f t="shared" si="0"/>
        <v>3197033</v>
      </c>
      <c r="N55" s="169">
        <f t="shared" si="1"/>
        <v>31.970329999999997</v>
      </c>
      <c r="O55" s="88">
        <f>IFERROR(VLOOKUP($B$4:$B$66,#REF!,MATCH('FY-(26-27)Q1'!$O$2:$P$2,#REF!,0),0),0)</f>
        <v>0</v>
      </c>
      <c r="P55" s="127">
        <f>IFERROR(VLOOKUP($B$4:$B$66,#REF!,MATCH('FY-(26-27)Q1'!$O$2:$P$2,#REF!,0),0),0)</f>
        <v>0</v>
      </c>
      <c r="Q55" s="88">
        <f>IFERROR(VLOOKUP($B$4:$B$66,#REF!,MATCH('FY-(26-27)Q1'!$Q$2:$R$2,#REF!,0),0),0)</f>
        <v>0</v>
      </c>
      <c r="R55" s="127">
        <f>IFERROR(VLOOKUP($B$4:$B$66,#REF!,MATCH('FY-(26-27)Q1'!$Q$2:$R$2,#REF!,0),0),0)</f>
        <v>0</v>
      </c>
      <c r="S55" s="45"/>
      <c r="T55" s="72"/>
      <c r="V55" s="157">
        <f t="shared" si="2"/>
        <v>3197033</v>
      </c>
      <c r="W55" s="171">
        <f t="shared" si="3"/>
        <v>31.970329999999997</v>
      </c>
      <c r="Y55" s="135"/>
      <c r="Z55" s="135"/>
      <c r="AA55" s="135"/>
      <c r="AB55" s="135"/>
      <c r="AC55" s="135"/>
      <c r="AD55" s="135"/>
      <c r="AE55" s="135"/>
    </row>
    <row r="56" spans="1:31" ht="15" customHeight="1" x14ac:dyDescent="0.25">
      <c r="B56" s="36" t="s">
        <v>33</v>
      </c>
      <c r="C56" s="34" t="s">
        <v>14</v>
      </c>
      <c r="D56" s="36" t="s">
        <v>13</v>
      </c>
      <c r="E56" s="37" t="s">
        <v>61</v>
      </c>
      <c r="F56" s="119">
        <v>1</v>
      </c>
      <c r="G56" s="156">
        <f>IFERROR(VLOOKUP($B$3:$B$128,'APR-2026'!$A$4:$ABW$112,MATCH('FY-(26-27)Q1'!$G$2:$H$2,'APR-2026'!$A$2:$BX$2,0),0),0)</f>
        <v>633005</v>
      </c>
      <c r="H56" s="158">
        <f>IFERROR(VLOOKUP($B$3:$B$128,'APR-2026'!$A$4:$ABW$112,MATCH('FY-(26-27)Q1'!$G$2:$H$2,'APR-2026'!$A$2:$BX$2,0),0),0)</f>
        <v>2.1100166666666662</v>
      </c>
      <c r="I56" s="156">
        <f>IFERROR(VLOOKUP($B$3:$B$128,'MAY-2026'!$A$4:$ACO$113,MATCH('FY-(26-27)Q1'!$I$2:$J$2,'MAY-2026'!$A$2:$CP$2,0),0),0)</f>
        <v>538474</v>
      </c>
      <c r="J56" s="158">
        <f>IFERROR(VLOOKUP($B$3:$B$128,'MAY-2026'!$A$4:$ACO$113,MATCH('FY-(26-27)Q1'!$I$2:$J$2,'MAY-2026'!$A$2:$CP$2,0),0),0)</f>
        <v>1.7949133333333336</v>
      </c>
      <c r="K56" s="156">
        <f>IFERROR(VLOOKUP($B$3:$B$128,'JUNE-2026'!$A$4:$ACT$113,MATCH('FY-(26-27)Q1'!$K$2:$L$2,'JUNE-2026'!$A$2:$CU$2,0),0),0)</f>
        <v>-227437</v>
      </c>
      <c r="L56" s="158">
        <f>IFERROR(VLOOKUP($B$3:$B$128,'JUNE-2026'!$A$4:$ACT$113,MATCH('FY-(26-27)Q1'!$K$2:$L$2,'JUNE-2026'!$A$2:$CU$2,0),0),0)</f>
        <v>-0.75812333333333326</v>
      </c>
      <c r="M56" s="71">
        <f t="shared" si="0"/>
        <v>944042</v>
      </c>
      <c r="N56" s="169">
        <f t="shared" si="1"/>
        <v>3.1468066666666665</v>
      </c>
      <c r="O56" s="88">
        <f>IFERROR(VLOOKUP($B$4:$B$66,#REF!,MATCH('FY-(26-27)Q1'!$O$2:$P$2,#REF!,0),0),0)</f>
        <v>0</v>
      </c>
      <c r="P56" s="127">
        <f>IFERROR(VLOOKUP($B$4:$B$66,#REF!,MATCH('FY-(26-27)Q1'!$O$2:$P$2,#REF!,0),0),0)</f>
        <v>0</v>
      </c>
      <c r="Q56" s="88">
        <f>IFERROR(VLOOKUP($B$4:$B$66,#REF!,MATCH('FY-(26-27)Q1'!$Q$2:$R$2,#REF!,0),0),0)</f>
        <v>0</v>
      </c>
      <c r="R56" s="127">
        <f>IFERROR(VLOOKUP($B$4:$B$66,#REF!,MATCH('FY-(26-27)Q1'!$Q$2:$R$2,#REF!,0),0),0)</f>
        <v>0</v>
      </c>
      <c r="S56" s="45"/>
      <c r="T56" s="72"/>
      <c r="V56" s="157">
        <f t="shared" si="2"/>
        <v>944042</v>
      </c>
      <c r="W56" s="171">
        <f t="shared" si="3"/>
        <v>3.1468066666666665</v>
      </c>
      <c r="Y56" s="1"/>
      <c r="Z56" s="1"/>
      <c r="AA56" s="1"/>
      <c r="AB56" s="1"/>
      <c r="AC56" s="1"/>
      <c r="AD56" s="1"/>
      <c r="AE56" s="1"/>
    </row>
    <row r="57" spans="1:31" ht="15" customHeight="1" x14ac:dyDescent="0.25">
      <c r="B57" s="146" t="s">
        <v>171</v>
      </c>
      <c r="C57" s="144" t="s">
        <v>172</v>
      </c>
      <c r="D57" s="59" t="s">
        <v>196</v>
      </c>
      <c r="E57" s="60"/>
      <c r="F57" s="115">
        <v>0.5</v>
      </c>
      <c r="G57" s="156">
        <f>IFERROR(VLOOKUP($B$3:$B$128,'APR-2026'!$A$4:$ABW$112,MATCH('FY-(26-27)Q1'!$G$2:$H$2,'APR-2026'!$A$2:$BX$2,0),0),0)</f>
        <v>343500</v>
      </c>
      <c r="H57" s="158">
        <f>IFERROR(VLOOKUP($B$3:$B$128,'APR-2026'!$A$4:$ABW$112,MATCH('FY-(26-27)Q1'!$G$2:$H$2,'APR-2026'!$A$2:$BX$2,0),0),0)</f>
        <v>6.87</v>
      </c>
      <c r="I57" s="156">
        <f>IFERROR(VLOOKUP($B$3:$B$128,'MAY-2026'!$A$4:$ACO$113,MATCH('FY-(26-27)Q1'!$I$2:$J$2,'MAY-2026'!$A$2:$CP$2,0),0),0)</f>
        <v>352000</v>
      </c>
      <c r="J57" s="158">
        <f>IFERROR(VLOOKUP($B$3:$B$128,'MAY-2026'!$A$4:$ACO$113,MATCH('FY-(26-27)Q1'!$I$2:$J$2,'MAY-2026'!$A$2:$CP$2,0),0),0)</f>
        <v>7.04</v>
      </c>
      <c r="K57" s="156">
        <f>IFERROR(VLOOKUP($B$3:$B$128,'JUNE-2026'!$A$4:$ACT$113,MATCH('FY-(26-27)Q1'!$K$2:$L$2,'JUNE-2026'!$A$2:$CU$2,0),0),0)</f>
        <v>-243000</v>
      </c>
      <c r="L57" s="158">
        <f>IFERROR(VLOOKUP($B$3:$B$128,'JUNE-2026'!$A$4:$ACT$113,MATCH('FY-(26-27)Q1'!$K$2:$L$2,'JUNE-2026'!$A$2:$CU$2,0),0),0)</f>
        <v>-4.8600000000000003</v>
      </c>
      <c r="M57" s="71">
        <f t="shared" si="0"/>
        <v>452500</v>
      </c>
      <c r="N57" s="169">
        <f t="shared" si="1"/>
        <v>9.0500000000000007</v>
      </c>
      <c r="O57" s="88">
        <f>IFERROR(VLOOKUP($B$4:$B$66,#REF!,MATCH('FY-(26-27)Q1'!$O$2:$P$2,#REF!,0),0),0)</f>
        <v>0</v>
      </c>
      <c r="P57" s="127">
        <f>IFERROR(VLOOKUP($B$4:$B$66,#REF!,MATCH('FY-(26-27)Q1'!$O$2:$P$2,#REF!,0),0),0)</f>
        <v>0</v>
      </c>
      <c r="Q57" s="88">
        <f>IFERROR(VLOOKUP($B$4:$B$66,#REF!,MATCH('FY-(26-27)Q1'!$Q$2:$R$2,#REF!,0),0),0)</f>
        <v>0</v>
      </c>
      <c r="R57" s="127">
        <f>IFERROR(VLOOKUP($B$4:$B$66,#REF!,MATCH('FY-(26-27)Q1'!$Q$2:$R$2,#REF!,0),0),0)</f>
        <v>0</v>
      </c>
      <c r="S57" s="45"/>
      <c r="T57" s="72"/>
      <c r="V57" s="157">
        <f t="shared" si="2"/>
        <v>452500</v>
      </c>
      <c r="W57" s="171">
        <f t="shared" si="3"/>
        <v>9.0500000000000007</v>
      </c>
    </row>
    <row r="58" spans="1:31" ht="15" customHeight="1" x14ac:dyDescent="0.25">
      <c r="B58" s="146" t="s">
        <v>205</v>
      </c>
      <c r="C58" s="144" t="s">
        <v>172</v>
      </c>
      <c r="D58" s="59"/>
      <c r="E58" s="60"/>
      <c r="F58" s="115">
        <v>4</v>
      </c>
      <c r="G58" s="156">
        <f>IFERROR(VLOOKUP($B$3:$B$128,'APR-2026'!$A$4:$ABW$112,MATCH('FY-(26-27)Q1'!$G$2:$H$2,'APR-2026'!$A$2:$BX$2,0),0),0)</f>
        <v>-159000</v>
      </c>
      <c r="H58" s="158">
        <f>IFERROR(VLOOKUP($B$3:$B$128,'APR-2026'!$A$4:$ABW$112,MATCH('FY-(26-27)Q1'!$G$2:$H$2,'APR-2026'!$A$2:$BX$2,0),0),0)</f>
        <v>-0.39750000000000002</v>
      </c>
      <c r="I58" s="156">
        <f>IFERROR(VLOOKUP($B$3:$B$128,'MAY-2026'!$A$4:$ACO$113,MATCH('FY-(26-27)Q1'!$I$2:$J$2,'MAY-2026'!$A$2:$CP$2,0),0),0)</f>
        <v>-106300</v>
      </c>
      <c r="J58" s="158">
        <f>IFERROR(VLOOKUP($B$3:$B$128,'MAY-2026'!$A$4:$ACO$113,MATCH('FY-(26-27)Q1'!$I$2:$J$2,'MAY-2026'!$A$2:$CP$2,0),0),0)</f>
        <v>-0.26574999999999999</v>
      </c>
      <c r="K58" s="156">
        <f>IFERROR(VLOOKUP($B$3:$B$128,'JUNE-2026'!$A$4:$ACT$113,MATCH('FY-(26-27)Q1'!$K$2:$L$2,'JUNE-2026'!$A$2:$CU$2,0),0),0)</f>
        <v>0</v>
      </c>
      <c r="L58" s="158">
        <f>IFERROR(VLOOKUP($B$3:$B$128,'JUNE-2026'!$A$4:$ACT$113,MATCH('FY-(26-27)Q1'!$K$2:$L$2,'JUNE-2026'!$A$2:$CU$2,0),0),0)</f>
        <v>0</v>
      </c>
      <c r="M58" s="71">
        <f t="shared" ref="M58:M59" si="27">G58+I58+K58</f>
        <v>-265300</v>
      </c>
      <c r="N58" s="169">
        <f t="shared" ref="N58:N59" si="28">H58+J58+L58</f>
        <v>-0.66325000000000001</v>
      </c>
      <c r="O58" s="156">
        <f>IFERROR(VLOOKUP($B$4:$B$66,#REF!,MATCH('FY-(26-27)Q1'!$O$2:$P$2,#REF!,0),0),0)</f>
        <v>0</v>
      </c>
      <c r="P58" s="162">
        <f>IFERROR(VLOOKUP($B$4:$B$66,#REF!,MATCH('FY-(26-27)Q1'!$O$2:$P$2,#REF!,0),0),0)</f>
        <v>0</v>
      </c>
      <c r="Q58" s="156">
        <f>IFERROR(VLOOKUP($B$4:$B$66,#REF!,MATCH('FY-(26-27)Q1'!$Q$2:$R$2,#REF!,0),0),0)</f>
        <v>0</v>
      </c>
      <c r="R58" s="162">
        <f>IFERROR(VLOOKUP($B$4:$B$66,#REF!,MATCH('FY-(26-27)Q1'!$Q$2:$R$2,#REF!,0),0),0)</f>
        <v>0</v>
      </c>
      <c r="S58" s="147"/>
      <c r="T58" s="153"/>
      <c r="U58" s="135"/>
      <c r="V58" s="157">
        <f t="shared" ref="V58:V59" si="29">M58+O58+Q58+S58</f>
        <v>-265300</v>
      </c>
      <c r="W58" s="171">
        <f t="shared" si="3"/>
        <v>-0.66325000000000001</v>
      </c>
    </row>
    <row r="59" spans="1:31" ht="15" customHeight="1" x14ac:dyDescent="0.25">
      <c r="B59" s="146" t="s">
        <v>206</v>
      </c>
      <c r="C59" s="144" t="s">
        <v>172</v>
      </c>
      <c r="D59" s="59"/>
      <c r="E59" s="60"/>
      <c r="F59" s="115">
        <v>4</v>
      </c>
      <c r="G59" s="156">
        <f>IFERROR(VLOOKUP($B$3:$B$128,'APR-2026'!$A$4:$ABW$112,MATCH('FY-(26-27)Q1'!$G$2:$H$2,'APR-2026'!$A$2:$BX$2,0),0),0)</f>
        <v>151712</v>
      </c>
      <c r="H59" s="158">
        <f>IFERROR(VLOOKUP($B$3:$B$128,'APR-2026'!$A$4:$ABW$112,MATCH('FY-(26-27)Q1'!$G$2:$H$2,'APR-2026'!$A$2:$BX$2,0),0),0)</f>
        <v>0.37928000000000001</v>
      </c>
      <c r="I59" s="156">
        <f>IFERROR(VLOOKUP($B$3:$B$128,'MAY-2026'!$A$4:$ACO$113,MATCH('FY-(26-27)Q1'!$I$2:$J$2,'MAY-2026'!$A$2:$CP$2,0),0),0)</f>
        <v>145700</v>
      </c>
      <c r="J59" s="158">
        <f>IFERROR(VLOOKUP($B$3:$B$128,'MAY-2026'!$A$4:$ACO$113,MATCH('FY-(26-27)Q1'!$I$2:$J$2,'MAY-2026'!$A$2:$CP$2,0),0),0)</f>
        <v>0.36425000000000002</v>
      </c>
      <c r="K59" s="156">
        <f>IFERROR(VLOOKUP($B$3:$B$128,'JUNE-2026'!$A$4:$ACT$113,MATCH('FY-(26-27)Q1'!$K$2:$L$2,'JUNE-2026'!$A$2:$CU$2,0),0),0)</f>
        <v>-102000</v>
      </c>
      <c r="L59" s="158">
        <f>IFERROR(VLOOKUP($B$3:$B$128,'JUNE-2026'!$A$4:$ACT$113,MATCH('FY-(26-27)Q1'!$K$2:$L$2,'JUNE-2026'!$A$2:$CU$2,0),0),0)</f>
        <v>-0.255</v>
      </c>
      <c r="M59" s="71">
        <f t="shared" si="27"/>
        <v>195412</v>
      </c>
      <c r="N59" s="169">
        <f t="shared" si="28"/>
        <v>0.48853000000000002</v>
      </c>
      <c r="O59" s="156">
        <f>IFERROR(VLOOKUP($B$4:$B$66,#REF!,MATCH('FY-(26-27)Q1'!$O$2:$P$2,#REF!,0),0),0)</f>
        <v>0</v>
      </c>
      <c r="P59" s="162">
        <f>IFERROR(VLOOKUP($B$4:$B$66,#REF!,MATCH('FY-(26-27)Q1'!$O$2:$P$2,#REF!,0),0),0)</f>
        <v>0</v>
      </c>
      <c r="Q59" s="156">
        <f>IFERROR(VLOOKUP($B$4:$B$66,#REF!,MATCH('FY-(26-27)Q1'!$Q$2:$R$2,#REF!,0),0),0)</f>
        <v>0</v>
      </c>
      <c r="R59" s="162">
        <f>IFERROR(VLOOKUP($B$4:$B$66,#REF!,MATCH('FY-(26-27)Q1'!$Q$2:$R$2,#REF!,0),0),0)</f>
        <v>0</v>
      </c>
      <c r="S59" s="147"/>
      <c r="T59" s="153"/>
      <c r="U59" s="135"/>
      <c r="V59" s="157">
        <f t="shared" si="29"/>
        <v>195412</v>
      </c>
      <c r="W59" s="171">
        <f t="shared" si="3"/>
        <v>0.48853000000000002</v>
      </c>
    </row>
    <row r="60" spans="1:31" ht="15" customHeight="1" x14ac:dyDescent="0.25">
      <c r="B60" s="36" t="s">
        <v>105</v>
      </c>
      <c r="C60" s="36" t="s">
        <v>0</v>
      </c>
      <c r="D60" s="59" t="s">
        <v>97</v>
      </c>
      <c r="E60" s="60" t="s">
        <v>57</v>
      </c>
      <c r="F60" s="115">
        <v>1.5</v>
      </c>
      <c r="G60" s="156">
        <f>IFERROR(VLOOKUP($B$3:$B$128,'APR-2026'!$A$4:$ABW$112,MATCH('FY-(26-27)Q1'!$G$2:$H$2,'APR-2026'!$A$2:$BX$2,0),0),0)</f>
        <v>92278</v>
      </c>
      <c r="H60" s="158">
        <f>IFERROR(VLOOKUP($B$3:$B$128,'APR-2026'!$A$4:$ABW$112,MATCH('FY-(26-27)Q1'!$G$2:$H$2,'APR-2026'!$A$2:$BX$2,0),0),0)</f>
        <v>0.57673750000000001</v>
      </c>
      <c r="I60" s="156">
        <f>IFERROR(VLOOKUP($B$3:$B$128,'MAY-2026'!$A$4:$ACO$113,MATCH('FY-(26-27)Q1'!$I$2:$J$2,'MAY-2026'!$A$2:$CP$2,0),0),0)</f>
        <v>35279</v>
      </c>
      <c r="J60" s="158">
        <f>IFERROR(VLOOKUP($B$3:$B$128,'MAY-2026'!$A$4:$ACO$113,MATCH('FY-(26-27)Q1'!$I$2:$J$2,'MAY-2026'!$A$2:$CP$2,0),0),0)</f>
        <v>0.23519333333333331</v>
      </c>
      <c r="K60" s="156">
        <f>IFERROR(VLOOKUP($B$3:$B$128,'JUNE-2026'!$A$4:$ACT$113,MATCH('FY-(26-27)Q1'!$K$2:$L$2,'JUNE-2026'!$A$2:$CU$2,0),0),0)</f>
        <v>0</v>
      </c>
      <c r="L60" s="158">
        <f>IFERROR(VLOOKUP($B$3:$B$128,'JUNE-2026'!$A$4:$ACT$113,MATCH('FY-(26-27)Q1'!$K$2:$L$2,'JUNE-2026'!$A$2:$CU$2,0),0),0)</f>
        <v>0</v>
      </c>
      <c r="M60" s="71">
        <f t="shared" si="0"/>
        <v>127557</v>
      </c>
      <c r="N60" s="169">
        <f t="shared" si="1"/>
        <v>0.81193083333333327</v>
      </c>
      <c r="O60" s="88">
        <f>IFERROR(VLOOKUP($B$4:$B$66,#REF!,MATCH('FY-(26-27)Q1'!$O$2:$P$2,#REF!,0),0),0)</f>
        <v>0</v>
      </c>
      <c r="P60" s="127">
        <f>IFERROR(VLOOKUP($B$4:$B$66,#REF!,MATCH('FY-(26-27)Q1'!$O$2:$P$2,#REF!,0),0),0)</f>
        <v>0</v>
      </c>
      <c r="Q60" s="88">
        <f>IFERROR(VLOOKUP($B$4:$B$66,#REF!,MATCH('FY-(26-27)Q1'!$Q$2:$R$2,#REF!,0),0),0)</f>
        <v>0</v>
      </c>
      <c r="R60" s="127">
        <f>IFERROR(VLOOKUP($B$4:$B$66,#REF!,MATCH('FY-(26-27)Q1'!$Q$2:$R$2,#REF!,0),0),0)</f>
        <v>0</v>
      </c>
      <c r="S60" s="45"/>
      <c r="T60" s="72"/>
      <c r="U60" s="135"/>
      <c r="V60" s="157">
        <f t="shared" si="2"/>
        <v>127557</v>
      </c>
      <c r="W60" s="171">
        <f t="shared" si="3"/>
        <v>0.81193083333333327</v>
      </c>
    </row>
    <row r="61" spans="1:31" x14ac:dyDescent="0.25">
      <c r="B61" s="59" t="s">
        <v>201</v>
      </c>
      <c r="C61" s="62" t="s">
        <v>199</v>
      </c>
      <c r="D61" s="59" t="s">
        <v>200</v>
      </c>
      <c r="E61" s="145" t="s">
        <v>154</v>
      </c>
      <c r="F61" s="115">
        <v>0.5</v>
      </c>
      <c r="G61" s="156">
        <f>IFERROR(VLOOKUP($B$3:$B$128,'APR-2026'!$A$4:$ABW$112,MATCH('FY-(26-27)Q1'!$G$2:$H$2,'APR-2026'!$A$2:$BX$2,0),0),0)</f>
        <v>34594</v>
      </c>
      <c r="H61" s="158">
        <f>IFERROR(VLOOKUP($B$3:$B$128,'APR-2026'!$A$4:$ABW$112,MATCH('FY-(26-27)Q1'!$G$2:$H$2,'APR-2026'!$A$2:$BX$2,0),0),0)</f>
        <v>0.69188000000000005</v>
      </c>
      <c r="I61" s="156">
        <f>IFERROR(VLOOKUP($B$3:$B$128,'MAY-2026'!$A$4:$ACO$113,MATCH('FY-(26-27)Q1'!$I$2:$J$2,'MAY-2026'!$A$2:$CP$2,0),0),0)</f>
        <v>-44456</v>
      </c>
      <c r="J61" s="158">
        <f>IFERROR(VLOOKUP($B$3:$B$128,'MAY-2026'!$A$4:$ACO$113,MATCH('FY-(26-27)Q1'!$I$2:$J$2,'MAY-2026'!$A$2:$CP$2,0),0),0)</f>
        <v>-0.88912000000000002</v>
      </c>
      <c r="K61" s="156">
        <f>IFERROR(VLOOKUP($B$3:$B$128,'JUNE-2026'!$A$4:$ACT$113,MATCH('FY-(26-27)Q1'!$K$2:$L$2,'JUNE-2026'!$A$2:$CU$2,0),0),0)</f>
        <v>-30960</v>
      </c>
      <c r="L61" s="158">
        <f>IFERROR(VLOOKUP($B$3:$B$128,'JUNE-2026'!$A$4:$ACT$113,MATCH('FY-(26-27)Q1'!$K$2:$L$2,'JUNE-2026'!$A$2:$CU$2,0),0),0)</f>
        <v>-0.61919999999999997</v>
      </c>
      <c r="M61" s="71">
        <f t="shared" si="0"/>
        <v>-40822</v>
      </c>
      <c r="N61" s="169">
        <f t="shared" si="1"/>
        <v>-0.81643999999999994</v>
      </c>
      <c r="O61" s="156">
        <f>IFERROR(VLOOKUP($B$4:$B$66,#REF!,MATCH('FY-(26-27)Q1'!$O$2:$P$2,#REF!,0),0),0)</f>
        <v>0</v>
      </c>
      <c r="P61" s="162">
        <f>IFERROR(VLOOKUP($B$4:$B$66,#REF!,MATCH('FY-(26-27)Q1'!$O$2:$P$2,#REF!,0),0),0)</f>
        <v>0</v>
      </c>
      <c r="Q61" s="156">
        <f>IFERROR(VLOOKUP($B$4:$B$66,#REF!,MATCH('FY-(26-27)Q1'!$Q$2:$R$2,#REF!,0),0),0)</f>
        <v>0</v>
      </c>
      <c r="R61" s="162">
        <f>IFERROR(VLOOKUP($B$4:$B$66,#REF!,MATCH('FY-(26-27)Q1'!$Q$2:$R$2,#REF!,0),0),0)</f>
        <v>0</v>
      </c>
      <c r="S61" s="147"/>
      <c r="T61" s="153"/>
      <c r="V61" s="157">
        <f t="shared" si="2"/>
        <v>-40822</v>
      </c>
      <c r="W61" s="171">
        <f t="shared" si="3"/>
        <v>-0.81643999999999994</v>
      </c>
    </row>
    <row r="62" spans="1:31" x14ac:dyDescent="0.25">
      <c r="B62" s="59" t="s">
        <v>217</v>
      </c>
      <c r="C62" s="62" t="s">
        <v>213</v>
      </c>
      <c r="D62" s="59" t="s">
        <v>214</v>
      </c>
      <c r="E62" s="145" t="s">
        <v>213</v>
      </c>
      <c r="F62" s="115">
        <v>4</v>
      </c>
      <c r="G62" s="156">
        <f>IFERROR(VLOOKUP($B$3:$B$128,'APR-2026'!$A$4:$ABW$112,MATCH('FY-(26-27)Q1'!$G$2:$H$2,'APR-2026'!$A$2:$BX$2,0),0),0)</f>
        <v>0</v>
      </c>
      <c r="H62" s="158">
        <f>IFERROR(VLOOKUP($B$3:$B$128,'APR-2026'!$A$4:$ABW$112,MATCH('FY-(26-27)Q1'!$G$2:$H$2,'APR-2026'!$A$2:$BX$2,0),0),0)</f>
        <v>0</v>
      </c>
      <c r="I62" s="156">
        <f>IFERROR(VLOOKUP($B$3:$B$128,'MAY-2026'!$A$4:$ACO$113,MATCH('FY-(26-27)Q1'!$I$2:$J$2,'MAY-2026'!$A$2:$CP$2,0),0),0)</f>
        <v>-206359</v>
      </c>
      <c r="J62" s="158">
        <f>IFERROR(VLOOKUP($B$3:$B$128,'MAY-2026'!$A$4:$ACO$113,MATCH('FY-(26-27)Q1'!$I$2:$J$2,'MAY-2026'!$A$2:$CP$2,0),0),0)</f>
        <v>-0.51589750000000001</v>
      </c>
      <c r="K62" s="156">
        <f>IFERROR(VLOOKUP($B$3:$B$128,'JUNE-2026'!$A$4:$ACT$113,MATCH('FY-(26-27)Q1'!$K$2:$L$2,'JUNE-2026'!$A$2:$CU$2,0),0),0)</f>
        <v>-308065</v>
      </c>
      <c r="L62" s="158">
        <f>IFERROR(VLOOKUP($B$3:$B$128,'JUNE-2026'!$A$4:$ACT$113,MATCH('FY-(26-27)Q1'!$K$2:$L$2,'JUNE-2026'!$A$2:$CU$2,0),0),0)</f>
        <v>-0.77016249999999997</v>
      </c>
      <c r="M62" s="71">
        <f t="shared" ref="M62:M63" si="30">G62+I62+K62</f>
        <v>-514424</v>
      </c>
      <c r="N62" s="169">
        <f t="shared" ref="N62:N63" si="31">H62+J62+L62</f>
        <v>-1.28606</v>
      </c>
      <c r="O62" s="156">
        <f>IFERROR(VLOOKUP($B$4:$B$66,#REF!,MATCH('FY-(26-27)Q1'!$O$2:$P$2,#REF!,0),0),0)</f>
        <v>0</v>
      </c>
      <c r="P62" s="162">
        <f>IFERROR(VLOOKUP($B$4:$B$66,#REF!,MATCH('FY-(26-27)Q1'!$O$2:$P$2,#REF!,0),0),0)</f>
        <v>0</v>
      </c>
      <c r="Q62" s="156">
        <f>IFERROR(VLOOKUP($B$4:$B$66,#REF!,MATCH('FY-(26-27)Q1'!$Q$2:$R$2,#REF!,0),0),0)</f>
        <v>0</v>
      </c>
      <c r="R62" s="162">
        <f>IFERROR(VLOOKUP($B$4:$B$66,#REF!,MATCH('FY-(26-27)Q1'!$Q$2:$R$2,#REF!,0),0),0)</f>
        <v>0</v>
      </c>
      <c r="S62" s="147"/>
      <c r="T62" s="153"/>
      <c r="V62" s="157">
        <f t="shared" ref="V62:V63" si="32">M62+O62+Q62+S62</f>
        <v>-514424</v>
      </c>
      <c r="W62" s="171">
        <f t="shared" si="3"/>
        <v>-1.28606</v>
      </c>
    </row>
    <row r="63" spans="1:31" x14ac:dyDescent="0.25">
      <c r="B63" s="59" t="s">
        <v>218</v>
      </c>
      <c r="C63" s="62" t="s">
        <v>213</v>
      </c>
      <c r="D63" s="59" t="s">
        <v>215</v>
      </c>
      <c r="E63" s="145" t="s">
        <v>154</v>
      </c>
      <c r="F63" s="115">
        <v>1</v>
      </c>
      <c r="G63" s="156">
        <f>IFERROR(VLOOKUP($B$3:$B$128,'APR-2026'!$A$4:$ABW$112,MATCH('FY-(26-27)Q1'!$G$2:$H$2,'APR-2026'!$A$2:$BX$2,0),0),0)</f>
        <v>0</v>
      </c>
      <c r="H63" s="158">
        <f>IFERROR(VLOOKUP($B$3:$B$128,'APR-2026'!$A$4:$ABW$112,MATCH('FY-(26-27)Q1'!$G$2:$H$2,'APR-2026'!$A$2:$BX$2,0),0),0)</f>
        <v>0</v>
      </c>
      <c r="I63" s="156">
        <f>IFERROR(VLOOKUP($B$3:$B$128,'MAY-2026'!$A$4:$ACO$113,MATCH('FY-(26-27)Q1'!$I$2:$J$2,'MAY-2026'!$A$2:$CP$2,0),0),0)</f>
        <v>-52710</v>
      </c>
      <c r="J63" s="158">
        <f>IFERROR(VLOOKUP($B$3:$B$128,'MAY-2026'!$A$4:$ACO$113,MATCH('FY-(26-27)Q1'!$I$2:$J$2,'MAY-2026'!$A$2:$CP$2,0),0),0)</f>
        <v>-0.52710000000000001</v>
      </c>
      <c r="K63" s="156">
        <f>IFERROR(VLOOKUP($B$3:$B$128,'JUNE-2026'!$A$4:$ACT$113,MATCH('FY-(26-27)Q1'!$K$2:$L$2,'JUNE-2026'!$A$2:$CU$2,0),0),0)</f>
        <v>-163033</v>
      </c>
      <c r="L63" s="158">
        <f>IFERROR(VLOOKUP($B$3:$B$128,'JUNE-2026'!$A$4:$ACT$113,MATCH('FY-(26-27)Q1'!$K$2:$L$2,'JUNE-2026'!$A$2:$CU$2,0),0),0)</f>
        <v>-1.6303300000000001</v>
      </c>
      <c r="M63" s="71">
        <f t="shared" si="30"/>
        <v>-215743</v>
      </c>
      <c r="N63" s="169">
        <f t="shared" si="31"/>
        <v>-2.1574300000000002</v>
      </c>
      <c r="O63" s="156">
        <f>IFERROR(VLOOKUP($B$4:$B$66,#REF!,MATCH('FY-(26-27)Q1'!$O$2:$P$2,#REF!,0),0),0)</f>
        <v>0</v>
      </c>
      <c r="P63" s="162">
        <f>IFERROR(VLOOKUP($B$4:$B$66,#REF!,MATCH('FY-(26-27)Q1'!$O$2:$P$2,#REF!,0),0),0)</f>
        <v>0</v>
      </c>
      <c r="Q63" s="156">
        <f>IFERROR(VLOOKUP($B$4:$B$66,#REF!,MATCH('FY-(26-27)Q1'!$Q$2:$R$2,#REF!,0),0),0)</f>
        <v>0</v>
      </c>
      <c r="R63" s="162">
        <f>IFERROR(VLOOKUP($B$4:$B$66,#REF!,MATCH('FY-(26-27)Q1'!$Q$2:$R$2,#REF!,0),0),0)</f>
        <v>0</v>
      </c>
      <c r="S63" s="147"/>
      <c r="T63" s="153"/>
      <c r="V63" s="157">
        <f t="shared" si="32"/>
        <v>-215743</v>
      </c>
      <c r="W63" s="171">
        <f t="shared" si="3"/>
        <v>-2.1574300000000002</v>
      </c>
    </row>
    <row r="64" spans="1:31" x14ac:dyDescent="0.25">
      <c r="B64" s="59" t="s">
        <v>122</v>
      </c>
      <c r="C64" s="59" t="s">
        <v>100</v>
      </c>
      <c r="D64" s="59" t="s">
        <v>38</v>
      </c>
      <c r="E64" s="59" t="s">
        <v>100</v>
      </c>
      <c r="F64" s="115">
        <v>3</v>
      </c>
      <c r="G64" s="156">
        <f>IFERROR(VLOOKUP($B$3:$B$128,'APR-2026'!$A$4:$ABW$112,MATCH('FY-(26-27)Q1'!$G$2:$H$2,'APR-2026'!$A$2:$BX$2,0),0),0)</f>
        <v>0</v>
      </c>
      <c r="H64" s="158">
        <f>IFERROR(VLOOKUP($B$3:$B$128,'APR-2026'!$A$4:$ABW$112,MATCH('FY-(26-27)Q1'!$G$2:$H$2,'APR-2026'!$A$2:$BX$2,0),0),0)</f>
        <v>0</v>
      </c>
      <c r="I64" s="156">
        <f>IFERROR(VLOOKUP($B$3:$B$128,'MAY-2026'!$A$4:$ACO$113,MATCH('FY-(26-27)Q1'!$I$2:$J$2,'MAY-2026'!$A$2:$CP$2,0),0),0)</f>
        <v>0</v>
      </c>
      <c r="J64" s="158">
        <f>IFERROR(VLOOKUP($B$3:$B$128,'MAY-2026'!$A$4:$ACO$113,MATCH('FY-(26-27)Q1'!$I$2:$J$2,'MAY-2026'!$A$2:$CP$2,0),0),0)</f>
        <v>0</v>
      </c>
      <c r="K64" s="156">
        <f>IFERROR(VLOOKUP($B$3:$B$128,'JUNE-2026'!$A$4:$ACT$113,MATCH('FY-(26-27)Q1'!$K$2:$L$2,'JUNE-2026'!$A$2:$CU$2,0),0),0)</f>
        <v>0</v>
      </c>
      <c r="L64" s="158">
        <f>IFERROR(VLOOKUP($B$3:$B$128,'JUNE-2026'!$A$4:$ACT$113,MATCH('FY-(26-27)Q1'!$K$2:$L$2,'JUNE-2026'!$A$2:$CU$2,0),0),0)</f>
        <v>0</v>
      </c>
      <c r="M64" s="71">
        <f t="shared" si="0"/>
        <v>0</v>
      </c>
      <c r="N64" s="169">
        <f t="shared" si="1"/>
        <v>0</v>
      </c>
      <c r="O64" s="88">
        <f>IFERROR(VLOOKUP($B$4:$B$66,#REF!,MATCH('FY-(26-27)Q1'!$O$2:$P$2,#REF!,0),0),0)</f>
        <v>0</v>
      </c>
      <c r="P64" s="127">
        <f>IFERROR(VLOOKUP($B$4:$B$66,#REF!,MATCH('FY-(26-27)Q1'!$O$2:$P$2,#REF!,0),0),0)</f>
        <v>0</v>
      </c>
      <c r="Q64" s="88">
        <f>IFERROR(VLOOKUP($B$4:$B$66,#REF!,MATCH('FY-(26-27)Q1'!$Q$2:$R$2,#REF!,0),0),0)</f>
        <v>0</v>
      </c>
      <c r="R64" s="127">
        <f>IFERROR(VLOOKUP($B$4:$B$66,#REF!,MATCH('FY-(26-27)Q1'!$Q$2:$R$2,#REF!,0),0),0)</f>
        <v>0</v>
      </c>
      <c r="S64" s="45"/>
      <c r="T64" s="72"/>
      <c r="V64" s="157">
        <f t="shared" ref="V64:V66" si="33">M64+O64+Q64+S64</f>
        <v>0</v>
      </c>
      <c r="W64" s="171">
        <f t="shared" si="3"/>
        <v>0</v>
      </c>
    </row>
    <row r="65" spans="2:25" x14ac:dyDescent="0.25">
      <c r="B65" s="59" t="s">
        <v>49</v>
      </c>
      <c r="C65" s="59" t="s">
        <v>100</v>
      </c>
      <c r="D65" s="59" t="s">
        <v>101</v>
      </c>
      <c r="E65" s="59" t="s">
        <v>100</v>
      </c>
      <c r="F65" s="115">
        <v>2.5</v>
      </c>
      <c r="G65" s="156">
        <f>IFERROR(VLOOKUP($B$3:$B$128,'APR-2026'!$A$4:$ABW$112,MATCH('FY-(26-27)Q1'!$G$2:$H$2,'APR-2026'!$A$2:$BX$2,0),0),0)</f>
        <v>251440</v>
      </c>
      <c r="H65" s="158">
        <f>IFERROR(VLOOKUP($B$3:$B$128,'APR-2026'!$A$4:$ABW$112,MATCH('FY-(26-27)Q1'!$G$2:$H$2,'APR-2026'!$A$2:$BX$2,0),0),0)</f>
        <v>0.83813333333333329</v>
      </c>
      <c r="I65" s="156">
        <f>IFERROR(VLOOKUP($B$3:$B$128,'MAY-2026'!$A$4:$ACO$113,MATCH('FY-(26-27)Q1'!$I$2:$J$2,'MAY-2026'!$A$2:$CP$2,0),0),0)</f>
        <v>-173423</v>
      </c>
      <c r="J65" s="158">
        <f>IFERROR(VLOOKUP($B$3:$B$128,'MAY-2026'!$A$4:$ACO$113,MATCH('FY-(26-27)Q1'!$I$2:$J$2,'MAY-2026'!$A$2:$CP$2,0),0),0)</f>
        <v>-0.57807666666666657</v>
      </c>
      <c r="K65" s="156">
        <f>IFERROR(VLOOKUP($B$3:$B$128,'JUNE-2026'!$A$4:$ACT$113,MATCH('FY-(26-27)Q1'!$K$2:$L$2,'JUNE-2026'!$A$2:$CU$2,0),0),0)</f>
        <v>-211979</v>
      </c>
      <c r="L65" s="158">
        <f>IFERROR(VLOOKUP($B$3:$B$128,'JUNE-2026'!$A$4:$ACT$113,MATCH('FY-(26-27)Q1'!$K$2:$L$2,'JUNE-2026'!$A$2:$CU$2,0),0),0)</f>
        <v>-0.70659666666666665</v>
      </c>
      <c r="M65" s="71">
        <f t="shared" si="0"/>
        <v>-133962</v>
      </c>
      <c r="N65" s="169">
        <f t="shared" si="1"/>
        <v>-0.44653999999999994</v>
      </c>
      <c r="O65" s="88">
        <f>IFERROR(VLOOKUP($B$4:$B$66,#REF!,MATCH('FY-(26-27)Q1'!$O$2:$P$2,#REF!,0),0),0)</f>
        <v>0</v>
      </c>
      <c r="P65" s="127">
        <f>IFERROR(VLOOKUP($B$4:$B$66,#REF!,MATCH('FY-(26-27)Q1'!$O$2:$P$2,#REF!,0),0),0)</f>
        <v>0</v>
      </c>
      <c r="Q65" s="88">
        <f>IFERROR(VLOOKUP($B$4:$B$66,#REF!,MATCH('FY-(26-27)Q1'!$Q$2:$R$2,#REF!,0),0),0)</f>
        <v>0</v>
      </c>
      <c r="R65" s="127">
        <f>IFERROR(VLOOKUP($B$4:$B$66,#REF!,MATCH('FY-(26-27)Q1'!$Q$2:$R$2,#REF!,0),0),0)</f>
        <v>0</v>
      </c>
      <c r="S65" s="45"/>
      <c r="T65" s="72"/>
      <c r="V65" s="157">
        <f t="shared" si="33"/>
        <v>-133962</v>
      </c>
      <c r="W65" s="171">
        <f t="shared" si="3"/>
        <v>-0.44653999999999994</v>
      </c>
    </row>
    <row r="66" spans="2:25" x14ac:dyDescent="0.25">
      <c r="B66" s="59" t="s">
        <v>41</v>
      </c>
      <c r="C66" s="59" t="s">
        <v>87</v>
      </c>
      <c r="D66" s="59" t="s">
        <v>176</v>
      </c>
      <c r="E66" s="59" t="s">
        <v>87</v>
      </c>
      <c r="F66" s="115">
        <v>1.5</v>
      </c>
      <c r="G66" s="156">
        <f>IFERROR(VLOOKUP($B$3:$B$128,'APR-2026'!$A$4:$ABW$112,MATCH('FY-(26-27)Q1'!$G$2:$H$2,'APR-2026'!$A$2:$BX$2,0),0),0)</f>
        <v>-37267</v>
      </c>
      <c r="H66" s="158">
        <f>IFERROR(VLOOKUP($B$3:$B$128,'APR-2026'!$A$4:$ABW$112,MATCH('FY-(26-27)Q1'!$G$2:$H$2,'APR-2026'!$A$2:$BX$2,0),0),0)</f>
        <v>-0.14906800000000001</v>
      </c>
      <c r="I66" s="156">
        <f>IFERROR(VLOOKUP($B$3:$B$128,'MAY-2026'!$A$4:$ACO$113,MATCH('FY-(26-27)Q1'!$I$2:$J$2,'MAY-2026'!$A$2:$CP$2,0),0),0)</f>
        <v>-50171</v>
      </c>
      <c r="J66" s="158">
        <f>IFERROR(VLOOKUP($B$3:$B$128,'MAY-2026'!$A$4:$ACO$113,MATCH('FY-(26-27)Q1'!$I$2:$J$2,'MAY-2026'!$A$2:$CP$2,0),0),0)</f>
        <v>-0.20068400000000003</v>
      </c>
      <c r="K66" s="156">
        <f>IFERROR(VLOOKUP($B$3:$B$128,'JUNE-2026'!$A$4:$ACT$113,MATCH('FY-(26-27)Q1'!$K$2:$L$2,'JUNE-2026'!$A$2:$CU$2,0),0),0)</f>
        <v>13200</v>
      </c>
      <c r="L66" s="158">
        <f>IFERROR(VLOOKUP($B$3:$B$128,'JUNE-2026'!$A$4:$ACT$113,MATCH('FY-(26-27)Q1'!$K$2:$L$2,'JUNE-2026'!$A$2:$CU$2,0),0),0)</f>
        <v>5.28E-2</v>
      </c>
      <c r="M66" s="71">
        <f t="shared" si="0"/>
        <v>-74238</v>
      </c>
      <c r="N66" s="169">
        <f t="shared" si="1"/>
        <v>-0.29695200000000005</v>
      </c>
      <c r="O66" s="88">
        <f>IFERROR(VLOOKUP($B$4:$B$66,#REF!,MATCH('FY-(26-27)Q1'!$O$2:$P$2,#REF!,0),0),0)</f>
        <v>0</v>
      </c>
      <c r="P66" s="127">
        <f>IFERROR(VLOOKUP($B$4:$B$66,#REF!,MATCH('FY-(26-27)Q1'!$O$2:$P$2,#REF!,0),0),0)</f>
        <v>0</v>
      </c>
      <c r="Q66" s="88">
        <f>IFERROR(VLOOKUP($B$4:$B$66,#REF!,MATCH('FY-(26-27)Q1'!$Q$2:$R$2,#REF!,0),0),0)</f>
        <v>0</v>
      </c>
      <c r="R66" s="127">
        <f>IFERROR(VLOOKUP($B$4:$B$66,#REF!,MATCH('FY-(26-27)Q1'!$Q$2:$R$2,#REF!,0),0),0)</f>
        <v>0</v>
      </c>
      <c r="S66" s="45"/>
      <c r="T66" s="72"/>
      <c r="V66" s="157">
        <f t="shared" si="33"/>
        <v>-74238</v>
      </c>
      <c r="W66" s="171">
        <f t="shared" si="3"/>
        <v>-0.29695200000000005</v>
      </c>
    </row>
    <row r="67" spans="2:25" x14ac:dyDescent="0.25">
      <c r="B67" s="20"/>
      <c r="C67" s="21"/>
      <c r="D67" s="20"/>
      <c r="E67" s="22"/>
      <c r="F67" s="1"/>
      <c r="G67" s="89">
        <f>SUM(G4:G66)</f>
        <v>18164639</v>
      </c>
      <c r="H67" s="90"/>
      <c r="I67" s="99">
        <f>SUM(I4:I66)</f>
        <v>-608314</v>
      </c>
      <c r="J67" s="100"/>
      <c r="K67" s="109">
        <f>SUM(K4:K66)</f>
        <v>-4602262</v>
      </c>
      <c r="L67" s="109"/>
      <c r="M67" s="125"/>
      <c r="N67" s="125"/>
      <c r="O67" s="125"/>
      <c r="P67" s="125"/>
      <c r="Q67" s="125"/>
      <c r="R67" s="125"/>
      <c r="S67" s="56"/>
      <c r="T67" s="50"/>
      <c r="V67" s="157">
        <f>SUM(V4:V66)</f>
        <v>12954063</v>
      </c>
      <c r="W67" s="164"/>
    </row>
    <row r="68" spans="2:25" ht="15.75" thickBot="1" x14ac:dyDescent="0.3">
      <c r="B68" s="1"/>
      <c r="C68" s="1"/>
      <c r="D68" s="1"/>
      <c r="E68" s="1"/>
      <c r="F68" s="1"/>
      <c r="G68" s="91"/>
      <c r="H68" s="92"/>
      <c r="I68" s="101"/>
      <c r="J68" s="102"/>
      <c r="K68" s="110"/>
      <c r="L68" s="111"/>
      <c r="M68" s="111"/>
      <c r="N68" s="111"/>
      <c r="O68" s="111"/>
      <c r="P68" s="111"/>
      <c r="Q68" s="111"/>
      <c r="R68" s="111"/>
      <c r="S68" s="51"/>
      <c r="T68" s="54"/>
    </row>
    <row r="69" spans="2:25" ht="16.5" thickBot="1" x14ac:dyDescent="0.3">
      <c r="B69" s="1"/>
      <c r="C69" s="1"/>
      <c r="D69" s="1"/>
      <c r="E69" s="1"/>
      <c r="F69" s="1"/>
      <c r="G69" s="84" t="s">
        <v>151</v>
      </c>
      <c r="H69" s="85" t="s">
        <v>152</v>
      </c>
      <c r="I69" s="95" t="s">
        <v>162</v>
      </c>
      <c r="J69" s="96" t="s">
        <v>163</v>
      </c>
      <c r="K69" s="105" t="s">
        <v>164</v>
      </c>
      <c r="L69" s="106" t="s">
        <v>165</v>
      </c>
      <c r="M69" s="67" t="s">
        <v>91</v>
      </c>
      <c r="N69" s="68" t="s">
        <v>127</v>
      </c>
      <c r="O69" s="67" t="s">
        <v>90</v>
      </c>
      <c r="P69" s="68" t="s">
        <v>128</v>
      </c>
      <c r="Q69" s="67" t="s">
        <v>103</v>
      </c>
      <c r="R69" s="68" t="s">
        <v>129</v>
      </c>
      <c r="S69" s="67" t="s">
        <v>121</v>
      </c>
      <c r="T69" s="68" t="s">
        <v>79</v>
      </c>
      <c r="V69" s="130" t="s">
        <v>166</v>
      </c>
      <c r="W69" s="131" t="s">
        <v>79</v>
      </c>
    </row>
    <row r="70" spans="2:25" x14ac:dyDescent="0.25">
      <c r="B70" s="75" t="s">
        <v>36</v>
      </c>
      <c r="C70" s="76" t="s">
        <v>72</v>
      </c>
      <c r="D70" s="77" t="s">
        <v>57</v>
      </c>
      <c r="E70" s="77" t="s">
        <v>61</v>
      </c>
      <c r="F70" s="120">
        <v>30</v>
      </c>
      <c r="G70" s="156">
        <f>IFERROR(VLOOKUP($B$3:$B$128,'APR-2026'!$A$4:$ABW$112,MATCH('FY-(26-27)Q1'!$G$2:$H$2,'APR-2026'!$A$2:$BX$2,0),0),0)</f>
        <v>3718000</v>
      </c>
      <c r="H70" s="162">
        <f>IFERROR(VLOOKUP($B$3:$B$128,'APR-2026'!$A$4:$ABW$112,MATCH('FY-(26-27)Q1'!$G$2:$H$2,'APR-2026'!$A$2:$BX$2,0),0),0)</f>
        <v>1.2393333333333332</v>
      </c>
      <c r="I70" s="156">
        <f>IFERROR(VLOOKUP($B$3:$B$128,'MAY-2026'!$A$4:$ACO$113,MATCH('FY-(26-27)Q1'!$I$2:$J$2,'MAY-2026'!$A$2:$CP$2,0),0),0)</f>
        <v>-191500</v>
      </c>
      <c r="J70" s="158">
        <f>IFERROR(VLOOKUP($B$3:$B$128,'MAY-2026'!$A$4:$ACO$113,MATCH('FY-(26-27)Q1'!$I$2:$J$2,'MAY-2026'!$A$2:$CP$2,0),0),0)</f>
        <v>-6.3833333333333325E-2</v>
      </c>
      <c r="K70" s="156">
        <f>IFERROR(VLOOKUP($B$3:$B$128,'JUNE-2026'!$A$4:$ACT$113,MATCH('FY-(26-27)Q1'!$K$2:$L$2,'JUNE-2026'!$A$2:$CU$2,0),0),0)</f>
        <v>-715000</v>
      </c>
      <c r="L70" s="158">
        <f>IFERROR(VLOOKUP($B$3:$B$128,'JUNE-2026'!$A$4:$ACT$113,MATCH('FY-(26-27)Q1'!$K$2:$L$2,'JUNE-2026'!$A$2:$CU$2,0),0),0)</f>
        <v>-0.23833333333333331</v>
      </c>
      <c r="M70" s="88">
        <f t="shared" ref="M70:N72" si="34">G70+I70+K70</f>
        <v>2811500</v>
      </c>
      <c r="N70" s="170">
        <f t="shared" si="34"/>
        <v>0.93716666666666648</v>
      </c>
      <c r="O70" s="88">
        <f>IFERROR(VLOOKUP($B$70:$B$71,#REF!,MATCH('FY-(26-27)Q1'!$O$69:$P$69,#REF!,0),0),0)</f>
        <v>0</v>
      </c>
      <c r="P70" s="114">
        <f>IFERROR(VLOOKUP($B$70:$B$71,#REF!,MATCH('FY-(26-27)Q1'!$M$69:$N$69,#REF!,0),0),0)</f>
        <v>0</v>
      </c>
      <c r="Q70" s="88">
        <f>IFERROR(VLOOKUP($B$70:$B$71,#REF!,MATCH('FY-(26-27)Q1'!$M$69:$N$69,#REF!,0),0),0)</f>
        <v>0</v>
      </c>
      <c r="R70" s="114">
        <f>IFERROR(VLOOKUP($B$70:$B$71,#REF!,MATCH('FY-(26-27)Q1'!$M$69:$N$69,#REF!,0),0),0)</f>
        <v>0</v>
      </c>
      <c r="S70" s="52"/>
      <c r="T70" s="53"/>
      <c r="V70" s="52">
        <f t="shared" ref="V70:V71" si="35">M70+O70+Q70+S70</f>
        <v>2811500</v>
      </c>
      <c r="W70" s="53">
        <f t="shared" ref="W70:W71" si="36">N70+P70+R70+T70</f>
        <v>0.93716666666666648</v>
      </c>
    </row>
    <row r="71" spans="2:25" x14ac:dyDescent="0.25">
      <c r="B71" s="79" t="s">
        <v>37</v>
      </c>
      <c r="C71" s="34" t="s">
        <v>78</v>
      </c>
      <c r="D71" s="41" t="s">
        <v>57</v>
      </c>
      <c r="E71" s="41" t="s">
        <v>61</v>
      </c>
      <c r="F71" s="121">
        <v>2</v>
      </c>
      <c r="G71" s="156">
        <f>IFERROR(VLOOKUP($B$3:$B$128,'APR-2026'!$A$4:$ABW$112,MATCH('FY-(26-27)Q1'!$G$2:$H$2,'APR-2026'!$A$2:$BX$2,0),0),0)</f>
        <v>3262972</v>
      </c>
      <c r="H71" s="162">
        <f>IFERROR(VLOOKUP($B$3:$B$128,'APR-2026'!$A$4:$ABW$112,MATCH('FY-(26-27)Q1'!$G$2:$H$2,'APR-2026'!$A$2:$BX$2,0),0),0)</f>
        <v>16.314859999999999</v>
      </c>
      <c r="I71" s="156">
        <f>IFERROR(VLOOKUP($B$3:$B$128,'MAY-2026'!$A$4:$ACO$113,MATCH('FY-(26-27)Q1'!$I$2:$J$2,'MAY-2026'!$A$2:$CP$2,0),0),0)</f>
        <v>0</v>
      </c>
      <c r="J71" s="158">
        <f>IFERROR(VLOOKUP($B$3:$B$128,'MAY-2026'!$A$4:$ACO$113,MATCH('FY-(26-27)Q1'!$I$2:$J$2,'MAY-2026'!$A$2:$CP$2,0),0),0)</f>
        <v>0</v>
      </c>
      <c r="K71" s="156">
        <f>IFERROR(VLOOKUP($B$3:$B$128,'JUNE-2026'!$A$4:$ACT$113,MATCH('FY-(26-27)Q1'!$K$2:$L$2,'JUNE-2026'!$A$2:$CU$2,0),0),0)</f>
        <v>0</v>
      </c>
      <c r="L71" s="158">
        <f>IFERROR(VLOOKUP($B$3:$B$128,'JUNE-2026'!$A$4:$ACT$113,MATCH('FY-(26-27)Q1'!$K$2:$L$2,'JUNE-2026'!$A$2:$CU$2,0),0),0)</f>
        <v>0</v>
      </c>
      <c r="M71" s="156">
        <f t="shared" si="34"/>
        <v>3262972</v>
      </c>
      <c r="N71" s="170">
        <f t="shared" si="34"/>
        <v>16.314859999999999</v>
      </c>
      <c r="O71" s="88">
        <f>IFERROR(VLOOKUP($B$70:$B$71,#REF!,MATCH('FY-(26-27)Q1'!$O$69:$P$69,#REF!,0),0),0)</f>
        <v>0</v>
      </c>
      <c r="P71" s="114">
        <f>IFERROR(VLOOKUP($B$70:$B$71,#REF!,MATCH('FY-(26-27)Q1'!$M$69:$N$69,#REF!,0),0),0)</f>
        <v>0</v>
      </c>
      <c r="Q71" s="88">
        <f>IFERROR(VLOOKUP($B$70:$B$71,#REF!,MATCH('FY-(26-27)Q1'!$M$69:$N$69,#REF!,0),0),0)</f>
        <v>0</v>
      </c>
      <c r="R71" s="114">
        <f>IFERROR(VLOOKUP($B$70:$B$71,#REF!,MATCH('FY-(26-27)Q1'!$M$69:$N$69,#REF!,0),0),0)</f>
        <v>0</v>
      </c>
      <c r="S71" s="52"/>
      <c r="T71" s="53"/>
      <c r="V71" s="52">
        <f t="shared" si="35"/>
        <v>3262972</v>
      </c>
      <c r="W71" s="53">
        <f t="shared" si="36"/>
        <v>16.314859999999999</v>
      </c>
    </row>
    <row r="72" spans="2:25" x14ac:dyDescent="0.25">
      <c r="B72" s="79" t="s">
        <v>246</v>
      </c>
      <c r="C72" s="144" t="s">
        <v>245</v>
      </c>
      <c r="D72" s="144" t="s">
        <v>57</v>
      </c>
      <c r="E72" s="144"/>
      <c r="F72" s="210"/>
      <c r="G72" s="156">
        <f>IFERROR(VLOOKUP($B$3:$B$128,'APR-2026'!$A$4:$ABW$112,MATCH('FY-(26-27)Q1'!$G$2:$H$2,'APR-2026'!$A$2:$BX$2,0),0),0)</f>
        <v>0</v>
      </c>
      <c r="H72" s="162">
        <f>IFERROR(VLOOKUP($B$3:$B$128,'APR-2026'!$A$4:$ABW$112,MATCH('FY-(26-27)Q1'!$G$2:$H$2,'APR-2026'!$A$2:$BX$2,0),0),0)</f>
        <v>0</v>
      </c>
      <c r="I72" s="156">
        <f>IFERROR(VLOOKUP($B$3:$B$128,'MAY-2026'!$A$4:$ACO$113,MATCH('FY-(26-27)Q1'!$I$2:$J$2,'MAY-2026'!$A$2:$CP$2,0),0),0)</f>
        <v>212000</v>
      </c>
      <c r="J72" s="158">
        <f>IFERROR(VLOOKUP($B$3:$B$128,'MAY-2026'!$A$4:$ACO$113,MATCH('FY-(26-27)Q1'!$I$2:$J$2,'MAY-2026'!$A$2:$CP$2,0),0),0)</f>
        <v>0</v>
      </c>
      <c r="K72" s="156">
        <f>IFERROR(VLOOKUP($B$3:$B$128,'JUNE-2026'!$A$4:$ACT$113,MATCH('FY-(26-27)Q1'!$K$2:$L$2,'JUNE-2026'!$A$2:$CU$2,0),0),0)</f>
        <v>-235000</v>
      </c>
      <c r="L72" s="158">
        <f>IFERROR(VLOOKUP($B$3:$B$128,'JUNE-2026'!$A$4:$ACT$113,MATCH('FY-(26-27)Q1'!$K$2:$L$2,'JUNE-2026'!$A$2:$CU$2,0),0),0)</f>
        <v>0</v>
      </c>
      <c r="M72" s="156">
        <f t="shared" si="34"/>
        <v>-23000</v>
      </c>
      <c r="N72" s="170">
        <f t="shared" si="34"/>
        <v>0</v>
      </c>
      <c r="O72" s="156">
        <f>IFERROR(VLOOKUP($B$70:$B$71,#REF!,MATCH('FY-(26-27)Q1'!$O$69:$P$69,#REF!,0),0),0)</f>
        <v>0</v>
      </c>
      <c r="P72" s="158">
        <f>IFERROR(VLOOKUP($B$70:$B$71,#REF!,MATCH('FY-(26-27)Q1'!$M$69:$N$69,#REF!,0),0),0)</f>
        <v>0</v>
      </c>
      <c r="Q72" s="156">
        <f>IFERROR(VLOOKUP($B$70:$B$71,#REF!,MATCH('FY-(26-27)Q1'!$M$69:$N$69,#REF!,0),0),0)</f>
        <v>0</v>
      </c>
      <c r="R72" s="158">
        <f>IFERROR(VLOOKUP($B$70:$B$71,#REF!,MATCH('FY-(26-27)Q1'!$M$69:$N$69,#REF!,0),0),0)</f>
        <v>0</v>
      </c>
      <c r="S72" s="52"/>
      <c r="T72" s="53"/>
      <c r="U72" s="135"/>
      <c r="V72" s="52">
        <f t="shared" ref="V72" si="37">M72+O72+Q72+S72</f>
        <v>-23000</v>
      </c>
      <c r="W72" s="53">
        <f t="shared" ref="W72" si="38">N72+P72+R72+T72</f>
        <v>0</v>
      </c>
      <c r="X72" s="135"/>
    </row>
    <row r="73" spans="2:25" ht="15.75" thickBot="1" x14ac:dyDescent="0.3">
      <c r="B73" s="1"/>
      <c r="C73" s="1"/>
      <c r="D73" s="1"/>
      <c r="E73" s="1"/>
      <c r="F73" s="1"/>
      <c r="G73" s="93">
        <f>SUM(G70:G71)</f>
        <v>6980972</v>
      </c>
      <c r="H73" s="94"/>
      <c r="I73" s="103">
        <f>SUM(I70:I71)</f>
        <v>-191500</v>
      </c>
      <c r="J73" s="104"/>
      <c r="K73" s="112">
        <f>SUM(K70:K71)</f>
        <v>-715000</v>
      </c>
      <c r="L73" s="113"/>
      <c r="M73" s="126"/>
      <c r="N73" s="126"/>
      <c r="O73" s="126"/>
      <c r="P73" s="126"/>
      <c r="Q73" s="126"/>
      <c r="R73" s="126"/>
      <c r="S73" s="57"/>
      <c r="T73" s="58"/>
      <c r="V73" s="57">
        <f>SUM(V70:V71)</f>
        <v>6074472</v>
      </c>
      <c r="W73" s="58">
        <f>SUM(W70:W71)</f>
        <v>17.252026666666666</v>
      </c>
      <c r="Y73" s="135"/>
    </row>
    <row r="74" spans="2:25" x14ac:dyDescent="0.25">
      <c r="B74" s="1"/>
    </row>
  </sheetData>
  <conditionalFormatting sqref="B51:D51 S4:T4 B41:F42 B25:F27 S18:T19 B11:D11 T44:T45 T60 B3:F4 L2:L3 B44:F45 B48:F48 G67:T68 M60:R60 O31:R32 S31:S33 T20:T28 M20:R28 B70:F71 P70:R71 O71:P71 M15:R15 D14 B7:F8 M41:R42 T41:T42 T38 B38:H38 M37:N37 G37:H37 M70:N71 F14 F11 M14:T14 M38:R38 F62:F63 T53:T55 M53:R56 B55:F56 B60:F60 M53:N57 M60:N61 G53:J57 G60:J61 V53:V57 V67:W67 M7:T7 G11:H12 M11:T12 G7:J10 F49 F51:J51 V51 T48:T51 T31:T35 B31:F35 M33:R35 G73:T73 H4:N4 M5:N5 M44:R51 M7:N10 M14:N16 G14:H16 I11:J16 V4:W16 K5:L16 B18:F22 M18:N35 G18:H35 I18:L39 E5:J5 F64:J66 B40:J40 V60:V66 W51:W66 M64:T66 M40:T40 M41:N49 G41:J50 V18:W50 K40:L66 B65:D65 B66:E67">
    <cfRule type="expression" dxfId="171" priority="358">
      <formula>MOD(ROW(),2)=0</formula>
    </cfRule>
  </conditionalFormatting>
  <conditionalFormatting sqref="S34:S35 S21:S22 S54 S44:S45 S51 S41:S42 S25:S27 G2:I3 S48 G4:H4">
    <cfRule type="expression" dxfId="170" priority="357">
      <formula>MOD(ROW(),2)=0</formula>
    </cfRule>
  </conditionalFormatting>
  <conditionalFormatting sqref="J2:J3">
    <cfRule type="expression" dxfId="169" priority="354">
      <formula>MOD(ROW(),2)=0</formula>
    </cfRule>
  </conditionalFormatting>
  <conditionalFormatting sqref="S70:T71">
    <cfRule type="expression" dxfId="168" priority="351">
      <formula>MOD(ROW(),2)=0</formula>
    </cfRule>
  </conditionalFormatting>
  <conditionalFormatting sqref="K2:K3">
    <cfRule type="expression" dxfId="167" priority="352">
      <formula>MOD(ROW(),2)=0</formula>
    </cfRule>
  </conditionalFormatting>
  <conditionalFormatting sqref="S55">
    <cfRule type="expression" dxfId="166" priority="342">
      <formula>MOD(ROW(),2)=0</formula>
    </cfRule>
  </conditionalFormatting>
  <conditionalFormatting sqref="S20">
    <cfRule type="expression" dxfId="165" priority="343">
      <formula>MOD(ROW(),2)=0</formula>
    </cfRule>
  </conditionalFormatting>
  <conditionalFormatting sqref="B49:E49">
    <cfRule type="expression" dxfId="164" priority="332">
      <formula>MOD(ROW(),2)=0</formula>
    </cfRule>
  </conditionalFormatting>
  <conditionalFormatting sqref="S49:S50">
    <cfRule type="expression" dxfId="163" priority="330">
      <formula>MOD(ROW(),2)=0</formula>
    </cfRule>
  </conditionalFormatting>
  <conditionalFormatting sqref="E51">
    <cfRule type="expression" dxfId="162" priority="328">
      <formula>MOD(ROW(),2)=0</formula>
    </cfRule>
  </conditionalFormatting>
  <conditionalFormatting sqref="S38">
    <cfRule type="expression" dxfId="161" priority="319">
      <formula>MOD(ROW(),2)=0</formula>
    </cfRule>
  </conditionalFormatting>
  <conditionalFormatting sqref="B28:F28 B29:B30">
    <cfRule type="expression" dxfId="160" priority="318">
      <formula>MOD(ROW(),2)=0</formula>
    </cfRule>
  </conditionalFormatting>
  <conditionalFormatting sqref="C64:D64">
    <cfRule type="expression" dxfId="159" priority="290">
      <formula>MOD(ROW(),2)=0</formula>
    </cfRule>
  </conditionalFormatting>
  <conditionalFormatting sqref="S28">
    <cfRule type="expression" dxfId="158" priority="316">
      <formula>MOD(ROW(),2)=0</formula>
    </cfRule>
  </conditionalFormatting>
  <conditionalFormatting sqref="B24:E24">
    <cfRule type="expression" dxfId="157" priority="315">
      <formula>MOD(ROW(),2)=0</formula>
    </cfRule>
  </conditionalFormatting>
  <conditionalFormatting sqref="S24">
    <cfRule type="expression" dxfId="156" priority="313">
      <formula>MOD(ROW(),2)=0</formula>
    </cfRule>
  </conditionalFormatting>
  <conditionalFormatting sqref="B23:E23">
    <cfRule type="expression" dxfId="155" priority="312">
      <formula>MOD(ROW(),2)=0</formula>
    </cfRule>
  </conditionalFormatting>
  <conditionalFormatting sqref="S23">
    <cfRule type="expression" dxfId="154" priority="310">
      <formula>MOD(ROW(),2)=0</formula>
    </cfRule>
  </conditionalFormatting>
  <conditionalFormatting sqref="B53:F53">
    <cfRule type="expression" dxfId="153" priority="297">
      <formula>MOD(ROW(),2)=0</formula>
    </cfRule>
  </conditionalFormatting>
  <conditionalFormatting sqref="R4 R18:R19">
    <cfRule type="expression" dxfId="152" priority="241">
      <formula>MOD(ROW(),2)=0</formula>
    </cfRule>
  </conditionalFormatting>
  <conditionalFormatting sqref="B64">
    <cfRule type="expression" dxfId="151" priority="288">
      <formula>MOD(ROW(),2)=0</formula>
    </cfRule>
  </conditionalFormatting>
  <conditionalFormatting sqref="Q4:R4 Q18:R19">
    <cfRule type="expression" dxfId="150" priority="240">
      <formula>MOD(ROW(),2)=0</formula>
    </cfRule>
  </conditionalFormatting>
  <conditionalFormatting sqref="S53">
    <cfRule type="expression" dxfId="149" priority="293">
      <formula>MOD(ROW(),2)=0</formula>
    </cfRule>
  </conditionalFormatting>
  <conditionalFormatting sqref="F23">
    <cfRule type="expression" dxfId="147" priority="259">
      <formula>MOD(ROW(),2)=0</formula>
    </cfRule>
  </conditionalFormatting>
  <conditionalFormatting sqref="M18:N19 M31:N31">
    <cfRule type="expression" dxfId="146" priority="257">
      <formula>MOD(ROW(),2)=0</formula>
    </cfRule>
  </conditionalFormatting>
  <conditionalFormatting sqref="B15:F16">
    <cfRule type="expression" dxfId="145" priority="265">
      <formula>MOD(ROW(),2)=0</formula>
    </cfRule>
  </conditionalFormatting>
  <conditionalFormatting sqref="S15:T15">
    <cfRule type="expression" dxfId="144" priority="264">
      <formula>MOD(ROW(),2)=0</formula>
    </cfRule>
  </conditionalFormatting>
  <conditionalFormatting sqref="P4 P18:P19">
    <cfRule type="expression" dxfId="143" priority="249">
      <formula>MOD(ROW(),2)=0</formula>
    </cfRule>
  </conditionalFormatting>
  <conditionalFormatting sqref="O4:P4 O18:P19">
    <cfRule type="expression" dxfId="142" priority="248">
      <formula>MOD(ROW(),2)=0</formula>
    </cfRule>
  </conditionalFormatting>
  <conditionalFormatting sqref="S60">
    <cfRule type="expression" dxfId="141" priority="279">
      <formula>MOD(ROW(),2)=0</formula>
    </cfRule>
  </conditionalFormatting>
  <conditionalFormatting sqref="T56">
    <cfRule type="expression" dxfId="140" priority="239">
      <formula>MOD(ROW(),2)=0</formula>
    </cfRule>
  </conditionalFormatting>
  <conditionalFormatting sqref="M32:N32">
    <cfRule type="expression" dxfId="139" priority="250">
      <formula>MOD(ROW(),2)=0</formula>
    </cfRule>
  </conditionalFormatting>
  <conditionalFormatting sqref="F24">
    <cfRule type="expression" dxfId="138" priority="260">
      <formula>MOD(ROW(),2)=0</formula>
    </cfRule>
  </conditionalFormatting>
  <conditionalFormatting sqref="N18:N19 N31">
    <cfRule type="expression" dxfId="137" priority="258">
      <formula>MOD(ROW(),2)=0</formula>
    </cfRule>
  </conditionalFormatting>
  <conditionalFormatting sqref="O70">
    <cfRule type="expression" dxfId="136" priority="229">
      <formula>MOD(ROW(),2)=0</formula>
    </cfRule>
  </conditionalFormatting>
  <conditionalFormatting sqref="P70">
    <cfRule type="expression" dxfId="135" priority="216">
      <formula>MOD(ROW(),2)=0</formula>
    </cfRule>
  </conditionalFormatting>
  <conditionalFormatting sqref="N32">
    <cfRule type="expression" dxfId="134" priority="251">
      <formula>MOD(ROW(),2)=0</formula>
    </cfRule>
  </conditionalFormatting>
  <conditionalFormatting sqref="O70">
    <cfRule type="expression" dxfId="133" priority="228">
      <formula>MOD(ROW(),2)=0</formula>
    </cfRule>
  </conditionalFormatting>
  <conditionalFormatting sqref="S56">
    <cfRule type="expression" dxfId="132" priority="238">
      <formula>MOD(ROW(),2)=0</formula>
    </cfRule>
  </conditionalFormatting>
  <conditionalFormatting sqref="M16:N16">
    <cfRule type="expression" dxfId="131" priority="196">
      <formula>MOD(ROW(),2)=0</formula>
    </cfRule>
  </conditionalFormatting>
  <conditionalFormatting sqref="P16">
    <cfRule type="expression" dxfId="130" priority="195">
      <formula>MOD(ROW(),2)=0</formula>
    </cfRule>
  </conditionalFormatting>
  <conditionalFormatting sqref="R16">
    <cfRule type="expression" dxfId="129" priority="193">
      <formula>MOD(ROW(),2)=0</formula>
    </cfRule>
  </conditionalFormatting>
  <conditionalFormatting sqref="C29:F30">
    <cfRule type="expression" dxfId="128" priority="185">
      <formula>MOD(ROW(),2)=0</formula>
    </cfRule>
  </conditionalFormatting>
  <conditionalFormatting sqref="T29">
    <cfRule type="expression" dxfId="127" priority="184">
      <formula>MOD(ROW(),2)=0</formula>
    </cfRule>
  </conditionalFormatting>
  <conditionalFormatting sqref="S16:T16">
    <cfRule type="expression" dxfId="126" priority="198">
      <formula>MOD(ROW(),2)=0</formula>
    </cfRule>
  </conditionalFormatting>
  <conditionalFormatting sqref="N16">
    <cfRule type="expression" dxfId="125" priority="197">
      <formula>MOD(ROW(),2)=0</formula>
    </cfRule>
  </conditionalFormatting>
  <conditionalFormatting sqref="O16:P16">
    <cfRule type="expression" dxfId="124" priority="194">
      <formula>MOD(ROW(),2)=0</formula>
    </cfRule>
  </conditionalFormatting>
  <conditionalFormatting sqref="Q16:R16">
    <cfRule type="expression" dxfId="123" priority="192">
      <formula>MOD(ROW(),2)=0</formula>
    </cfRule>
  </conditionalFormatting>
  <conditionalFormatting sqref="S29">
    <cfRule type="expression" dxfId="122" priority="183">
      <formula>MOD(ROW(),2)=0</formula>
    </cfRule>
  </conditionalFormatting>
  <conditionalFormatting sqref="Q29:R29">
    <cfRule type="expression" dxfId="121" priority="177">
      <formula>MOD(ROW(),2)=0</formula>
    </cfRule>
  </conditionalFormatting>
  <conditionalFormatting sqref="N29">
    <cfRule type="expression" dxfId="120" priority="182">
      <formula>MOD(ROW(),2)=0</formula>
    </cfRule>
  </conditionalFormatting>
  <conditionalFormatting sqref="M29:N29">
    <cfRule type="expression" dxfId="119" priority="181">
      <formula>MOD(ROW(),2)=0</formula>
    </cfRule>
  </conditionalFormatting>
  <conditionalFormatting sqref="R29">
    <cfRule type="expression" dxfId="118" priority="178">
      <formula>MOD(ROW(),2)=0</formula>
    </cfRule>
  </conditionalFormatting>
  <conditionalFormatting sqref="P29">
    <cfRule type="expression" dxfId="117" priority="180">
      <formula>MOD(ROW(),2)=0</formula>
    </cfRule>
  </conditionalFormatting>
  <conditionalFormatting sqref="O29:P29">
    <cfRule type="expression" dxfId="116" priority="179">
      <formula>MOD(ROW(),2)=0</formula>
    </cfRule>
  </conditionalFormatting>
  <conditionalFormatting sqref="B9:F10">
    <cfRule type="expression" dxfId="115" priority="170">
      <formula>MOD(ROW(),2)=0</formula>
    </cfRule>
  </conditionalFormatting>
  <conditionalFormatting sqref="S9:T10">
    <cfRule type="expression" dxfId="114" priority="169">
      <formula>MOD(ROW(),2)=0</formula>
    </cfRule>
  </conditionalFormatting>
  <conditionalFormatting sqref="P9:P10">
    <cfRule type="expression" dxfId="113" priority="166">
      <formula>MOD(ROW(),2)=0</formula>
    </cfRule>
  </conditionalFormatting>
  <conditionalFormatting sqref="O9:P10">
    <cfRule type="expression" dxfId="112" priority="165">
      <formula>MOD(ROW(),2)=0</formula>
    </cfRule>
  </conditionalFormatting>
  <conditionalFormatting sqref="Q9:R10">
    <cfRule type="expression" dxfId="111" priority="163">
      <formula>MOD(ROW(),2)=0</formula>
    </cfRule>
  </conditionalFormatting>
  <conditionalFormatting sqref="N9:N10">
    <cfRule type="expression" dxfId="110" priority="168">
      <formula>MOD(ROW(),2)=0</formula>
    </cfRule>
  </conditionalFormatting>
  <conditionalFormatting sqref="M9:N10">
    <cfRule type="expression" dxfId="109" priority="167">
      <formula>MOD(ROW(),2)=0</formula>
    </cfRule>
  </conditionalFormatting>
  <conditionalFormatting sqref="R9:R10">
    <cfRule type="expression" dxfId="108" priority="164">
      <formula>MOD(ROW(),2)=0</formula>
    </cfRule>
  </conditionalFormatting>
  <conditionalFormatting sqref="B43:F43">
    <cfRule type="expression" dxfId="107" priority="156">
      <formula>MOD(ROW(),2)=0</formula>
    </cfRule>
  </conditionalFormatting>
  <conditionalFormatting sqref="T43">
    <cfRule type="expression" dxfId="106" priority="155">
      <formula>MOD(ROW(),2)=0</formula>
    </cfRule>
  </conditionalFormatting>
  <conditionalFormatting sqref="S43">
    <cfRule type="expression" dxfId="105" priority="154">
      <formula>MOD(ROW(),2)=0</formula>
    </cfRule>
  </conditionalFormatting>
  <conditionalFormatting sqref="R43">
    <cfRule type="expression" dxfId="104" priority="149">
      <formula>MOD(ROW(),2)=0</formula>
    </cfRule>
  </conditionalFormatting>
  <conditionalFormatting sqref="Q43:R43">
    <cfRule type="expression" dxfId="103" priority="148">
      <formula>MOD(ROW(),2)=0</formula>
    </cfRule>
  </conditionalFormatting>
  <conditionalFormatting sqref="M43:N43">
    <cfRule type="expression" dxfId="102" priority="152">
      <formula>MOD(ROW(),2)=0</formula>
    </cfRule>
  </conditionalFormatting>
  <conditionalFormatting sqref="P43">
    <cfRule type="expression" dxfId="101" priority="151">
      <formula>MOD(ROW(),2)=0</formula>
    </cfRule>
  </conditionalFormatting>
  <conditionalFormatting sqref="O43:P43">
    <cfRule type="expression" dxfId="100" priority="150">
      <formula>MOD(ROW(),2)=0</formula>
    </cfRule>
  </conditionalFormatting>
  <conditionalFormatting sqref="N43">
    <cfRule type="expression" dxfId="99" priority="153">
      <formula>MOD(ROW(),2)=0</formula>
    </cfRule>
  </conditionalFormatting>
  <conditionalFormatting sqref="B54:F54">
    <cfRule type="expression" dxfId="98" priority="141">
      <formula>MOD(ROW(),2)=0</formula>
    </cfRule>
  </conditionalFormatting>
  <conditionalFormatting sqref="B5:D5">
    <cfRule type="expression" dxfId="97" priority="137">
      <formula>MOD(ROW(),2)=0</formula>
    </cfRule>
  </conditionalFormatting>
  <conditionalFormatting sqref="S5:T5">
    <cfRule type="expression" dxfId="96" priority="136">
      <formula>MOD(ROW(),2)=0</formula>
    </cfRule>
  </conditionalFormatting>
  <conditionalFormatting sqref="R5">
    <cfRule type="expression" dxfId="95" priority="130">
      <formula>MOD(ROW(),2)=0</formula>
    </cfRule>
  </conditionalFormatting>
  <conditionalFormatting sqref="Q5:R5">
    <cfRule type="expression" dxfId="94" priority="129">
      <formula>MOD(ROW(),2)=0</formula>
    </cfRule>
  </conditionalFormatting>
  <conditionalFormatting sqref="M5:N5">
    <cfRule type="expression" dxfId="93" priority="133">
      <formula>MOD(ROW(),2)=0</formula>
    </cfRule>
  </conditionalFormatting>
  <conditionalFormatting sqref="P5">
    <cfRule type="expression" dxfId="92" priority="132">
      <formula>MOD(ROW(),2)=0</formula>
    </cfRule>
  </conditionalFormatting>
  <conditionalFormatting sqref="O5:P5">
    <cfRule type="expression" dxfId="91" priority="131">
      <formula>MOD(ROW(),2)=0</formula>
    </cfRule>
  </conditionalFormatting>
  <conditionalFormatting sqref="N5">
    <cfRule type="expression" dxfId="90" priority="134">
      <formula>MOD(ROW(),2)=0</formula>
    </cfRule>
  </conditionalFormatting>
  <conditionalFormatting sqref="B46:F47">
    <cfRule type="expression" dxfId="89" priority="118">
      <formula>MOD(ROW(),2)=0</formula>
    </cfRule>
  </conditionalFormatting>
  <conditionalFormatting sqref="T46:T47">
    <cfRule type="expression" dxfId="88" priority="117">
      <formula>MOD(ROW(),2)=0</formula>
    </cfRule>
  </conditionalFormatting>
  <conditionalFormatting sqref="S46:S47">
    <cfRule type="expression" dxfId="87" priority="116">
      <formula>MOD(ROW(),2)=0</formula>
    </cfRule>
  </conditionalFormatting>
  <conditionalFormatting sqref="T30">
    <cfRule type="expression" dxfId="86" priority="110">
      <formula>MOD(ROW(),2)=0</formula>
    </cfRule>
  </conditionalFormatting>
  <conditionalFormatting sqref="S30">
    <cfRule type="expression" dxfId="85" priority="109">
      <formula>MOD(ROW(),2)=0</formula>
    </cfRule>
  </conditionalFormatting>
  <conditionalFormatting sqref="Q30:R30">
    <cfRule type="expression" dxfId="84" priority="103">
      <formula>MOD(ROW(),2)=0</formula>
    </cfRule>
  </conditionalFormatting>
  <conditionalFormatting sqref="N30">
    <cfRule type="expression" dxfId="83" priority="108">
      <formula>MOD(ROW(),2)=0</formula>
    </cfRule>
  </conditionalFormatting>
  <conditionalFormatting sqref="M30:N30">
    <cfRule type="expression" dxfId="82" priority="107">
      <formula>MOD(ROW(),2)=0</formula>
    </cfRule>
  </conditionalFormatting>
  <conditionalFormatting sqref="R30">
    <cfRule type="expression" dxfId="81" priority="104">
      <formula>MOD(ROW(),2)=0</formula>
    </cfRule>
  </conditionalFormatting>
  <conditionalFormatting sqref="P30">
    <cfRule type="expression" dxfId="80" priority="106">
      <formula>MOD(ROW(),2)=0</formula>
    </cfRule>
  </conditionalFormatting>
  <conditionalFormatting sqref="O30:P30">
    <cfRule type="expression" dxfId="79" priority="105">
      <formula>MOD(ROW(),2)=0</formula>
    </cfRule>
  </conditionalFormatting>
  <conditionalFormatting sqref="M57:R57">
    <cfRule type="expression" dxfId="78" priority="102">
      <formula>MOD(ROW(),2)=0</formula>
    </cfRule>
  </conditionalFormatting>
  <conditionalFormatting sqref="T57">
    <cfRule type="expression" dxfId="77" priority="101">
      <formula>MOD(ROW(),2)=0</formula>
    </cfRule>
  </conditionalFormatting>
  <conditionalFormatting sqref="S57">
    <cfRule type="expression" dxfId="76" priority="100">
      <formula>MOD(ROW(),2)=0</formula>
    </cfRule>
  </conditionalFormatting>
  <conditionalFormatting sqref="B12:F12">
    <cfRule type="expression" dxfId="75" priority="87">
      <formula>MOD(ROW(),2)=0</formula>
    </cfRule>
  </conditionalFormatting>
  <conditionalFormatting sqref="T37 M37:R37">
    <cfRule type="expression" dxfId="74" priority="96">
      <formula>MOD(ROW(),2)=0</formula>
    </cfRule>
  </conditionalFormatting>
  <conditionalFormatting sqref="S37">
    <cfRule type="expression" dxfId="73" priority="95">
      <formula>MOD(ROW(),2)=0</formula>
    </cfRule>
  </conditionalFormatting>
  <conditionalFormatting sqref="B61:F61">
    <cfRule type="expression" dxfId="72" priority="85">
      <formula>MOD(ROW(),2)=0</formula>
    </cfRule>
  </conditionalFormatting>
  <conditionalFormatting sqref="T61 M61:R61">
    <cfRule type="expression" dxfId="71" priority="84">
      <formula>MOD(ROW(),2)=0</formula>
    </cfRule>
  </conditionalFormatting>
  <conditionalFormatting sqref="S61">
    <cfRule type="expression" dxfId="70" priority="83">
      <formula>MOD(ROW(),2)=0</formula>
    </cfRule>
  </conditionalFormatting>
  <conditionalFormatting sqref="M8:T8">
    <cfRule type="expression" dxfId="69" priority="80">
      <formula>MOD(ROW(),2)=0</formula>
    </cfRule>
  </conditionalFormatting>
  <conditionalFormatting sqref="G70:G71">
    <cfRule type="expression" dxfId="68" priority="78">
      <formula>MOD(ROW(),2)=0</formula>
    </cfRule>
  </conditionalFormatting>
  <conditionalFormatting sqref="H70">
    <cfRule type="expression" dxfId="67" priority="75">
      <formula>MOD(ROW(),2)=0</formula>
    </cfRule>
  </conditionalFormatting>
  <conditionalFormatting sqref="H71">
    <cfRule type="expression" dxfId="66" priority="74">
      <formula>MOD(ROW(),2)=0</formula>
    </cfRule>
  </conditionalFormatting>
  <conditionalFormatting sqref="L69">
    <cfRule type="expression" dxfId="65" priority="73">
      <formula>MOD(ROW(),2)=0</formula>
    </cfRule>
  </conditionalFormatting>
  <conditionalFormatting sqref="G69:I69">
    <cfRule type="expression" dxfId="64" priority="72">
      <formula>MOD(ROW(),2)=0</formula>
    </cfRule>
  </conditionalFormatting>
  <conditionalFormatting sqref="J69">
    <cfRule type="expression" dxfId="63" priority="71">
      <formula>MOD(ROW(),2)=0</formula>
    </cfRule>
  </conditionalFormatting>
  <conditionalFormatting sqref="K69">
    <cfRule type="expression" dxfId="62" priority="70">
      <formula>MOD(ROW(),2)=0</formula>
    </cfRule>
  </conditionalFormatting>
  <conditionalFormatting sqref="V70:W71">
    <cfRule type="expression" dxfId="61" priority="57">
      <formula>MOD(ROW(),2)=0</formula>
    </cfRule>
  </conditionalFormatting>
  <conditionalFormatting sqref="B36:F36">
    <cfRule type="expression" dxfId="60" priority="67">
      <formula>MOD(ROW(),2)=0</formula>
    </cfRule>
  </conditionalFormatting>
  <conditionalFormatting sqref="B37:F37">
    <cfRule type="expression" dxfId="59" priority="66">
      <formula>MOD(ROW(),2)=0</formula>
    </cfRule>
  </conditionalFormatting>
  <conditionalFormatting sqref="B39:F39">
    <cfRule type="expression" dxfId="58" priority="65">
      <formula>MOD(ROW(),2)=0</formula>
    </cfRule>
  </conditionalFormatting>
  <conditionalFormatting sqref="T39 G39:H39 M39:R39">
    <cfRule type="expression" dxfId="57" priority="64">
      <formula>MOD(ROW(),2)=0</formula>
    </cfRule>
  </conditionalFormatting>
  <conditionalFormatting sqref="S39">
    <cfRule type="expression" dxfId="56" priority="63">
      <formula>MOD(ROW(),2)=0</formula>
    </cfRule>
  </conditionalFormatting>
  <conditionalFormatting sqref="T36 G36:H36 M36:R36">
    <cfRule type="expression" dxfId="55" priority="62">
      <formula>MOD(ROW(),2)=0</formula>
    </cfRule>
  </conditionalFormatting>
  <conditionalFormatting sqref="S36">
    <cfRule type="expression" dxfId="54" priority="61">
      <formula>MOD(ROW(),2)=0</formula>
    </cfRule>
  </conditionalFormatting>
  <conditionalFormatting sqref="E11">
    <cfRule type="expression" dxfId="53" priority="52">
      <formula>MOD(ROW(),2)=0</formula>
    </cfRule>
  </conditionalFormatting>
  <conditionalFormatting sqref="V73:W73">
    <cfRule type="expression" dxfId="52" priority="58">
      <formula>MOD(ROW(),2)=0</formula>
    </cfRule>
  </conditionalFormatting>
  <conditionalFormatting sqref="B13:C14">
    <cfRule type="expression" dxfId="51" priority="56">
      <formula>MOD(ROW(),2)=0</formula>
    </cfRule>
  </conditionalFormatting>
  <conditionalFormatting sqref="D13">
    <cfRule type="expression" dxfId="50" priority="55">
      <formula>MOD(ROW(),2)=0</formula>
    </cfRule>
  </conditionalFormatting>
  <conditionalFormatting sqref="F13">
    <cfRule type="expression" dxfId="49" priority="54">
      <formula>MOD(ROW(),2)=0</formula>
    </cfRule>
  </conditionalFormatting>
  <conditionalFormatting sqref="E13:E14">
    <cfRule type="expression" dxfId="48" priority="53">
      <formula>MOD(ROW(),2)=0</formula>
    </cfRule>
  </conditionalFormatting>
  <conditionalFormatting sqref="G13:H13 M13:T13">
    <cfRule type="expression" dxfId="47" priority="51">
      <formula>MOD(ROW(),2)=0</formula>
    </cfRule>
  </conditionalFormatting>
  <conditionalFormatting sqref="J70:J71">
    <cfRule type="expression" dxfId="46" priority="48">
      <formula>MOD(ROW(),2)=0</formula>
    </cfRule>
  </conditionalFormatting>
  <conditionalFormatting sqref="I70:J71">
    <cfRule type="expression" dxfId="45" priority="47">
      <formula>MOD(ROW(),2)=0</formula>
    </cfRule>
  </conditionalFormatting>
  <conditionalFormatting sqref="B62:E63">
    <cfRule type="expression" dxfId="44" priority="46">
      <formula>MOD(ROW(),2)=0</formula>
    </cfRule>
  </conditionalFormatting>
  <conditionalFormatting sqref="G62:J63 M62:N63">
    <cfRule type="expression" dxfId="43" priority="45">
      <formula>MOD(ROW(),2)=0</formula>
    </cfRule>
  </conditionalFormatting>
  <conditionalFormatting sqref="T62:T63 M62:R63">
    <cfRule type="expression" dxfId="42" priority="44">
      <formula>MOD(ROW(),2)=0</formula>
    </cfRule>
  </conditionalFormatting>
  <conditionalFormatting sqref="S62:S63">
    <cfRule type="expression" dxfId="41" priority="43">
      <formula>MOD(ROW(),2)=0</formula>
    </cfRule>
  </conditionalFormatting>
  <conditionalFormatting sqref="S52">
    <cfRule type="expression" dxfId="40" priority="40">
      <formula>MOD(ROW(),2)=0</formula>
    </cfRule>
  </conditionalFormatting>
  <conditionalFormatting sqref="B52:F52">
    <cfRule type="expression" dxfId="39" priority="42">
      <formula>MOD(ROW(),2)=0</formula>
    </cfRule>
  </conditionalFormatting>
  <conditionalFormatting sqref="T52 V52 G52:J52 M52:R52">
    <cfRule type="expression" dxfId="38" priority="41">
      <formula>MOD(ROW(),2)=0</formula>
    </cfRule>
  </conditionalFormatting>
  <conditionalFormatting sqref="B58:B59 D58:F59">
    <cfRule type="expression" dxfId="37" priority="39">
      <formula>MOD(ROW(),2)=0</formula>
    </cfRule>
  </conditionalFormatting>
  <conditionalFormatting sqref="B57:F57">
    <cfRule type="expression" dxfId="36" priority="38">
      <formula>MOD(ROW(),2)=0</formula>
    </cfRule>
  </conditionalFormatting>
  <conditionalFormatting sqref="C58:C59">
    <cfRule type="expression" dxfId="35" priority="37">
      <formula>MOD(ROW(),2)=0</formula>
    </cfRule>
  </conditionalFormatting>
  <conditionalFormatting sqref="M58:N59 G58:J59 V58:V59">
    <cfRule type="expression" dxfId="34" priority="36">
      <formula>MOD(ROW(),2)=0</formula>
    </cfRule>
  </conditionalFormatting>
  <conditionalFormatting sqref="M58:R59">
    <cfRule type="expression" dxfId="33" priority="35">
      <formula>MOD(ROW(),2)=0</formula>
    </cfRule>
  </conditionalFormatting>
  <conditionalFormatting sqref="T58:T59">
    <cfRule type="expression" dxfId="32" priority="34">
      <formula>MOD(ROW(),2)=0</formula>
    </cfRule>
  </conditionalFormatting>
  <conditionalFormatting sqref="S58:S59">
    <cfRule type="expression" dxfId="31" priority="33">
      <formula>MOD(ROW(),2)=0</formula>
    </cfRule>
  </conditionalFormatting>
  <conditionalFormatting sqref="B6:F6">
    <cfRule type="expression" dxfId="30" priority="32">
      <formula>MOD(ROW(),2)=0</formula>
    </cfRule>
  </conditionalFormatting>
  <conditionalFormatting sqref="G6:J6 M6:N6">
    <cfRule type="expression" dxfId="29" priority="31">
      <formula>MOD(ROW(),2)=0</formula>
    </cfRule>
  </conditionalFormatting>
  <conditionalFormatting sqref="S6:T6">
    <cfRule type="expression" dxfId="28" priority="30">
      <formula>MOD(ROW(),2)=0</formula>
    </cfRule>
  </conditionalFormatting>
  <conditionalFormatting sqref="R6">
    <cfRule type="expression" dxfId="27" priority="25">
      <formula>MOD(ROW(),2)=0</formula>
    </cfRule>
  </conditionalFormatting>
  <conditionalFormatting sqref="Q6:R6">
    <cfRule type="expression" dxfId="26" priority="24">
      <formula>MOD(ROW(),2)=0</formula>
    </cfRule>
  </conditionalFormatting>
  <conditionalFormatting sqref="M6:N6">
    <cfRule type="expression" dxfId="25" priority="28">
      <formula>MOD(ROW(),2)=0</formula>
    </cfRule>
  </conditionalFormatting>
  <conditionalFormatting sqref="P6">
    <cfRule type="expression" dxfId="24" priority="27">
      <formula>MOD(ROW(),2)=0</formula>
    </cfRule>
  </conditionalFormatting>
  <conditionalFormatting sqref="O6:P6">
    <cfRule type="expression" dxfId="23" priority="26">
      <formula>MOD(ROW(),2)=0</formula>
    </cfRule>
  </conditionalFormatting>
  <conditionalFormatting sqref="N6">
    <cfRule type="expression" dxfId="22" priority="29">
      <formula>MOD(ROW(),2)=0</formula>
    </cfRule>
  </conditionalFormatting>
  <conditionalFormatting sqref="B50:F50">
    <cfRule type="expression" dxfId="21" priority="23">
      <formula>MOD(ROW(),2)=0</formula>
    </cfRule>
  </conditionalFormatting>
  <conditionalFormatting sqref="B72:F72">
    <cfRule type="expression" dxfId="20" priority="21">
      <formula>MOD(ROW(),2)=0</formula>
    </cfRule>
  </conditionalFormatting>
  <conditionalFormatting sqref="M72:R72">
    <cfRule type="expression" dxfId="19" priority="20">
      <formula>MOD(ROW(),2)=0</formula>
    </cfRule>
  </conditionalFormatting>
  <conditionalFormatting sqref="S72:T72">
    <cfRule type="expression" dxfId="18" priority="19">
      <formula>MOD(ROW(),2)=0</formula>
    </cfRule>
  </conditionalFormatting>
  <conditionalFormatting sqref="G72">
    <cfRule type="expression" dxfId="17" priority="18">
      <formula>MOD(ROW(),2)=0</formula>
    </cfRule>
  </conditionalFormatting>
  <conditionalFormatting sqref="H72">
    <cfRule type="expression" dxfId="16" priority="17">
      <formula>MOD(ROW(),2)=0</formula>
    </cfRule>
  </conditionalFormatting>
  <conditionalFormatting sqref="V72:W72">
    <cfRule type="expression" dxfId="15" priority="16">
      <formula>MOD(ROW(),2)=0</formula>
    </cfRule>
  </conditionalFormatting>
  <conditionalFormatting sqref="J72">
    <cfRule type="expression" dxfId="14" priority="15">
      <formula>MOD(ROW(),2)=0</formula>
    </cfRule>
  </conditionalFormatting>
  <conditionalFormatting sqref="I72:J72">
    <cfRule type="expression" dxfId="13" priority="14">
      <formula>MOD(ROW(),2)=0</formula>
    </cfRule>
  </conditionalFormatting>
  <conditionalFormatting sqref="K70:L72">
    <cfRule type="expression" dxfId="12" priority="12">
      <formula>MOD(ROW(),2)=0</formula>
    </cfRule>
  </conditionalFormatting>
  <conditionalFormatting sqref="Q17:R17">
    <cfRule type="expression" dxfId="11" priority="2">
      <formula>MOD(ROW(),2)=0</formula>
    </cfRule>
  </conditionalFormatting>
  <conditionalFormatting sqref="B17:F17">
    <cfRule type="expression" dxfId="10" priority="10">
      <formula>MOD(ROW(),2)=0</formula>
    </cfRule>
  </conditionalFormatting>
  <conditionalFormatting sqref="V17:W17 G17:N17">
    <cfRule type="expression" dxfId="9" priority="9">
      <formula>MOD(ROW(),2)=0</formula>
    </cfRule>
  </conditionalFormatting>
  <conditionalFormatting sqref="M17:N17">
    <cfRule type="expression" dxfId="8" priority="6">
      <formula>MOD(ROW(),2)=0</formula>
    </cfRule>
  </conditionalFormatting>
  <conditionalFormatting sqref="P17">
    <cfRule type="expression" dxfId="7" priority="5">
      <formula>MOD(ROW(),2)=0</formula>
    </cfRule>
  </conditionalFormatting>
  <conditionalFormatting sqref="R17">
    <cfRule type="expression" dxfId="6" priority="3">
      <formula>MOD(ROW(),2)=0</formula>
    </cfRule>
  </conditionalFormatting>
  <conditionalFormatting sqref="S17:T17">
    <cfRule type="expression" dxfId="5" priority="8">
      <formula>MOD(ROW(),2)=0</formula>
    </cfRule>
  </conditionalFormatting>
  <conditionalFormatting sqref="N17">
    <cfRule type="expression" dxfId="4" priority="7">
      <formula>MOD(ROW(),2)=0</formula>
    </cfRule>
  </conditionalFormatting>
  <conditionalFormatting sqref="O17:P17">
    <cfRule type="expression" dxfId="3" priority="4">
      <formula>MOD(ROW(),2)=0</formula>
    </cfRule>
  </conditionalFormatting>
  <conditionalFormatting sqref="E64:E65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2026-06-08T10:09:29Z</dcterms:modified>
</cp:coreProperties>
</file>