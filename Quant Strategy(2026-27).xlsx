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L27" i="45" l="1"/>
  <c r="K27" i="45"/>
  <c r="J27" i="45"/>
  <c r="I27" i="45"/>
  <c r="H27" i="45"/>
  <c r="G27" i="45"/>
  <c r="U22" i="44"/>
  <c r="N58" i="44"/>
  <c r="N54" i="44"/>
  <c r="P29" i="44"/>
  <c r="Q29" i="44" s="1"/>
  <c r="M58" i="44"/>
  <c r="M54" i="44"/>
  <c r="L58" i="44"/>
  <c r="L54" i="44"/>
  <c r="K58" i="44"/>
  <c r="K54" i="44"/>
  <c r="J58" i="44"/>
  <c r="J54" i="44"/>
  <c r="I58" i="44"/>
  <c r="I54" i="44"/>
  <c r="M27" i="45" l="1"/>
  <c r="N27" i="45"/>
  <c r="S84" i="32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L58" i="45"/>
  <c r="K58" i="45"/>
  <c r="J58" i="45"/>
  <c r="I58" i="45"/>
  <c r="L57" i="45"/>
  <c r="K57" i="45"/>
  <c r="K59" i="45" s="1"/>
  <c r="J57" i="45"/>
  <c r="I57" i="45"/>
  <c r="I59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8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4" i="45"/>
  <c r="H42" i="45"/>
  <c r="H46" i="45"/>
  <c r="H51" i="45"/>
  <c r="G42" i="45"/>
  <c r="G46" i="45"/>
  <c r="G51" i="45"/>
  <c r="O58" i="44"/>
  <c r="H58" i="44"/>
  <c r="P57" i="44"/>
  <c r="Q57" i="44" s="1"/>
  <c r="H58" i="45" s="1"/>
  <c r="N58" i="45" s="1"/>
  <c r="P56" i="44"/>
  <c r="Q56" i="44" s="1"/>
  <c r="H57" i="45" s="1"/>
  <c r="O54" i="44"/>
  <c r="H54" i="44"/>
  <c r="P53" i="44"/>
  <c r="Q53" i="44" s="1"/>
  <c r="H52" i="45" s="1"/>
  <c r="P52" i="44"/>
  <c r="Q52" i="44" s="1"/>
  <c r="P51" i="44"/>
  <c r="Q51" i="44" s="1"/>
  <c r="H50" i="45" s="1"/>
  <c r="P50" i="44"/>
  <c r="Q50" i="44" s="1"/>
  <c r="H49" i="45" s="1"/>
  <c r="P49" i="44"/>
  <c r="Q49" i="44" s="1"/>
  <c r="H48" i="45" s="1"/>
  <c r="P48" i="44"/>
  <c r="Q48" i="44" s="1"/>
  <c r="H47" i="45" s="1"/>
  <c r="P47" i="44"/>
  <c r="Q47" i="44" s="1"/>
  <c r="P46" i="44"/>
  <c r="Q46" i="44" s="1"/>
  <c r="H45" i="45" s="1"/>
  <c r="P45" i="44"/>
  <c r="Q45" i="44" s="1"/>
  <c r="H41" i="45" s="1"/>
  <c r="P44" i="44"/>
  <c r="Q44" i="44" s="1"/>
  <c r="H44" i="45" s="1"/>
  <c r="P43" i="44"/>
  <c r="Q43" i="44" s="1"/>
  <c r="H43" i="45" s="1"/>
  <c r="P42" i="44"/>
  <c r="Q42" i="44" s="1"/>
  <c r="H40" i="45" s="1"/>
  <c r="P41" i="44"/>
  <c r="Q41" i="44" s="1"/>
  <c r="H39" i="45" s="1"/>
  <c r="P40" i="44"/>
  <c r="Q40" i="44" s="1"/>
  <c r="H38" i="45" s="1"/>
  <c r="P39" i="44"/>
  <c r="Q39" i="44" s="1"/>
  <c r="H37" i="45" s="1"/>
  <c r="P38" i="44"/>
  <c r="Q38" i="44" s="1"/>
  <c r="H36" i="45" s="1"/>
  <c r="P37" i="44"/>
  <c r="Q37" i="44" s="1"/>
  <c r="H35" i="45" s="1"/>
  <c r="P36" i="44"/>
  <c r="Q36" i="44" s="1"/>
  <c r="H34" i="45" s="1"/>
  <c r="P35" i="44"/>
  <c r="Q35" i="44" s="1"/>
  <c r="H33" i="45" s="1"/>
  <c r="T36" i="44"/>
  <c r="T38" i="44" s="1"/>
  <c r="P34" i="44"/>
  <c r="Q34" i="44" s="1"/>
  <c r="H32" i="45" s="1"/>
  <c r="P33" i="44"/>
  <c r="Q33" i="44" s="1"/>
  <c r="H31" i="45" s="1"/>
  <c r="P32" i="44"/>
  <c r="Q32" i="44" s="1"/>
  <c r="H30" i="45" s="1"/>
  <c r="P31" i="44"/>
  <c r="Q31" i="44" s="1"/>
  <c r="H29" i="45" s="1"/>
  <c r="P30" i="44"/>
  <c r="Q30" i="44" s="1"/>
  <c r="H28" i="45" s="1"/>
  <c r="P28" i="44"/>
  <c r="Q28" i="44" s="1"/>
  <c r="H26" i="45" s="1"/>
  <c r="P27" i="44"/>
  <c r="Q27" i="44" s="1"/>
  <c r="H25" i="45" s="1"/>
  <c r="P26" i="44"/>
  <c r="Q26" i="44" s="1"/>
  <c r="H24" i="45" s="1"/>
  <c r="P24" i="44"/>
  <c r="Q24" i="44" s="1"/>
  <c r="H23" i="45" s="1"/>
  <c r="P23" i="44"/>
  <c r="Q23" i="44" s="1"/>
  <c r="H22" i="45" s="1"/>
  <c r="P22" i="44"/>
  <c r="Q22" i="44" s="1"/>
  <c r="P21" i="44"/>
  <c r="Q21" i="44" s="1"/>
  <c r="H20" i="45" s="1"/>
  <c r="P20" i="44"/>
  <c r="Q20" i="44" s="1"/>
  <c r="H19" i="45" s="1"/>
  <c r="P19" i="44"/>
  <c r="Q19" i="44" s="1"/>
  <c r="H18" i="45" s="1"/>
  <c r="P18" i="44"/>
  <c r="Q18" i="44" s="1"/>
  <c r="H21" i="45" s="1"/>
  <c r="P17" i="44"/>
  <c r="Q17" i="44" s="1"/>
  <c r="H17" i="45" s="1"/>
  <c r="AB16" i="44"/>
  <c r="Z16" i="44"/>
  <c r="Z17" i="44" s="1"/>
  <c r="P16" i="44"/>
  <c r="Q16" i="44" s="1"/>
  <c r="H16" i="45" s="1"/>
  <c r="P15" i="44"/>
  <c r="Q15" i="44" s="1"/>
  <c r="H14" i="45" s="1"/>
  <c r="P14" i="44"/>
  <c r="Q14" i="44" s="1"/>
  <c r="H15" i="45" s="1"/>
  <c r="P13" i="44"/>
  <c r="Q13" i="44" s="1"/>
  <c r="H13" i="45" s="1"/>
  <c r="P12" i="44"/>
  <c r="Q12" i="44" s="1"/>
  <c r="H12" i="45" s="1"/>
  <c r="P11" i="44"/>
  <c r="G11" i="45" s="1"/>
  <c r="P10" i="44"/>
  <c r="Q10" i="44" s="1"/>
  <c r="H10" i="45" s="1"/>
  <c r="T9" i="44"/>
  <c r="T14" i="44" s="1"/>
  <c r="Y14" i="44" s="1"/>
  <c r="P9" i="44"/>
  <c r="G9" i="45" s="1"/>
  <c r="P8" i="44"/>
  <c r="Q8" i="44" s="1"/>
  <c r="H8" i="45" s="1"/>
  <c r="P7" i="44"/>
  <c r="Q7" i="44" s="1"/>
  <c r="H7" i="45" s="1"/>
  <c r="P6" i="44"/>
  <c r="Q6" i="44" s="1"/>
  <c r="H6" i="45" s="1"/>
  <c r="P5" i="44"/>
  <c r="Q5" i="44" s="1"/>
  <c r="H5" i="45" s="1"/>
  <c r="P4" i="44"/>
  <c r="Q4" i="44" s="1"/>
  <c r="H4" i="45" s="1"/>
  <c r="AA61" i="43"/>
  <c r="AA57" i="43"/>
  <c r="N12" i="45" l="1"/>
  <c r="N21" i="45"/>
  <c r="N57" i="45"/>
  <c r="N25" i="45"/>
  <c r="N33" i="45"/>
  <c r="N30" i="45"/>
  <c r="M9" i="45"/>
  <c r="S12" i="32" s="1"/>
  <c r="N5" i="45"/>
  <c r="N16" i="45"/>
  <c r="N13" i="45"/>
  <c r="N31" i="45"/>
  <c r="G33" i="45"/>
  <c r="M33" i="45" s="1"/>
  <c r="S53" i="32" s="1"/>
  <c r="S40" i="32"/>
  <c r="N23" i="45"/>
  <c r="N35" i="45"/>
  <c r="N4" i="45"/>
  <c r="N8" i="45"/>
  <c r="N20" i="45"/>
  <c r="K53" i="45"/>
  <c r="N40" i="45"/>
  <c r="N18" i="45"/>
  <c r="N22" i="45"/>
  <c r="N26" i="45"/>
  <c r="N43" i="45"/>
  <c r="N7" i="45"/>
  <c r="N10" i="45"/>
  <c r="N15" i="45"/>
  <c r="N19" i="45"/>
  <c r="N32" i="45"/>
  <c r="N38" i="45"/>
  <c r="N47" i="45"/>
  <c r="Q9" i="44"/>
  <c r="H9" i="45" s="1"/>
  <c r="N9" i="45" s="1"/>
  <c r="Q11" i="44"/>
  <c r="H11" i="45" s="1"/>
  <c r="N11" i="45" s="1"/>
  <c r="S42" i="32"/>
  <c r="M46" i="45"/>
  <c r="N36" i="45"/>
  <c r="S43" i="32"/>
  <c r="N46" i="45"/>
  <c r="M11" i="45"/>
  <c r="S18" i="32" s="1"/>
  <c r="M42" i="45"/>
  <c r="S64" i="32" s="1"/>
  <c r="S33" i="32"/>
  <c r="N6" i="45"/>
  <c r="N14" i="45"/>
  <c r="N17" i="45"/>
  <c r="N24" i="45"/>
  <c r="N29" i="45"/>
  <c r="N50" i="45"/>
  <c r="S23" i="32"/>
  <c r="N42" i="45"/>
  <c r="G39" i="45"/>
  <c r="M39" i="45" s="1"/>
  <c r="S60" i="32" s="1"/>
  <c r="G43" i="45"/>
  <c r="M43" i="45" s="1"/>
  <c r="S63" i="32" s="1"/>
  <c r="G19" i="45"/>
  <c r="M19" i="45" s="1"/>
  <c r="G31" i="45"/>
  <c r="M31" i="45" s="1"/>
  <c r="S49" i="32" s="1"/>
  <c r="G48" i="45"/>
  <c r="M48" i="45" s="1"/>
  <c r="S70" i="32" s="1"/>
  <c r="G44" i="45"/>
  <c r="M44" i="45" s="1"/>
  <c r="S65" i="32" s="1"/>
  <c r="G40" i="45"/>
  <c r="M40" i="45" s="1"/>
  <c r="S61" i="32" s="1"/>
  <c r="S58" i="32"/>
  <c r="G34" i="45"/>
  <c r="M34" i="45" s="1"/>
  <c r="S54" i="32" s="1"/>
  <c r="S50" i="32"/>
  <c r="G28" i="45"/>
  <c r="M28" i="45" s="1"/>
  <c r="S45" i="32" s="1"/>
  <c r="G23" i="45"/>
  <c r="M23" i="45" s="1"/>
  <c r="S36" i="32" s="1"/>
  <c r="G20" i="45"/>
  <c r="M20" i="45" s="1"/>
  <c r="G14" i="45"/>
  <c r="M14" i="45" s="1"/>
  <c r="S24" i="32" s="1"/>
  <c r="G7" i="45"/>
  <c r="M7" i="45" s="1"/>
  <c r="S10" i="32" s="1"/>
  <c r="G57" i="45"/>
  <c r="M57" i="45" s="1"/>
  <c r="G47" i="45"/>
  <c r="M47" i="45" s="1"/>
  <c r="S69" i="32" s="1"/>
  <c r="G22" i="45"/>
  <c r="M22" i="45" s="1"/>
  <c r="S34" i="32" s="1"/>
  <c r="G10" i="45"/>
  <c r="M10" i="45" s="1"/>
  <c r="S13" i="32" s="1"/>
  <c r="G6" i="45"/>
  <c r="M6" i="45" s="1"/>
  <c r="S9" i="32" s="1"/>
  <c r="G4" i="45"/>
  <c r="M4" i="45" s="1"/>
  <c r="S6" i="32" s="1"/>
  <c r="G50" i="45"/>
  <c r="M50" i="45" s="1"/>
  <c r="S73" i="32" s="1"/>
  <c r="G38" i="45"/>
  <c r="M38" i="45" s="1"/>
  <c r="S59" i="32" s="1"/>
  <c r="G36" i="45"/>
  <c r="M36" i="45" s="1"/>
  <c r="S56" i="32" s="1"/>
  <c r="G32" i="45"/>
  <c r="M32" i="45" s="1"/>
  <c r="S52" i="32" s="1"/>
  <c r="G30" i="45"/>
  <c r="M30" i="45" s="1"/>
  <c r="S47" i="32" s="1"/>
  <c r="G26" i="45"/>
  <c r="M26" i="45" s="1"/>
  <c r="S39" i="32" s="1"/>
  <c r="G18" i="45"/>
  <c r="M18" i="45" s="1"/>
  <c r="S30" i="32" s="1"/>
  <c r="G13" i="45"/>
  <c r="M13" i="45" s="1"/>
  <c r="S21" i="32" s="1"/>
  <c r="S8" i="32"/>
  <c r="G58" i="45"/>
  <c r="M58" i="45" s="1"/>
  <c r="G52" i="45"/>
  <c r="M52" i="45" s="1"/>
  <c r="S76" i="32" s="1"/>
  <c r="G49" i="45"/>
  <c r="M49" i="45" s="1"/>
  <c r="S71" i="32" s="1"/>
  <c r="G45" i="45"/>
  <c r="M45" i="45" s="1"/>
  <c r="S67" i="32" s="1"/>
  <c r="G41" i="45"/>
  <c r="M41" i="45" s="1"/>
  <c r="S62" i="32" s="1"/>
  <c r="G37" i="45"/>
  <c r="M37" i="45" s="1"/>
  <c r="G35" i="45"/>
  <c r="M35" i="45" s="1"/>
  <c r="S55" i="32" s="1"/>
  <c r="S51" i="32"/>
  <c r="G29" i="45"/>
  <c r="M29" i="45" s="1"/>
  <c r="S46" i="32" s="1"/>
  <c r="G24" i="45"/>
  <c r="M24" i="45" s="1"/>
  <c r="S37" i="32" s="1"/>
  <c r="G21" i="45"/>
  <c r="M21" i="45" s="1"/>
  <c r="S32" i="32" s="1"/>
  <c r="G15" i="45"/>
  <c r="M15" i="45" s="1"/>
  <c r="S22" i="32" s="1"/>
  <c r="G12" i="45"/>
  <c r="M12" i="45" s="1"/>
  <c r="S19" i="32" s="1"/>
  <c r="G8" i="45"/>
  <c r="M8" i="45" s="1"/>
  <c r="S11" i="32" s="1"/>
  <c r="G25" i="45"/>
  <c r="M25" i="45" s="1"/>
  <c r="S38" i="32" s="1"/>
  <c r="G17" i="45"/>
  <c r="M17" i="45" s="1"/>
  <c r="S29" i="32" s="1"/>
  <c r="G16" i="45"/>
  <c r="M16" i="45" s="1"/>
  <c r="S28" i="32" s="1"/>
  <c r="N49" i="45"/>
  <c r="N41" i="45"/>
  <c r="N37" i="45"/>
  <c r="G5" i="45"/>
  <c r="M5" i="45" s="1"/>
  <c r="S7" i="32" s="1"/>
  <c r="S57" i="32"/>
  <c r="S44" i="32"/>
  <c r="N34" i="45"/>
  <c r="N28" i="45"/>
  <c r="N39" i="45"/>
  <c r="S74" i="32"/>
  <c r="N52" i="45"/>
  <c r="N45" i="45"/>
  <c r="N44" i="45"/>
  <c r="S41" i="32"/>
  <c r="N51" i="45"/>
  <c r="N48" i="45"/>
  <c r="M51" i="45"/>
  <c r="S75" i="32" s="1"/>
  <c r="I53" i="45"/>
  <c r="P54" i="44"/>
  <c r="Q54" i="44" s="1"/>
  <c r="P58" i="44"/>
  <c r="Z61" i="43"/>
  <c r="Z57" i="43"/>
  <c r="S77" i="32" l="1"/>
  <c r="M59" i="45"/>
  <c r="G59" i="45"/>
  <c r="M53" i="45"/>
  <c r="G53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Q9" i="32" s="1"/>
  <c r="Z9" i="32" s="1"/>
  <c r="M7" i="41"/>
  <c r="P9" i="32" s="1"/>
  <c r="Y9" i="32" s="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M69" i="41" l="1"/>
  <c r="G71" i="41"/>
  <c r="P82" i="32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<sst xmlns="http://schemas.openxmlformats.org/spreadsheetml/2006/main" count="3205" uniqueCount="336">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</sst>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</cellXfs>
  <cellStyles count="2">
    <cellStyle name="Comma" xfId="1" builtinId="3"/>
    <cellStyle name="Normal" xfId="0" builtinId="0"/>
  </cellStyles>
  <dxfs count="556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7"/>
  <sheetViews>
    <sheetView tabSelected="1" topLeftCell="A23" workbookViewId="0">
      <selection activeCell="N60" sqref="N60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4" width="13.42578125" style="132" customWidth="1"/>
    <col min="15" max="15" width="11.28515625" style="132" customWidth="1"/>
    <col min="16" max="16" width="10.42578125" style="132" hidden="1" customWidth="1" outlineLevel="1"/>
    <col min="17" max="17" width="10.7109375" style="132" hidden="1" customWidth="1" outlineLevel="1"/>
    <col min="18" max="18" width="9.140625" style="132" collapsed="1"/>
    <col min="19" max="23" width="9.140625" style="132"/>
    <col min="24" max="24" width="14.140625" style="132" customWidth="1"/>
    <col min="25" max="25" width="12" style="132" customWidth="1"/>
    <col min="26" max="26" width="15.85546875" style="132" customWidth="1"/>
    <col min="27" max="16384" width="9.140625" style="132"/>
  </cols>
  <sheetData>
    <row r="1" spans="1:28" ht="15.75" thickBot="1" x14ac:dyDescent="0.3"/>
    <row r="2" spans="1:28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182"/>
      <c r="P2" s="183" t="s">
        <v>325</v>
      </c>
      <c r="Q2" s="184" t="s">
        <v>326</v>
      </c>
    </row>
    <row r="3" spans="1:2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9"/>
      <c r="P3" s="188"/>
      <c r="Q3" s="179"/>
      <c r="X3" s="132" t="s">
        <v>198</v>
      </c>
      <c r="Y3" s="132">
        <v>13780</v>
      </c>
    </row>
    <row r="4" spans="1:2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210"/>
      <c r="P4" s="170">
        <f t="shared" ref="P4:P37" si="0">SUM(H4:O4)</f>
        <v>106758</v>
      </c>
      <c r="Q4" s="148">
        <f t="shared" ref="Q4:Q37" si="1">IFERROR(P4/F4*100,0)/10000000</f>
        <v>2.1351599999999999</v>
      </c>
      <c r="X4" s="132" t="s">
        <v>170</v>
      </c>
      <c r="Y4" s="132">
        <v>2865</v>
      </c>
    </row>
    <row r="5" spans="1:2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73"/>
      <c r="P5" s="170">
        <f t="shared" si="0"/>
        <v>575690</v>
      </c>
      <c r="Q5" s="148">
        <f t="shared" si="1"/>
        <v>1.9189666666666665</v>
      </c>
    </row>
    <row r="6" spans="1:28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73"/>
      <c r="P6" s="170">
        <f t="shared" si="0"/>
        <v>117837</v>
      </c>
      <c r="Q6" s="148">
        <f t="shared" si="1"/>
        <v>1.1783699999999999</v>
      </c>
    </row>
    <row r="7" spans="1:28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73"/>
      <c r="P7" s="170">
        <f t="shared" si="0"/>
        <v>-316610</v>
      </c>
      <c r="Q7" s="148">
        <f t="shared" si="1"/>
        <v>-1.0553666666666668</v>
      </c>
      <c r="S7" s="5"/>
      <c r="T7" s="133">
        <v>10</v>
      </c>
    </row>
    <row r="8" spans="1:28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73"/>
      <c r="P8" s="170">
        <f t="shared" si="0"/>
        <v>178330</v>
      </c>
      <c r="Q8" s="148">
        <f t="shared" si="1"/>
        <v>1.1888666666666667</v>
      </c>
      <c r="S8" s="133">
        <v>2143112</v>
      </c>
      <c r="T8" s="133"/>
    </row>
    <row r="9" spans="1:28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73"/>
      <c r="P9" s="170">
        <f t="shared" si="0"/>
        <v>55724</v>
      </c>
      <c r="Q9" s="148">
        <f t="shared" si="1"/>
        <v>0.92873333333333341</v>
      </c>
      <c r="S9" s="133">
        <v>2143122</v>
      </c>
      <c r="T9" s="133">
        <f>(S9+S8)/10000000*13780</f>
        <v>5906.4304519999996</v>
      </c>
    </row>
    <row r="10" spans="1:28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73"/>
      <c r="P10" s="170">
        <f t="shared" si="0"/>
        <v>-218420</v>
      </c>
      <c r="Q10" s="148">
        <f t="shared" si="1"/>
        <v>-0.14561333333333334</v>
      </c>
      <c r="S10" s="133"/>
      <c r="T10" s="133"/>
    </row>
    <row r="11" spans="1:28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73"/>
      <c r="P11" s="170">
        <f t="shared" si="0"/>
        <v>242131</v>
      </c>
      <c r="Q11" s="148">
        <f t="shared" si="1"/>
        <v>0.40355166666666664</v>
      </c>
      <c r="S11" s="133"/>
      <c r="T11" s="133"/>
    </row>
    <row r="12" spans="1:28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73"/>
      <c r="P12" s="170">
        <f t="shared" si="0"/>
        <v>-2741</v>
      </c>
      <c r="Q12" s="148">
        <f t="shared" si="1"/>
        <v>-2.741E-2</v>
      </c>
      <c r="S12" s="133"/>
      <c r="T12" s="133"/>
    </row>
    <row r="13" spans="1:28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73"/>
      <c r="P13" s="170">
        <f t="shared" si="0"/>
        <v>135553</v>
      </c>
      <c r="Q13" s="148">
        <f t="shared" si="1"/>
        <v>0.54221200000000003</v>
      </c>
      <c r="S13" s="133"/>
      <c r="T13" s="133"/>
    </row>
    <row r="14" spans="1:28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73"/>
      <c r="P14" s="170">
        <f t="shared" si="0"/>
        <v>145701</v>
      </c>
      <c r="Q14" s="148">
        <f t="shared" si="1"/>
        <v>0.66227727272727266</v>
      </c>
      <c r="S14" s="133"/>
      <c r="T14" s="192">
        <f>T7-T9</f>
        <v>-5896.4304519999996</v>
      </c>
      <c r="W14" s="132">
        <v>116185</v>
      </c>
      <c r="Y14" s="132">
        <f>W14+T14</f>
        <v>110288.569548</v>
      </c>
    </row>
    <row r="15" spans="1:28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73"/>
      <c r="P15" s="170">
        <f t="shared" si="0"/>
        <v>1117</v>
      </c>
      <c r="Q15" s="148">
        <f t="shared" si="1"/>
        <v>1.1169999999999999E-2</v>
      </c>
    </row>
    <row r="16" spans="1:28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73"/>
      <c r="P16" s="170">
        <f t="shared" si="0"/>
        <v>-32466</v>
      </c>
      <c r="Q16" s="148">
        <f t="shared" si="1"/>
        <v>-0.12986400000000001</v>
      </c>
      <c r="Y16" s="132">
        <v>4000000</v>
      </c>
      <c r="Z16" s="132">
        <f>Y16*7/100</f>
        <v>280000</v>
      </c>
      <c r="AB16" s="132">
        <f>15*12</f>
        <v>180</v>
      </c>
    </row>
    <row r="17" spans="1:26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73"/>
      <c r="P17" s="170">
        <f t="shared" si="0"/>
        <v>26201</v>
      </c>
      <c r="Q17" s="148">
        <f t="shared" si="1"/>
        <v>6.5502500000000005E-2</v>
      </c>
      <c r="Z17" s="132">
        <f>Z16/12</f>
        <v>23333.333333333332</v>
      </c>
    </row>
    <row r="18" spans="1:26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73"/>
      <c r="P18" s="170">
        <f t="shared" si="0"/>
        <v>314415</v>
      </c>
      <c r="Q18" s="148">
        <f t="shared" si="1"/>
        <v>2.0960999999999999</v>
      </c>
    </row>
    <row r="19" spans="1:26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73"/>
      <c r="P19" s="170">
        <f t="shared" si="0"/>
        <v>-150688</v>
      </c>
      <c r="Q19" s="148">
        <f t="shared" si="1"/>
        <v>-1.3698909090909093</v>
      </c>
      <c r="U19" s="132">
        <v>54000</v>
      </c>
    </row>
    <row r="20" spans="1:26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73"/>
      <c r="P20" s="170">
        <f t="shared" si="0"/>
        <v>-102435</v>
      </c>
      <c r="Q20" s="148">
        <f t="shared" si="1"/>
        <v>-4.0974000000000004</v>
      </c>
      <c r="U20" s="132">
        <v>11100</v>
      </c>
    </row>
    <row r="21" spans="1:26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73"/>
      <c r="P21" s="170">
        <f t="shared" si="0"/>
        <v>0</v>
      </c>
      <c r="Q21" s="148">
        <f t="shared" si="1"/>
        <v>0</v>
      </c>
      <c r="U21" s="132">
        <v>0</v>
      </c>
    </row>
    <row r="22" spans="1:26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73"/>
      <c r="P22" s="170">
        <f t="shared" si="0"/>
        <v>0</v>
      </c>
      <c r="Q22" s="148">
        <f t="shared" si="1"/>
        <v>0</v>
      </c>
      <c r="U22" s="132">
        <f>SUM(U19:U21)</f>
        <v>65100</v>
      </c>
    </row>
    <row r="23" spans="1:26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73"/>
      <c r="P23" s="170">
        <f t="shared" si="0"/>
        <v>-5462</v>
      </c>
      <c r="Q23" s="148">
        <f t="shared" si="1"/>
        <v>-4.9654545454545451E-2</v>
      </c>
    </row>
    <row r="24" spans="1:26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73"/>
      <c r="P24" s="170">
        <f t="shared" si="0"/>
        <v>-232800</v>
      </c>
      <c r="Q24" s="148">
        <f t="shared" si="1"/>
        <v>-1.0121739130434784</v>
      </c>
    </row>
    <row r="25" spans="1:26" x14ac:dyDescent="0.25">
      <c r="A25" s="141" t="s">
        <v>335</v>
      </c>
      <c r="B25" s="140" t="s">
        <v>68</v>
      </c>
      <c r="C25" s="140"/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73"/>
      <c r="P25" s="170"/>
      <c r="Q25" s="148"/>
    </row>
    <row r="26" spans="1:26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73"/>
      <c r="P26" s="170">
        <f t="shared" si="0"/>
        <v>16957</v>
      </c>
      <c r="Q26" s="148">
        <f t="shared" si="1"/>
        <v>0.84784999999999999</v>
      </c>
    </row>
    <row r="27" spans="1:26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73"/>
      <c r="P27" s="170">
        <f t="shared" si="0"/>
        <v>-75500</v>
      </c>
      <c r="Q27" s="148">
        <f t="shared" si="1"/>
        <v>-0.151</v>
      </c>
    </row>
    <row r="28" spans="1:26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73"/>
      <c r="P28" s="170">
        <f t="shared" si="0"/>
        <v>444299</v>
      </c>
      <c r="Q28" s="148">
        <f t="shared" si="1"/>
        <v>0.444299</v>
      </c>
    </row>
    <row r="29" spans="1:26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73"/>
      <c r="P29" s="170">
        <f t="shared" ref="P29" si="2">SUM(H29:O29)</f>
        <v>47470</v>
      </c>
      <c r="Q29" s="148">
        <f t="shared" ref="Q29" si="3">IFERROR(P29/F29*100,0)/10000000</f>
        <v>0.94940000000000002</v>
      </c>
    </row>
    <row r="30" spans="1:26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73"/>
      <c r="P30" s="170">
        <f t="shared" si="0"/>
        <v>556830</v>
      </c>
      <c r="Q30" s="148">
        <f t="shared" si="1"/>
        <v>1.1136600000000001</v>
      </c>
    </row>
    <row r="31" spans="1:26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73"/>
      <c r="P31" s="170">
        <f t="shared" si="0"/>
        <v>-5105</v>
      </c>
      <c r="Q31" s="148">
        <f t="shared" si="1"/>
        <v>-1.021E-2</v>
      </c>
    </row>
    <row r="32" spans="1:26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73"/>
      <c r="P32" s="170">
        <f t="shared" si="0"/>
        <v>77599</v>
      </c>
      <c r="Q32" s="148">
        <f t="shared" si="1"/>
        <v>1.5519799999999999</v>
      </c>
    </row>
    <row r="33" spans="1:20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73"/>
      <c r="P33" s="170">
        <f t="shared" si="0"/>
        <v>168476</v>
      </c>
      <c r="Q33" s="148">
        <f t="shared" si="1"/>
        <v>4.2119</v>
      </c>
      <c r="T33" s="133"/>
    </row>
    <row r="34" spans="1:20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73"/>
      <c r="P34" s="170">
        <f t="shared" si="0"/>
        <v>164731</v>
      </c>
      <c r="Q34" s="148">
        <f t="shared" si="1"/>
        <v>0.41182750000000001</v>
      </c>
      <c r="S34" s="5"/>
      <c r="T34" s="133">
        <v>-16300</v>
      </c>
    </row>
    <row r="35" spans="1:20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73"/>
      <c r="P35" s="170">
        <f t="shared" si="0"/>
        <v>-30412</v>
      </c>
      <c r="Q35" s="148">
        <f t="shared" si="1"/>
        <v>-0.30412</v>
      </c>
      <c r="S35" s="5"/>
      <c r="T35" s="133"/>
    </row>
    <row r="36" spans="1:20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73"/>
      <c r="P36" s="170">
        <f t="shared" si="0"/>
        <v>0</v>
      </c>
      <c r="Q36" s="148">
        <f t="shared" si="1"/>
        <v>0</v>
      </c>
      <c r="S36" s="133">
        <v>380097</v>
      </c>
      <c r="T36" s="133">
        <f>(S37+S36)/10000000*13780</f>
        <v>1025.0693960000001</v>
      </c>
    </row>
    <row r="37" spans="1:20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73"/>
      <c r="P37" s="170">
        <f t="shared" si="0"/>
        <v>30173</v>
      </c>
      <c r="Q37" s="148">
        <f t="shared" si="1"/>
        <v>0.60346</v>
      </c>
      <c r="S37" s="133">
        <v>363785</v>
      </c>
      <c r="T37" s="133"/>
    </row>
    <row r="38" spans="1:20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73"/>
      <c r="P38" s="170">
        <f t="shared" ref="P38:P69" si="4">SUM(H38:O38)</f>
        <v>406134</v>
      </c>
      <c r="Q38" s="148">
        <f t="shared" ref="Q38:Q69" si="5">IFERROR(P38/F38*100,0)/10000000</f>
        <v>1.35378</v>
      </c>
      <c r="S38" s="133"/>
      <c r="T38" s="133">
        <f>+T34-T36</f>
        <v>-17325.069395999999</v>
      </c>
    </row>
    <row r="39" spans="1:20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73"/>
      <c r="P39" s="170">
        <f t="shared" si="4"/>
        <v>67502</v>
      </c>
      <c r="Q39" s="148">
        <f t="shared" si="5"/>
        <v>6.7502000000000004</v>
      </c>
      <c r="S39" s="133"/>
      <c r="T39" s="133"/>
    </row>
    <row r="40" spans="1:20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73"/>
      <c r="P40" s="170">
        <f t="shared" si="4"/>
        <v>42200</v>
      </c>
      <c r="Q40" s="148">
        <f t="shared" si="5"/>
        <v>0.84399999999999997</v>
      </c>
      <c r="S40" s="133"/>
      <c r="T40" s="133"/>
    </row>
    <row r="41" spans="1:20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73"/>
      <c r="P41" s="170">
        <f t="shared" si="4"/>
        <v>-599929</v>
      </c>
      <c r="Q41" s="148">
        <f t="shared" si="5"/>
        <v>-5.9992900000000002</v>
      </c>
      <c r="S41" s="133"/>
      <c r="T41" s="133"/>
    </row>
    <row r="42" spans="1:20" x14ac:dyDescent="0.25">
      <c r="A42" s="141" t="s">
        <v>301</v>
      </c>
      <c r="B42" s="140" t="s">
        <v>295</v>
      </c>
      <c r="C42" s="162" t="s">
        <v>296</v>
      </c>
      <c r="D42" s="162"/>
      <c r="E42" s="162" t="s">
        <v>256</v>
      </c>
      <c r="F42" s="163">
        <v>0.1</v>
      </c>
      <c r="G42" s="190"/>
      <c r="H42" s="146">
        <v>34200</v>
      </c>
      <c r="I42" s="146">
        <v>-23073</v>
      </c>
      <c r="J42" s="146">
        <v>-6862</v>
      </c>
      <c r="K42" s="146">
        <v>-21500</v>
      </c>
      <c r="L42" s="146">
        <v>18000</v>
      </c>
      <c r="M42" s="146">
        <v>3517</v>
      </c>
      <c r="N42" s="146">
        <v>4914</v>
      </c>
      <c r="O42" s="173"/>
      <c r="P42" s="170">
        <f t="shared" si="4"/>
        <v>9196</v>
      </c>
      <c r="Q42" s="148">
        <f t="shared" si="5"/>
        <v>0.91959999999999997</v>
      </c>
      <c r="S42" s="133"/>
    </row>
    <row r="43" spans="1:20" x14ac:dyDescent="0.25">
      <c r="A43" s="142" t="s">
        <v>168</v>
      </c>
      <c r="B43" s="140" t="s">
        <v>169</v>
      </c>
      <c r="C43" s="59" t="s">
        <v>252</v>
      </c>
      <c r="D43" s="162" t="s">
        <v>253</v>
      </c>
      <c r="E43" s="162" t="s">
        <v>253</v>
      </c>
      <c r="F43" s="114">
        <v>4</v>
      </c>
      <c r="G43" s="190"/>
      <c r="H43" s="146">
        <v>2920</v>
      </c>
      <c r="I43" s="146">
        <v>0</v>
      </c>
      <c r="J43" s="146">
        <v>0</v>
      </c>
      <c r="K43" s="146">
        <v>0</v>
      </c>
      <c r="L43" s="146">
        <v>52100</v>
      </c>
      <c r="M43" s="146">
        <v>0</v>
      </c>
      <c r="N43" s="146">
        <v>0</v>
      </c>
      <c r="O43" s="173"/>
      <c r="P43" s="170">
        <f t="shared" si="4"/>
        <v>55020</v>
      </c>
      <c r="Q43" s="148">
        <f t="shared" si="5"/>
        <v>0.13755000000000001</v>
      </c>
    </row>
    <row r="44" spans="1:20" x14ac:dyDescent="0.25">
      <c r="A44" s="142" t="s">
        <v>202</v>
      </c>
      <c r="B44" s="140" t="s">
        <v>169</v>
      </c>
      <c r="C44" s="59" t="s">
        <v>252</v>
      </c>
      <c r="D44" s="162" t="s">
        <v>116</v>
      </c>
      <c r="E44" s="162" t="s">
        <v>256</v>
      </c>
      <c r="F44" s="114">
        <v>4</v>
      </c>
      <c r="G44" s="190"/>
      <c r="H44" s="146">
        <v>0</v>
      </c>
      <c r="I44" s="146">
        <v>-20000</v>
      </c>
      <c r="J44" s="146">
        <v>60600</v>
      </c>
      <c r="K44" s="146">
        <v>0</v>
      </c>
      <c r="L44" s="146">
        <v>0</v>
      </c>
      <c r="M44" s="146">
        <v>-1200</v>
      </c>
      <c r="N44" s="146">
        <v>19500</v>
      </c>
      <c r="O44" s="173"/>
      <c r="P44" s="170">
        <f t="shared" si="4"/>
        <v>58900</v>
      </c>
      <c r="Q44" s="148">
        <f t="shared" si="5"/>
        <v>0.14724999999999999</v>
      </c>
    </row>
    <row r="45" spans="1:20" x14ac:dyDescent="0.25">
      <c r="A45" s="142" t="s">
        <v>33</v>
      </c>
      <c r="B45" s="140" t="s">
        <v>14</v>
      </c>
      <c r="C45" s="142" t="s">
        <v>13</v>
      </c>
      <c r="D45" s="140" t="s">
        <v>14</v>
      </c>
      <c r="E45" s="140" t="s">
        <v>256</v>
      </c>
      <c r="F45" s="118">
        <v>3</v>
      </c>
      <c r="G45" s="196"/>
      <c r="H45" s="146">
        <v>174105</v>
      </c>
      <c r="I45" s="146">
        <v>-313641</v>
      </c>
      <c r="J45" s="146">
        <v>307794</v>
      </c>
      <c r="K45" s="146">
        <v>-135130</v>
      </c>
      <c r="L45" s="146">
        <v>290000</v>
      </c>
      <c r="M45" s="146">
        <v>102008</v>
      </c>
      <c r="N45" s="146">
        <v>0</v>
      </c>
      <c r="O45" s="173"/>
      <c r="P45" s="170">
        <f t="shared" si="4"/>
        <v>425136</v>
      </c>
      <c r="Q45" s="148">
        <f t="shared" si="5"/>
        <v>1.4171199999999999</v>
      </c>
    </row>
    <row r="46" spans="1:20" x14ac:dyDescent="0.25">
      <c r="A46" s="59" t="s">
        <v>306</v>
      </c>
      <c r="B46" s="62" t="s">
        <v>304</v>
      </c>
      <c r="C46" s="59" t="s">
        <v>308</v>
      </c>
      <c r="D46" s="140"/>
      <c r="E46" s="140" t="s">
        <v>256</v>
      </c>
      <c r="F46" s="114">
        <v>10</v>
      </c>
      <c r="G46" s="23"/>
      <c r="H46" s="150">
        <v>-214000</v>
      </c>
      <c r="I46" s="150">
        <v>19600</v>
      </c>
      <c r="J46" s="150">
        <v>338000</v>
      </c>
      <c r="K46" s="150">
        <v>63150</v>
      </c>
      <c r="L46" s="150">
        <v>-461500</v>
      </c>
      <c r="M46" s="150">
        <v>-70400</v>
      </c>
      <c r="N46" s="150">
        <v>-233800</v>
      </c>
      <c r="O46" s="173"/>
      <c r="P46" s="170">
        <f t="shared" si="4"/>
        <v>-558950</v>
      </c>
      <c r="Q46" s="148">
        <f t="shared" si="5"/>
        <v>-0.55894999999999995</v>
      </c>
    </row>
    <row r="47" spans="1:20" x14ac:dyDescent="0.25">
      <c r="A47" s="59" t="s">
        <v>320</v>
      </c>
      <c r="B47" s="62" t="s">
        <v>304</v>
      </c>
      <c r="C47" s="59" t="s">
        <v>274</v>
      </c>
      <c r="D47" s="140"/>
      <c r="E47" s="140" t="s">
        <v>256</v>
      </c>
      <c r="F47" s="114"/>
      <c r="G47" s="23"/>
      <c r="H47" s="150">
        <v>0</v>
      </c>
      <c r="I47" s="150">
        <v>0</v>
      </c>
      <c r="J47" s="150">
        <v>0</v>
      </c>
      <c r="K47" s="150">
        <v>0</v>
      </c>
      <c r="L47" s="150">
        <v>0</v>
      </c>
      <c r="M47" s="150">
        <v>0</v>
      </c>
      <c r="N47" s="150">
        <v>0</v>
      </c>
      <c r="O47" s="173"/>
      <c r="P47" s="170">
        <f t="shared" si="4"/>
        <v>0</v>
      </c>
      <c r="Q47" s="148">
        <f t="shared" si="5"/>
        <v>0</v>
      </c>
    </row>
    <row r="48" spans="1:20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73"/>
      <c r="P48" s="170">
        <f t="shared" si="4"/>
        <v>48546</v>
      </c>
      <c r="Q48" s="148">
        <f t="shared" si="5"/>
        <v>0.97092000000000001</v>
      </c>
    </row>
    <row r="49" spans="1:21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73"/>
      <c r="P49" s="170">
        <f t="shared" si="4"/>
        <v>359896</v>
      </c>
      <c r="Q49" s="148">
        <f t="shared" si="5"/>
        <v>0.55368615384615383</v>
      </c>
    </row>
    <row r="50" spans="1:21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73"/>
      <c r="P50" s="170">
        <f t="shared" si="4"/>
        <v>0</v>
      </c>
      <c r="Q50" s="148">
        <f t="shared" si="5"/>
        <v>0</v>
      </c>
    </row>
    <row r="51" spans="1:21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73"/>
      <c r="P51" s="170">
        <f t="shared" si="4"/>
        <v>114987</v>
      </c>
      <c r="Q51" s="148">
        <f t="shared" si="5"/>
        <v>0.38329000000000002</v>
      </c>
    </row>
    <row r="52" spans="1:21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73"/>
      <c r="P52" s="170">
        <f t="shared" si="4"/>
        <v>1200</v>
      </c>
      <c r="Q52" s="148">
        <f t="shared" si="5"/>
        <v>1.2E-2</v>
      </c>
    </row>
    <row r="53" spans="1:21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5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73"/>
      <c r="P53" s="170">
        <f t="shared" si="4"/>
        <v>368941</v>
      </c>
      <c r="Q53" s="148">
        <f t="shared" si="5"/>
        <v>0.73788200000000004</v>
      </c>
    </row>
    <row r="54" spans="1:21" ht="15.75" thickBot="1" x14ac:dyDescent="0.3">
      <c r="A54" s="24"/>
      <c r="B54" s="25"/>
      <c r="C54" s="26"/>
      <c r="D54" s="24"/>
      <c r="E54" s="24"/>
      <c r="F54" s="115"/>
      <c r="G54" s="16"/>
      <c r="H54" s="253">
        <f>SUM(H4:H53)</f>
        <v>38252</v>
      </c>
      <c r="I54" s="253">
        <f>SUM(I4:I53)</f>
        <v>-1490903</v>
      </c>
      <c r="J54" s="253">
        <f>SUM(J4:J53)</f>
        <v>2756338</v>
      </c>
      <c r="K54" s="253">
        <f>SUM(K4:K53)</f>
        <v>-39084</v>
      </c>
      <c r="L54" s="253">
        <f>SUM(L4:L53)</f>
        <v>-31777</v>
      </c>
      <c r="M54" s="253">
        <f>SUM(M4:M53)</f>
        <v>885698</v>
      </c>
      <c r="N54" s="253">
        <f>SUM(N4:N53)</f>
        <v>913308</v>
      </c>
      <c r="O54" s="253">
        <f>SUM(O4:O53)</f>
        <v>0</v>
      </c>
      <c r="P54" s="253">
        <f t="shared" si="4"/>
        <v>3031832</v>
      </c>
      <c r="Q54" s="254">
        <f t="shared" si="5"/>
        <v>0</v>
      </c>
    </row>
    <row r="55" spans="1:21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51"/>
    </row>
    <row r="56" spans="1:21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245"/>
      <c r="P56" s="246">
        <f>SUM(H56:O56)</f>
        <v>302353</v>
      </c>
      <c r="Q56" s="247">
        <f>IFERROR(P56/F56*100,0)/10000000</f>
        <v>1.0078433333333332</v>
      </c>
    </row>
    <row r="57" spans="1:21" ht="15.75" thickBot="1" x14ac:dyDescent="0.3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73"/>
      <c r="P57" s="170">
        <f>SUM(H57:O57)</f>
        <v>86700</v>
      </c>
      <c r="Q57" s="148">
        <f>IFERROR(P57/F57*100,0)/10000000</f>
        <v>0</v>
      </c>
    </row>
    <row r="58" spans="1:21" s="248" customFormat="1" ht="15.75" thickBot="1" x14ac:dyDescent="0.3">
      <c r="A58" s="199"/>
      <c r="B58" s="16"/>
      <c r="C58" s="16"/>
      <c r="D58" s="16"/>
      <c r="E58" s="16"/>
      <c r="F58" s="74"/>
      <c r="G58" s="17"/>
      <c r="H58" s="169">
        <f t="shared" ref="H58:N58" si="6">SUM(H56:H57)</f>
        <v>5771</v>
      </c>
      <c r="I58" s="169">
        <f t="shared" si="6"/>
        <v>-81800</v>
      </c>
      <c r="J58" s="169">
        <f t="shared" si="6"/>
        <v>309555</v>
      </c>
      <c r="K58" s="169">
        <f t="shared" si="6"/>
        <v>15600</v>
      </c>
      <c r="L58" s="169">
        <f t="shared" si="6"/>
        <v>149000</v>
      </c>
      <c r="M58" s="169">
        <f t="shared" si="6"/>
        <v>-9023</v>
      </c>
      <c r="N58" s="169">
        <f t="shared" si="6"/>
        <v>-50</v>
      </c>
      <c r="O58" s="169">
        <f>SUM(O56:O57)</f>
        <v>0</v>
      </c>
      <c r="P58" s="256">
        <f>SUM(H58:O58)</f>
        <v>389053</v>
      </c>
      <c r="Q58" s="172"/>
    </row>
    <row r="59" spans="1:21" x14ac:dyDescent="0.25">
      <c r="T59" s="133"/>
    </row>
    <row r="60" spans="1:21" x14ac:dyDescent="0.25">
      <c r="S60" s="133"/>
    </row>
    <row r="61" spans="1:21" x14ac:dyDescent="0.25">
      <c r="S61" s="5"/>
      <c r="T61" s="133"/>
      <c r="U61" s="236"/>
    </row>
    <row r="62" spans="1:21" x14ac:dyDescent="0.25">
      <c r="S62" s="133"/>
      <c r="T62" s="133"/>
      <c r="U62" s="236"/>
    </row>
    <row r="63" spans="1:21" x14ac:dyDescent="0.25">
      <c r="S63" s="133"/>
      <c r="T63" s="133"/>
      <c r="U63" s="236"/>
    </row>
    <row r="64" spans="1:21" x14ac:dyDescent="0.25">
      <c r="S64" s="133"/>
      <c r="T64" s="133"/>
      <c r="U64" s="236"/>
    </row>
    <row r="65" spans="19:21" x14ac:dyDescent="0.25">
      <c r="S65" s="133"/>
      <c r="T65" s="133"/>
      <c r="U65" s="236"/>
    </row>
    <row r="66" spans="19:21" x14ac:dyDescent="0.25">
      <c r="S66" s="133"/>
      <c r="T66" s="236"/>
      <c r="U66" s="236"/>
    </row>
    <row r="67" spans="19:21" x14ac:dyDescent="0.25">
      <c r="S67" s="236"/>
      <c r="T67" s="236"/>
      <c r="U67" s="236"/>
    </row>
  </sheetData>
  <conditionalFormatting sqref="G2 A3:G3 Q54:Q55 Q58 P41:Q41 P23:Q25 Q10:Q20 P10:P21 H2:Q3 A36:P36 A37:O37 G38:O38 P43:Q53 P5:Q9 P27:Q28 P37:P39 Q38 Q30:Q34 P30:P35 A39:O54 A58:O58 A4:O35 A56:Q57">
    <cfRule type="expression" dxfId="555" priority="18">
      <formula>MOD(ROW(),2)=0</formula>
    </cfRule>
  </conditionalFormatting>
  <conditionalFormatting sqref="Q35">
    <cfRule type="expression" dxfId="554" priority="17">
      <formula>MOD(ROW(),2)=0</formula>
    </cfRule>
  </conditionalFormatting>
  <conditionalFormatting sqref="P4:Q4">
    <cfRule type="expression" dxfId="553" priority="15">
      <formula>MOD(ROW(),2)=0</formula>
    </cfRule>
  </conditionalFormatting>
  <conditionalFormatting sqref="Q37">
    <cfRule type="expression" dxfId="552" priority="14">
      <formula>MOD(ROW(),2)=0</formula>
    </cfRule>
  </conditionalFormatting>
  <conditionalFormatting sqref="Q21">
    <cfRule type="expression" dxfId="551" priority="13">
      <formula>MOD(ROW(),2)=0</formula>
    </cfRule>
  </conditionalFormatting>
  <conditionalFormatting sqref="P54">
    <cfRule type="expression" dxfId="550" priority="12">
      <formula>MOD(ROW(),2)=0</formula>
    </cfRule>
  </conditionalFormatting>
  <conditionalFormatting sqref="Q39">
    <cfRule type="expression" dxfId="549" priority="11">
      <formula>MOD(ROW(),2)=0</formula>
    </cfRule>
  </conditionalFormatting>
  <conditionalFormatting sqref="P26:Q26">
    <cfRule type="expression" dxfId="548" priority="10">
      <formula>MOD(ROW(),2)=0</formula>
    </cfRule>
  </conditionalFormatting>
  <conditionalFormatting sqref="P42:Q42">
    <cfRule type="expression" dxfId="547" priority="8">
      <formula>MOD(ROW(),2)=0</formula>
    </cfRule>
  </conditionalFormatting>
  <conditionalFormatting sqref="P58">
    <cfRule type="expression" dxfId="546" priority="7">
      <formula>MOD(ROW(),2)=0</formula>
    </cfRule>
  </conditionalFormatting>
  <conditionalFormatting sqref="P40:Q40">
    <cfRule type="expression" dxfId="545" priority="6">
      <formula>MOD(ROW(),2)=0</formula>
    </cfRule>
  </conditionalFormatting>
  <conditionalFormatting sqref="P22">
    <cfRule type="expression" dxfId="544" priority="5">
      <formula>MOD(ROW(),2)=0</formula>
    </cfRule>
  </conditionalFormatting>
  <conditionalFormatting sqref="Q22">
    <cfRule type="expression" dxfId="543" priority="4">
      <formula>MOD(ROW(),2)=0</formula>
    </cfRule>
  </conditionalFormatting>
  <conditionalFormatting sqref="Q36">
    <cfRule type="expression" dxfId="542" priority="3">
      <formula>MOD(ROW(),2)=0</formula>
    </cfRule>
  </conditionalFormatting>
  <conditionalFormatting sqref="A38:F38">
    <cfRule type="expression" dxfId="541" priority="2">
      <formula>MOD(ROW(),2)=0</formula>
    </cfRule>
  </conditionalFormatting>
  <conditionalFormatting sqref="P29:Q29">
    <cfRule type="expression" dxfId="54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59"/>
  <sheetViews>
    <sheetView topLeftCell="A26" workbookViewId="0">
      <selection activeCell="A50" sqref="A50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IFERROR(VLOOKUP($A$3:$A$114,'OCT-2026'!$A$4:$ACY$118,MATCH('FY-(26-27)Q3'!$G$2:$H$2,'OCT-2026'!$A$2:$CZ$2,0),0),0)</f>
        <v>106758</v>
      </c>
      <c r="H4" s="154">
        <f>IFERROR(VLOOKUP($A$3:$A$114,'OCT-2026'!$A$4:$ACY$118,MATCH('FY-(26-27)Q3'!$G$2:$H$2,'OCT-2026'!$A$2:$CZ$2,0),0),0)</f>
        <v>2.1351599999999999</v>
      </c>
      <c r="I4" s="152">
        <f>IFERROR(VLOOKUP($A$3:$A$114,'[1]NOV-2026'!$A$4:$ADL$124,MATCH('FY-(26-27)Q3'!$I$2:$J$2,'[1]NOV-2026'!$A$2:$DM$2,0),0),0)</f>
        <v>0</v>
      </c>
      <c r="J4" s="154">
        <f>IFERROR(VLOOKUP($A$3:$A$114,'[1]NOV-2026'!$A$4:$ADL$124,MATCH('FY-(26-27)Q3'!$I$2:$J$2,'[1]NOV-2026'!$A$2:$DM$2,0),0),0)</f>
        <v>0</v>
      </c>
      <c r="K4" s="152">
        <f>IFERROR(VLOOKUP($A$3:$A$114,'[2]DEC-2026'!$A$4:$AEE$125,MATCH('FY-(26-27)Q3'!$K$2:$L$2,'[2]DEC-2026'!$A$2:$EF$2,0),0),0)</f>
        <v>0</v>
      </c>
      <c r="L4" s="154">
        <f>IFERROR(VLOOKUP($A$3:$A$114,'[2]DEC-2026'!$A$4:$AEE$125,MATCH('FY-(26-27)Q3'!$K$2:$L$2,'[2]DEC-2026'!$A$2:$EF$2,0),0),0)</f>
        <v>0</v>
      </c>
      <c r="M4" s="71">
        <f t="shared" ref="M4:N50" si="0">G4+I4+K4</f>
        <v>106758</v>
      </c>
      <c r="N4" s="165">
        <f t="shared" si="0"/>
        <v>2.1351599999999999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IFERROR(VLOOKUP($A$3:$A$114,'OCT-2026'!$A$4:$ACY$118,MATCH('FY-(26-27)Q3'!$G$2:$H$2,'OCT-2026'!$A$2:$CZ$2,0),0),0)</f>
        <v>575690</v>
      </c>
      <c r="H5" s="154">
        <f>IFERROR(VLOOKUP($A$3:$A$114,'OCT-2026'!$A$4:$ACY$118,MATCH('FY-(26-27)Q3'!$G$2:$H$2,'OCT-2026'!$A$2:$CZ$2,0),0),0)</f>
        <v>1.9189666666666665</v>
      </c>
      <c r="I5" s="152">
        <f>IFERROR(VLOOKUP($A$3:$A$114,'[1]NOV-2026'!$A$4:$ADL$124,MATCH('FY-(26-27)Q3'!$I$2:$J$2,'[1]NOV-2026'!$A$2:$DM$2,0),0),0)</f>
        <v>0</v>
      </c>
      <c r="J5" s="154">
        <f>IFERROR(VLOOKUP($A$3:$A$114,'[1]NOV-2026'!$A$4:$ADL$124,MATCH('FY-(26-27)Q3'!$I$2:$J$2,'[1]NOV-2026'!$A$2:$DM$2,0),0),0)</f>
        <v>0</v>
      </c>
      <c r="K5" s="152">
        <f>IFERROR(VLOOKUP($A$3:$A$114,'[2]DEC-2026'!$A$4:$AEE$125,MATCH('FY-(26-27)Q3'!$K$2:$L$2,'[2]DEC-2026'!$A$2:$EF$2,0),0),0)</f>
        <v>0</v>
      </c>
      <c r="L5" s="154">
        <f>IFERROR(VLOOKUP($A$3:$A$114,'[2]DEC-2026'!$A$4:$AEE$125,MATCH('FY-(26-27)Q3'!$K$2:$L$2,'[2]DEC-2026'!$A$2:$EF$2,0),0),0)</f>
        <v>0</v>
      </c>
      <c r="M5" s="71">
        <f t="shared" si="0"/>
        <v>575690</v>
      </c>
      <c r="N5" s="165">
        <f t="shared" si="0"/>
        <v>1.9189666666666665</v>
      </c>
    </row>
    <row r="6" spans="1:1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IFERROR(VLOOKUP($A$3:$A$114,'OCT-2026'!$A$4:$ACY$118,MATCH('FY-(26-27)Q3'!$G$2:$H$2,'OCT-2026'!$A$2:$CZ$2,0),0),0)</f>
        <v>117837</v>
      </c>
      <c r="H6" s="154">
        <f>IFERROR(VLOOKUP($A$3:$A$114,'OCT-2026'!$A$4:$ACY$118,MATCH('FY-(26-27)Q3'!$G$2:$H$2,'OCT-2026'!$A$2:$CZ$2,0),0),0)</f>
        <v>1.1783699999999999</v>
      </c>
      <c r="I6" s="152">
        <f>IFERROR(VLOOKUP($A$3:$A$114,'[1]NOV-2026'!$A$4:$ADL$124,MATCH('FY-(26-27)Q3'!$I$2:$J$2,'[1]NOV-2026'!$A$2:$DM$2,0),0),0)</f>
        <v>0</v>
      </c>
      <c r="J6" s="154">
        <f>IFERROR(VLOOKUP($A$3:$A$114,'[1]NOV-2026'!$A$4:$ADL$124,MATCH('FY-(26-27)Q3'!$I$2:$J$2,'[1]NOV-2026'!$A$2:$DM$2,0),0),0)</f>
        <v>0</v>
      </c>
      <c r="K6" s="152">
        <f>IFERROR(VLOOKUP($A$3:$A$114,'[2]DEC-2026'!$A$4:$AEE$125,MATCH('FY-(26-27)Q3'!$K$2:$L$2,'[2]DEC-2026'!$A$2:$EF$2,0),0),0)</f>
        <v>0</v>
      </c>
      <c r="L6" s="154">
        <f>IFERROR(VLOOKUP($A$3:$A$114,'[2]DEC-2026'!$A$4:$AEE$125,MATCH('FY-(26-27)Q3'!$K$2:$L$2,'[2]DEC-2026'!$A$2:$EF$2,0),0),0)</f>
        <v>0</v>
      </c>
      <c r="M6" s="71">
        <f t="shared" si="0"/>
        <v>117837</v>
      </c>
      <c r="N6" s="165">
        <f t="shared" si="0"/>
        <v>1.1783699999999999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IFERROR(VLOOKUP($A$3:$A$114,'OCT-2026'!$A$4:$ACY$118,MATCH('FY-(26-27)Q3'!$G$2:$H$2,'OCT-2026'!$A$2:$CZ$2,0),0),0)</f>
        <v>-316610</v>
      </c>
      <c r="H7" s="154">
        <f>IFERROR(VLOOKUP($A$3:$A$114,'OCT-2026'!$A$4:$ACY$118,MATCH('FY-(26-27)Q3'!$G$2:$H$2,'OCT-2026'!$A$2:$CZ$2,0),0),0)</f>
        <v>-1.0553666666666668</v>
      </c>
      <c r="I7" s="152">
        <f>IFERROR(VLOOKUP($A$3:$A$114,'[1]NOV-2026'!$A$4:$ADL$124,MATCH('FY-(26-27)Q3'!$I$2:$J$2,'[1]NOV-2026'!$A$2:$DM$2,0),0),0)</f>
        <v>0</v>
      </c>
      <c r="J7" s="154">
        <f>IFERROR(VLOOKUP($A$3:$A$114,'[1]NOV-2026'!$A$4:$ADL$124,MATCH('FY-(26-27)Q3'!$I$2:$J$2,'[1]NOV-2026'!$A$2:$DM$2,0),0),0)</f>
        <v>0</v>
      </c>
      <c r="K7" s="152">
        <f>IFERROR(VLOOKUP($A$3:$A$114,'[2]DEC-2026'!$A$4:$AEE$125,MATCH('FY-(26-27)Q3'!$K$2:$L$2,'[2]DEC-2026'!$A$2:$EF$2,0),0),0)</f>
        <v>0</v>
      </c>
      <c r="L7" s="154">
        <f>IFERROR(VLOOKUP($A$3:$A$114,'[2]DEC-2026'!$A$4:$AEE$125,MATCH('FY-(26-27)Q3'!$K$2:$L$2,'[2]DEC-2026'!$A$2:$EF$2,0),0),0)</f>
        <v>0</v>
      </c>
      <c r="M7" s="71">
        <f t="shared" si="0"/>
        <v>-316610</v>
      </c>
      <c r="N7" s="165">
        <f t="shared" si="0"/>
        <v>-1.0553666666666668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IFERROR(VLOOKUP($A$3:$A$114,'OCT-2026'!$A$4:$ACY$118,MATCH('FY-(26-27)Q3'!$G$2:$H$2,'OCT-2026'!$A$2:$CZ$2,0),0),0)</f>
        <v>178330</v>
      </c>
      <c r="H8" s="154">
        <f>IFERROR(VLOOKUP($A$3:$A$114,'OCT-2026'!$A$4:$ACY$118,MATCH('FY-(26-27)Q3'!$G$2:$H$2,'OCT-2026'!$A$2:$CZ$2,0),0),0)</f>
        <v>1.1888666666666667</v>
      </c>
      <c r="I8" s="152">
        <f>IFERROR(VLOOKUP($A$3:$A$114,'[1]NOV-2026'!$A$4:$ADL$124,MATCH('FY-(26-27)Q3'!$I$2:$J$2,'[1]NOV-2026'!$A$2:$DM$2,0),0),0)</f>
        <v>0</v>
      </c>
      <c r="J8" s="154">
        <f>IFERROR(VLOOKUP($A$3:$A$114,'[1]NOV-2026'!$A$4:$ADL$124,MATCH('FY-(26-27)Q3'!$I$2:$J$2,'[1]NOV-2026'!$A$2:$DM$2,0),0),0)</f>
        <v>0</v>
      </c>
      <c r="K8" s="152">
        <f>IFERROR(VLOOKUP($A$3:$A$114,'[2]DEC-2026'!$A$4:$AEE$125,MATCH('FY-(26-27)Q3'!$K$2:$L$2,'[2]DEC-2026'!$A$2:$EF$2,0),0),0)</f>
        <v>0</v>
      </c>
      <c r="L8" s="154">
        <f>IFERROR(VLOOKUP($A$3:$A$114,'[2]DEC-2026'!$A$4:$AEE$125,MATCH('FY-(26-27)Q3'!$K$2:$L$2,'[2]DEC-2026'!$A$2:$EF$2,0),0),0)</f>
        <v>0</v>
      </c>
      <c r="M8" s="71">
        <f t="shared" si="0"/>
        <v>178330</v>
      </c>
      <c r="N8" s="165">
        <f t="shared" si="0"/>
        <v>1.1888666666666667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IFERROR(VLOOKUP($A$3:$A$114,'OCT-2026'!$A$4:$ACY$118,MATCH('FY-(26-27)Q3'!$G$2:$H$2,'OCT-2026'!$A$2:$CZ$2,0),0),0)</f>
        <v>55724</v>
      </c>
      <c r="H9" s="154">
        <f>IFERROR(VLOOKUP($A$3:$A$114,'OCT-2026'!$A$4:$ACY$118,MATCH('FY-(26-27)Q3'!$G$2:$H$2,'OCT-2026'!$A$2:$CZ$2,0),0),0)</f>
        <v>0.92873333333333341</v>
      </c>
      <c r="I9" s="152">
        <f>IFERROR(VLOOKUP($A$3:$A$114,'[1]NOV-2026'!$A$4:$ADL$124,MATCH('FY-(26-27)Q3'!$I$2:$J$2,'[1]NOV-2026'!$A$2:$DM$2,0),0),0)</f>
        <v>0</v>
      </c>
      <c r="J9" s="154">
        <f>IFERROR(VLOOKUP($A$3:$A$114,'[1]NOV-2026'!$A$4:$ADL$124,MATCH('FY-(26-27)Q3'!$I$2:$J$2,'[1]NOV-2026'!$A$2:$DM$2,0),0),0)</f>
        <v>0</v>
      </c>
      <c r="K9" s="152">
        <f>IFERROR(VLOOKUP($A$3:$A$114,'[2]DEC-2026'!$A$4:$AEE$125,MATCH('FY-(26-27)Q3'!$K$2:$L$2,'[2]DEC-2026'!$A$2:$EF$2,0),0),0)</f>
        <v>0</v>
      </c>
      <c r="L9" s="154">
        <f>IFERROR(VLOOKUP($A$3:$A$114,'[2]DEC-2026'!$A$4:$AEE$125,MATCH('FY-(26-27)Q3'!$K$2:$L$2,'[2]DEC-2026'!$A$2:$EF$2,0),0),0)</f>
        <v>0</v>
      </c>
      <c r="M9" s="71">
        <f t="shared" si="0"/>
        <v>55724</v>
      </c>
      <c r="N9" s="165">
        <f t="shared" si="0"/>
        <v>0.92873333333333341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IFERROR(VLOOKUP($A$3:$A$114,'OCT-2026'!$A$4:$ACY$118,MATCH('FY-(26-27)Q3'!$G$2:$H$2,'OCT-2026'!$A$2:$CZ$2,0),0),0)</f>
        <v>-218420</v>
      </c>
      <c r="H10" s="154">
        <f>IFERROR(VLOOKUP($A$3:$A$114,'OCT-2026'!$A$4:$ACY$118,MATCH('FY-(26-27)Q3'!$G$2:$H$2,'OCT-2026'!$A$2:$CZ$2,0),0),0)</f>
        <v>-0.14561333333333334</v>
      </c>
      <c r="I10" s="152">
        <f>IFERROR(VLOOKUP($A$3:$A$114,'[1]NOV-2026'!$A$4:$ADL$124,MATCH('FY-(26-27)Q3'!$I$2:$J$2,'[1]NOV-2026'!$A$2:$DM$2,0),0),0)</f>
        <v>0</v>
      </c>
      <c r="J10" s="154">
        <f>IFERROR(VLOOKUP($A$3:$A$114,'[1]NOV-2026'!$A$4:$ADL$124,MATCH('FY-(26-27)Q3'!$I$2:$J$2,'[1]NOV-2026'!$A$2:$DM$2,0),0),0)</f>
        <v>0</v>
      </c>
      <c r="K10" s="152">
        <f>IFERROR(VLOOKUP($A$3:$A$114,'[2]DEC-2026'!$A$4:$AEE$125,MATCH('FY-(26-27)Q3'!$K$2:$L$2,'[2]DEC-2026'!$A$2:$EF$2,0),0),0)</f>
        <v>0</v>
      </c>
      <c r="L10" s="154">
        <f>IFERROR(VLOOKUP($A$3:$A$114,'[2]DEC-2026'!$A$4:$AEE$125,MATCH('FY-(26-27)Q3'!$K$2:$L$2,'[2]DEC-2026'!$A$2:$EF$2,0),0),0)</f>
        <v>0</v>
      </c>
      <c r="M10" s="71">
        <f t="shared" si="0"/>
        <v>-218420</v>
      </c>
      <c r="N10" s="165">
        <f t="shared" si="0"/>
        <v>-0.14561333333333334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IFERROR(VLOOKUP($A$3:$A$114,'OCT-2026'!$A$4:$ACY$118,MATCH('FY-(26-27)Q3'!$G$2:$H$2,'OCT-2026'!$A$2:$CZ$2,0),0),0)</f>
        <v>242131</v>
      </c>
      <c r="H11" s="154">
        <f>IFERROR(VLOOKUP($A$3:$A$114,'OCT-2026'!$A$4:$ACY$118,MATCH('FY-(26-27)Q3'!$G$2:$H$2,'OCT-2026'!$A$2:$CZ$2,0),0),0)</f>
        <v>0.40355166666666664</v>
      </c>
      <c r="I11" s="152">
        <f>IFERROR(VLOOKUP($A$3:$A$114,'[1]NOV-2026'!$A$4:$ADL$124,MATCH('FY-(26-27)Q3'!$I$2:$J$2,'[1]NOV-2026'!$A$2:$DM$2,0),0),0)</f>
        <v>0</v>
      </c>
      <c r="J11" s="154">
        <f>IFERROR(VLOOKUP($A$3:$A$114,'[1]NOV-2026'!$A$4:$ADL$124,MATCH('FY-(26-27)Q3'!$I$2:$J$2,'[1]NOV-2026'!$A$2:$DM$2,0),0),0)</f>
        <v>0</v>
      </c>
      <c r="K11" s="152">
        <f>IFERROR(VLOOKUP($A$3:$A$114,'[2]DEC-2026'!$A$4:$AEE$125,MATCH('FY-(26-27)Q3'!$K$2:$L$2,'[2]DEC-2026'!$A$2:$EF$2,0),0),0)</f>
        <v>0</v>
      </c>
      <c r="L11" s="154">
        <f>IFERROR(VLOOKUP($A$3:$A$114,'[2]DEC-2026'!$A$4:$AEE$125,MATCH('FY-(26-27)Q3'!$K$2:$L$2,'[2]DEC-2026'!$A$2:$EF$2,0),0),0)</f>
        <v>0</v>
      </c>
      <c r="M11" s="71">
        <f t="shared" si="0"/>
        <v>242131</v>
      </c>
      <c r="N11" s="165">
        <f t="shared" si="0"/>
        <v>0.40355166666666664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IFERROR(VLOOKUP($A$3:$A$114,'OCT-2026'!$A$4:$ACY$118,MATCH('FY-(26-27)Q3'!$G$2:$H$2,'OCT-2026'!$A$2:$CZ$2,0),0),0)</f>
        <v>-2741</v>
      </c>
      <c r="H12" s="154">
        <f>IFERROR(VLOOKUP($A$3:$A$114,'OCT-2026'!$A$4:$ACY$118,MATCH('FY-(26-27)Q3'!$G$2:$H$2,'OCT-2026'!$A$2:$CZ$2,0),0),0)</f>
        <v>-2.741E-2</v>
      </c>
      <c r="I12" s="152">
        <f>IFERROR(VLOOKUP($A$3:$A$114,'[1]NOV-2026'!$A$4:$ADL$124,MATCH('FY-(26-27)Q3'!$I$2:$J$2,'[1]NOV-2026'!$A$2:$DM$2,0),0),0)</f>
        <v>0</v>
      </c>
      <c r="J12" s="154">
        <f>IFERROR(VLOOKUP($A$3:$A$114,'[1]NOV-2026'!$A$4:$ADL$124,MATCH('FY-(26-27)Q3'!$I$2:$J$2,'[1]NOV-2026'!$A$2:$DM$2,0),0),0)</f>
        <v>0</v>
      </c>
      <c r="K12" s="152">
        <f>IFERROR(VLOOKUP($A$3:$A$114,'[2]DEC-2026'!$A$4:$AEE$125,MATCH('FY-(26-27)Q3'!$K$2:$L$2,'[2]DEC-2026'!$A$2:$EF$2,0),0),0)</f>
        <v>0</v>
      </c>
      <c r="L12" s="154">
        <f>IFERROR(VLOOKUP($A$3:$A$114,'[2]DEC-2026'!$A$4:$AEE$125,MATCH('FY-(26-27)Q3'!$K$2:$L$2,'[2]DEC-2026'!$A$2:$EF$2,0),0),0)</f>
        <v>0</v>
      </c>
      <c r="M12" s="71">
        <f t="shared" si="0"/>
        <v>-2741</v>
      </c>
      <c r="N12" s="165">
        <f t="shared" si="0"/>
        <v>-2.741E-2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IFERROR(VLOOKUP($A$3:$A$114,'OCT-2026'!$A$4:$ACY$118,MATCH('FY-(26-27)Q3'!$G$2:$H$2,'OCT-2026'!$A$2:$CZ$2,0),0),0)</f>
        <v>135553</v>
      </c>
      <c r="H13" s="154">
        <f>IFERROR(VLOOKUP($A$3:$A$114,'OCT-2026'!$A$4:$ACY$118,MATCH('FY-(26-27)Q3'!$G$2:$H$2,'OCT-2026'!$A$2:$CZ$2,0),0),0)</f>
        <v>0.54221200000000003</v>
      </c>
      <c r="I13" s="152">
        <f>IFERROR(VLOOKUP($A$3:$A$114,'[1]NOV-2026'!$A$4:$ADL$124,MATCH('FY-(26-27)Q3'!$I$2:$J$2,'[1]NOV-2026'!$A$2:$DM$2,0),0),0)</f>
        <v>0</v>
      </c>
      <c r="J13" s="154">
        <f>IFERROR(VLOOKUP($A$3:$A$114,'[1]NOV-2026'!$A$4:$ADL$124,MATCH('FY-(26-27)Q3'!$I$2:$J$2,'[1]NOV-2026'!$A$2:$DM$2,0),0),0)</f>
        <v>0</v>
      </c>
      <c r="K13" s="152">
        <f>IFERROR(VLOOKUP($A$3:$A$114,'[2]DEC-2026'!$A$4:$AEE$125,MATCH('FY-(26-27)Q3'!$K$2:$L$2,'[2]DEC-2026'!$A$2:$EF$2,0),0),0)</f>
        <v>0</v>
      </c>
      <c r="L13" s="154">
        <f>IFERROR(VLOOKUP($A$3:$A$114,'[2]DEC-2026'!$A$4:$AEE$125,MATCH('FY-(26-27)Q3'!$K$2:$L$2,'[2]DEC-2026'!$A$2:$EF$2,0),0),0)</f>
        <v>0</v>
      </c>
      <c r="M13" s="71">
        <f t="shared" si="0"/>
        <v>135553</v>
      </c>
      <c r="N13" s="165">
        <f t="shared" si="0"/>
        <v>0.54221200000000003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IFERROR(VLOOKUP($A$3:$A$114,'OCT-2026'!$A$4:$ACY$118,MATCH('FY-(26-27)Q3'!$G$2:$H$2,'OCT-2026'!$A$2:$CZ$2,0),0),0)</f>
        <v>1117</v>
      </c>
      <c r="H14" s="154">
        <f>IFERROR(VLOOKUP($A$3:$A$114,'OCT-2026'!$A$4:$ACY$118,MATCH('FY-(26-27)Q3'!$G$2:$H$2,'OCT-2026'!$A$2:$CZ$2,0),0),0)</f>
        <v>1.1169999999999999E-2</v>
      </c>
      <c r="I14" s="152">
        <f>IFERROR(VLOOKUP($A$3:$A$114,'[1]NOV-2026'!$A$4:$ADL$124,MATCH('FY-(26-27)Q3'!$I$2:$J$2,'[1]NOV-2026'!$A$2:$DM$2,0),0),0)</f>
        <v>0</v>
      </c>
      <c r="J14" s="154">
        <f>IFERROR(VLOOKUP($A$3:$A$114,'[1]NOV-2026'!$A$4:$ADL$124,MATCH('FY-(26-27)Q3'!$I$2:$J$2,'[1]NOV-2026'!$A$2:$DM$2,0),0),0)</f>
        <v>0</v>
      </c>
      <c r="K14" s="152">
        <f>IFERROR(VLOOKUP($A$3:$A$114,'[2]DEC-2026'!$A$4:$AEE$125,MATCH('FY-(26-27)Q3'!$K$2:$L$2,'[2]DEC-2026'!$A$2:$EF$2,0),0),0)</f>
        <v>0</v>
      </c>
      <c r="L14" s="154">
        <f>IFERROR(VLOOKUP($A$3:$A$114,'[2]DEC-2026'!$A$4:$AEE$125,MATCH('FY-(26-27)Q3'!$K$2:$L$2,'[2]DEC-2026'!$A$2:$EF$2,0),0),0)</f>
        <v>0</v>
      </c>
      <c r="M14" s="71">
        <f t="shared" si="0"/>
        <v>1117</v>
      </c>
      <c r="N14" s="165">
        <f t="shared" si="0"/>
        <v>1.1169999999999999E-2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IFERROR(VLOOKUP($A$3:$A$114,'OCT-2026'!$A$4:$ACY$118,MATCH('FY-(26-27)Q3'!$G$2:$H$2,'OCT-2026'!$A$2:$CZ$2,0),0),0)</f>
        <v>145701</v>
      </c>
      <c r="H15" s="154">
        <f>IFERROR(VLOOKUP($A$3:$A$114,'OCT-2026'!$A$4:$ACY$118,MATCH('FY-(26-27)Q3'!$G$2:$H$2,'OCT-2026'!$A$2:$CZ$2,0),0),0)</f>
        <v>0.66227727272727266</v>
      </c>
      <c r="I15" s="152">
        <f>IFERROR(VLOOKUP($A$3:$A$114,'[1]NOV-2026'!$A$4:$ADL$124,MATCH('FY-(26-27)Q3'!$I$2:$J$2,'[1]NOV-2026'!$A$2:$DM$2,0),0),0)</f>
        <v>0</v>
      </c>
      <c r="J15" s="154">
        <f>IFERROR(VLOOKUP($A$3:$A$114,'[1]NOV-2026'!$A$4:$ADL$124,MATCH('FY-(26-27)Q3'!$I$2:$J$2,'[1]NOV-2026'!$A$2:$DM$2,0),0),0)</f>
        <v>0</v>
      </c>
      <c r="K15" s="152">
        <f>IFERROR(VLOOKUP($A$3:$A$114,'[2]DEC-2026'!$A$4:$AEE$125,MATCH('FY-(26-27)Q3'!$K$2:$L$2,'[2]DEC-2026'!$A$2:$EF$2,0),0),0)</f>
        <v>0</v>
      </c>
      <c r="L15" s="154">
        <f>IFERROR(VLOOKUP($A$3:$A$114,'[2]DEC-2026'!$A$4:$AEE$125,MATCH('FY-(26-27)Q3'!$K$2:$L$2,'[2]DEC-2026'!$A$2:$EF$2,0),0),0)</f>
        <v>0</v>
      </c>
      <c r="M15" s="71">
        <f t="shared" si="0"/>
        <v>145701</v>
      </c>
      <c r="N15" s="165">
        <f t="shared" si="0"/>
        <v>0.66227727272727266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IFERROR(VLOOKUP($A$3:$A$114,'OCT-2026'!$A$4:$ACY$118,MATCH('FY-(26-27)Q3'!$G$2:$H$2,'OCT-2026'!$A$2:$CZ$2,0),0),0)</f>
        <v>-32466</v>
      </c>
      <c r="H16" s="154">
        <f>IFERROR(VLOOKUP($A$3:$A$114,'OCT-2026'!$A$4:$ACY$118,MATCH('FY-(26-27)Q3'!$G$2:$H$2,'OCT-2026'!$A$2:$CZ$2,0),0),0)</f>
        <v>-0.12986400000000001</v>
      </c>
      <c r="I16" s="152">
        <f>IFERROR(VLOOKUP($A$3:$A$114,'[1]NOV-2026'!$A$4:$ADL$124,MATCH('FY-(26-27)Q3'!$I$2:$J$2,'[1]NOV-2026'!$A$2:$DM$2,0),0),0)</f>
        <v>0</v>
      </c>
      <c r="J16" s="154">
        <f>IFERROR(VLOOKUP($A$3:$A$114,'[1]NOV-2026'!$A$4:$ADL$124,MATCH('FY-(26-27)Q3'!$I$2:$J$2,'[1]NOV-2026'!$A$2:$DM$2,0),0),0)</f>
        <v>0</v>
      </c>
      <c r="K16" s="152">
        <f>IFERROR(VLOOKUP($A$3:$A$114,'[2]DEC-2026'!$A$4:$AEE$125,MATCH('FY-(26-27)Q3'!$K$2:$L$2,'[2]DEC-2026'!$A$2:$EF$2,0),0),0)</f>
        <v>0</v>
      </c>
      <c r="L16" s="154">
        <f>IFERROR(VLOOKUP($A$3:$A$114,'[2]DEC-2026'!$A$4:$AEE$125,MATCH('FY-(26-27)Q3'!$K$2:$L$2,'[2]DEC-2026'!$A$2:$EF$2,0),0),0)</f>
        <v>0</v>
      </c>
      <c r="M16" s="71">
        <f t="shared" si="0"/>
        <v>-32466</v>
      </c>
      <c r="N16" s="165">
        <f t="shared" si="0"/>
        <v>-0.12986400000000001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IFERROR(VLOOKUP($A$3:$A$114,'OCT-2026'!$A$4:$ACY$118,MATCH('FY-(26-27)Q3'!$G$2:$H$2,'OCT-2026'!$A$2:$CZ$2,0),0),0)</f>
        <v>26201</v>
      </c>
      <c r="H17" s="154">
        <f>IFERROR(VLOOKUP($A$3:$A$114,'OCT-2026'!$A$4:$ACY$118,MATCH('FY-(26-27)Q3'!$G$2:$H$2,'OCT-2026'!$A$2:$CZ$2,0),0),0)</f>
        <v>6.5502500000000005E-2</v>
      </c>
      <c r="I17" s="152">
        <f>IFERROR(VLOOKUP($A$3:$A$114,'[1]NOV-2026'!$A$4:$ADL$124,MATCH('FY-(26-27)Q3'!$I$2:$J$2,'[1]NOV-2026'!$A$2:$DM$2,0),0),0)</f>
        <v>0</v>
      </c>
      <c r="J17" s="154">
        <f>IFERROR(VLOOKUP($A$3:$A$114,'[1]NOV-2026'!$A$4:$ADL$124,MATCH('FY-(26-27)Q3'!$I$2:$J$2,'[1]NOV-2026'!$A$2:$DM$2,0),0),0)</f>
        <v>0</v>
      </c>
      <c r="K17" s="152">
        <f>IFERROR(VLOOKUP($A$3:$A$114,'[2]DEC-2026'!$A$4:$AEE$125,MATCH('FY-(26-27)Q3'!$K$2:$L$2,'[2]DEC-2026'!$A$2:$EF$2,0),0),0)</f>
        <v>0</v>
      </c>
      <c r="L17" s="154">
        <f>IFERROR(VLOOKUP($A$3:$A$114,'[2]DEC-2026'!$A$4:$AEE$125,MATCH('FY-(26-27)Q3'!$K$2:$L$2,'[2]DEC-2026'!$A$2:$EF$2,0),0),0)</f>
        <v>0</v>
      </c>
      <c r="M17" s="71">
        <f t="shared" si="0"/>
        <v>26201</v>
      </c>
      <c r="N17" s="165">
        <f t="shared" si="0"/>
        <v>6.5502500000000005E-2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IFERROR(VLOOKUP($A$3:$A$114,'OCT-2026'!$A$4:$ACY$118,MATCH('FY-(26-27)Q3'!$G$2:$H$2,'OCT-2026'!$A$2:$CZ$2,0),0),0)</f>
        <v>-150688</v>
      </c>
      <c r="H18" s="154">
        <f>IFERROR(VLOOKUP($A$3:$A$114,'OCT-2026'!$A$4:$ACY$118,MATCH('FY-(26-27)Q3'!$G$2:$H$2,'OCT-2026'!$A$2:$CZ$2,0),0),0)</f>
        <v>-1.3698909090909093</v>
      </c>
      <c r="I18" s="152">
        <f>IFERROR(VLOOKUP($A$3:$A$114,'[1]NOV-2026'!$A$4:$ADL$124,MATCH('FY-(26-27)Q3'!$I$2:$J$2,'[1]NOV-2026'!$A$2:$DM$2,0),0),0)</f>
        <v>0</v>
      </c>
      <c r="J18" s="154">
        <f>IFERROR(VLOOKUP($A$3:$A$114,'[1]NOV-2026'!$A$4:$ADL$124,MATCH('FY-(26-27)Q3'!$I$2:$J$2,'[1]NOV-2026'!$A$2:$DM$2,0),0),0)</f>
        <v>0</v>
      </c>
      <c r="K18" s="152">
        <f>IFERROR(VLOOKUP($A$3:$A$114,'[2]DEC-2026'!$A$4:$AEE$125,MATCH('FY-(26-27)Q3'!$K$2:$L$2,'[2]DEC-2026'!$A$2:$EF$2,0),0),0)</f>
        <v>0</v>
      </c>
      <c r="L18" s="154">
        <f>IFERROR(VLOOKUP($A$3:$A$114,'[2]DEC-2026'!$A$4:$AEE$125,MATCH('FY-(26-27)Q3'!$K$2:$L$2,'[2]DEC-2026'!$A$2:$EF$2,0),0),0)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IFERROR(VLOOKUP($A$3:$A$114,'OCT-2026'!$A$4:$ACY$118,MATCH('FY-(26-27)Q3'!$G$2:$H$2,'OCT-2026'!$A$2:$CZ$2,0),0),0)</f>
        <v>-102435</v>
      </c>
      <c r="H19" s="154">
        <f>IFERROR(VLOOKUP($A$3:$A$114,'OCT-2026'!$A$4:$ACY$118,MATCH('FY-(26-27)Q3'!$G$2:$H$2,'OCT-2026'!$A$2:$CZ$2,0),0),0)</f>
        <v>-4.0974000000000004</v>
      </c>
      <c r="I19" s="152">
        <f>IFERROR(VLOOKUP($A$3:$A$114,'[1]NOV-2026'!$A$4:$ADL$124,MATCH('FY-(26-27)Q3'!$I$2:$J$2,'[1]NOV-2026'!$A$2:$DM$2,0),0),0)</f>
        <v>0</v>
      </c>
      <c r="J19" s="154">
        <f>IFERROR(VLOOKUP($A$3:$A$114,'[1]NOV-2026'!$A$4:$ADL$124,MATCH('FY-(26-27)Q3'!$I$2:$J$2,'[1]NOV-2026'!$A$2:$DM$2,0),0),0)</f>
        <v>0</v>
      </c>
      <c r="K19" s="152">
        <f>IFERROR(VLOOKUP($A$3:$A$114,'[2]DEC-2026'!$A$4:$AEE$125,MATCH('FY-(26-27)Q3'!$K$2:$L$2,'[2]DEC-2026'!$A$2:$EF$2,0),0),0)</f>
        <v>0</v>
      </c>
      <c r="L19" s="154">
        <f>IFERROR(VLOOKUP($A$3:$A$114,'[2]DEC-2026'!$A$4:$AEE$125,MATCH('FY-(26-27)Q3'!$K$2:$L$2,'[2]DEC-2026'!$A$2:$EF$2,0),0),0)</f>
        <v>0</v>
      </c>
      <c r="M19" s="71">
        <f t="shared" si="0"/>
        <v>-102435</v>
      </c>
      <c r="N19" s="165">
        <f t="shared" si="0"/>
        <v>-4.0974000000000004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IFERROR(VLOOKUP($A$3:$A$114,'OCT-2026'!$A$4:$ACY$118,MATCH('FY-(26-27)Q3'!$G$2:$H$2,'OCT-2026'!$A$2:$CZ$2,0),0),0)</f>
        <v>0</v>
      </c>
      <c r="H20" s="154">
        <f>IFERROR(VLOOKUP($A$3:$A$114,'OCT-2026'!$A$4:$ACY$118,MATCH('FY-(26-27)Q3'!$G$2:$H$2,'OCT-2026'!$A$2:$CZ$2,0),0),0)</f>
        <v>0</v>
      </c>
      <c r="I20" s="152">
        <f>IFERROR(VLOOKUP($A$3:$A$114,'[1]NOV-2026'!$A$4:$ADL$124,MATCH('FY-(26-27)Q3'!$I$2:$J$2,'[1]NOV-2026'!$A$2:$DM$2,0),0),0)</f>
        <v>0</v>
      </c>
      <c r="J20" s="154">
        <f>IFERROR(VLOOKUP($A$3:$A$114,'[1]NOV-2026'!$A$4:$ADL$124,MATCH('FY-(26-27)Q3'!$I$2:$J$2,'[1]NOV-2026'!$A$2:$DM$2,0),0),0)</f>
        <v>0</v>
      </c>
      <c r="K20" s="152">
        <f>IFERROR(VLOOKUP($A$3:$A$114,'[2]DEC-2026'!$A$4:$AEE$125,MATCH('FY-(26-27)Q3'!$K$2:$L$2,'[2]DEC-2026'!$A$2:$EF$2,0),0),0)</f>
        <v>0</v>
      </c>
      <c r="L20" s="154">
        <f>IFERROR(VLOOKUP($A$3:$A$114,'[2]DEC-2026'!$A$4:$AEE$125,MATCH('FY-(26-27)Q3'!$K$2:$L$2,'[2]DEC-2026'!$A$2:$EF$2,0),0),0)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IFERROR(VLOOKUP($A$3:$A$114,'OCT-2026'!$A$4:$ACY$118,MATCH('FY-(26-27)Q3'!$G$2:$H$2,'OCT-2026'!$A$2:$CZ$2,0),0),0)</f>
        <v>314415</v>
      </c>
      <c r="H21" s="154">
        <f>IFERROR(VLOOKUP($A$3:$A$114,'OCT-2026'!$A$4:$ACY$118,MATCH('FY-(26-27)Q3'!$G$2:$H$2,'OCT-2026'!$A$2:$CZ$2,0),0),0)</f>
        <v>2.0960999999999999</v>
      </c>
      <c r="I21" s="152">
        <f>IFERROR(VLOOKUP($A$3:$A$114,'[1]NOV-2026'!$A$4:$ADL$124,MATCH('FY-(26-27)Q3'!$I$2:$J$2,'[1]NOV-2026'!$A$2:$DM$2,0),0),0)</f>
        <v>0</v>
      </c>
      <c r="J21" s="154">
        <f>IFERROR(VLOOKUP($A$3:$A$114,'[1]NOV-2026'!$A$4:$ADL$124,MATCH('FY-(26-27)Q3'!$I$2:$J$2,'[1]NOV-2026'!$A$2:$DM$2,0),0),0)</f>
        <v>0</v>
      </c>
      <c r="K21" s="152">
        <f>IFERROR(VLOOKUP($A$3:$A$114,'[2]DEC-2026'!$A$4:$AEE$125,MATCH('FY-(26-27)Q3'!$K$2:$L$2,'[2]DEC-2026'!$A$2:$EF$2,0),0),0)</f>
        <v>0</v>
      </c>
      <c r="L21" s="154">
        <f>IFERROR(VLOOKUP($A$3:$A$114,'[2]DEC-2026'!$A$4:$AEE$125,MATCH('FY-(26-27)Q3'!$K$2:$L$2,'[2]DEC-2026'!$A$2:$EF$2,0),0),0)</f>
        <v>0</v>
      </c>
      <c r="M21" s="71">
        <f t="shared" si="0"/>
        <v>314415</v>
      </c>
      <c r="N21" s="165">
        <f t="shared" si="0"/>
        <v>2.0960999999999999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IFERROR(VLOOKUP($A$3:$A$114,'OCT-2026'!$A$4:$ACY$118,MATCH('FY-(26-27)Q3'!$G$2:$H$2,'OCT-2026'!$A$2:$CZ$2,0),0),0)</f>
        <v>-5462</v>
      </c>
      <c r="H22" s="154">
        <f>IFERROR(VLOOKUP($A$3:$A$114,'OCT-2026'!$A$4:$ACY$118,MATCH('FY-(26-27)Q3'!$G$2:$H$2,'OCT-2026'!$A$2:$CZ$2,0),0),0)</f>
        <v>-4.9654545454545451E-2</v>
      </c>
      <c r="I22" s="152">
        <f>IFERROR(VLOOKUP($A$3:$A$114,'[1]NOV-2026'!$A$4:$ADL$124,MATCH('FY-(26-27)Q3'!$I$2:$J$2,'[1]NOV-2026'!$A$2:$DM$2,0),0),0)</f>
        <v>0</v>
      </c>
      <c r="J22" s="154">
        <f>IFERROR(VLOOKUP($A$3:$A$114,'[1]NOV-2026'!$A$4:$ADL$124,MATCH('FY-(26-27)Q3'!$I$2:$J$2,'[1]NOV-2026'!$A$2:$DM$2,0),0),0)</f>
        <v>0</v>
      </c>
      <c r="K22" s="152">
        <f>IFERROR(VLOOKUP($A$3:$A$114,'[2]DEC-2026'!$A$4:$AEE$125,MATCH('FY-(26-27)Q3'!$K$2:$L$2,'[2]DEC-2026'!$A$2:$EF$2,0),0),0)</f>
        <v>0</v>
      </c>
      <c r="L22" s="154">
        <f>IFERROR(VLOOKUP($A$3:$A$114,'[2]DEC-2026'!$A$4:$AEE$125,MATCH('FY-(26-27)Q3'!$K$2:$L$2,'[2]DEC-2026'!$A$2:$EF$2,0),0),0)</f>
        <v>0</v>
      </c>
      <c r="M22" s="71">
        <f t="shared" si="0"/>
        <v>-5462</v>
      </c>
      <c r="N22" s="165">
        <f t="shared" si="0"/>
        <v>-4.9654545454545451E-2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IFERROR(VLOOKUP($A$3:$A$114,'OCT-2026'!$A$4:$ACY$118,MATCH('FY-(26-27)Q3'!$G$2:$H$2,'OCT-2026'!$A$2:$CZ$2,0),0),0)</f>
        <v>-232800</v>
      </c>
      <c r="H23" s="154">
        <f>IFERROR(VLOOKUP($A$3:$A$114,'OCT-2026'!$A$4:$ACY$118,MATCH('FY-(26-27)Q3'!$G$2:$H$2,'OCT-2026'!$A$2:$CZ$2,0),0),0)</f>
        <v>-1.0121739130434784</v>
      </c>
      <c r="I23" s="152">
        <f>IFERROR(VLOOKUP($A$3:$A$114,'[1]NOV-2026'!$A$4:$ADL$124,MATCH('FY-(26-27)Q3'!$I$2:$J$2,'[1]NOV-2026'!$A$2:$DM$2,0),0),0)</f>
        <v>0</v>
      </c>
      <c r="J23" s="154">
        <f>IFERROR(VLOOKUP($A$3:$A$114,'[1]NOV-2026'!$A$4:$ADL$124,MATCH('FY-(26-27)Q3'!$I$2:$J$2,'[1]NOV-2026'!$A$2:$DM$2,0),0),0)</f>
        <v>0</v>
      </c>
      <c r="K23" s="152">
        <f>IFERROR(VLOOKUP($A$3:$A$114,'[2]DEC-2026'!$A$4:$AEE$125,MATCH('FY-(26-27)Q3'!$K$2:$L$2,'[2]DEC-2026'!$A$2:$EF$2,0),0),0)</f>
        <v>0</v>
      </c>
      <c r="L23" s="154">
        <f>IFERROR(VLOOKUP($A$3:$A$114,'[2]DEC-2026'!$A$4:$AEE$125,MATCH('FY-(26-27)Q3'!$K$2:$L$2,'[2]DEC-2026'!$A$2:$EF$2,0),0),0)</f>
        <v>0</v>
      </c>
      <c r="M23" s="71">
        <f t="shared" si="0"/>
        <v>-232800</v>
      </c>
      <c r="N23" s="165">
        <f t="shared" si="0"/>
        <v>-1.0121739130434784</v>
      </c>
    </row>
    <row r="24" spans="1:15" x14ac:dyDescent="0.25">
      <c r="A24" s="141" t="s">
        <v>302</v>
      </c>
      <c r="B24" s="140" t="s">
        <v>297</v>
      </c>
      <c r="C24" s="140" t="s">
        <v>298</v>
      </c>
      <c r="D24" s="141"/>
      <c r="E24" s="141" t="s">
        <v>256</v>
      </c>
      <c r="F24" s="155">
        <v>0.2</v>
      </c>
      <c r="G24" s="152">
        <f>IFERROR(VLOOKUP($A$3:$A$114,'OCT-2026'!$A$4:$ACY$118,MATCH('FY-(26-27)Q3'!$G$2:$H$2,'OCT-2026'!$A$2:$CZ$2,0),0),0)</f>
        <v>16957</v>
      </c>
      <c r="H24" s="154">
        <f>IFERROR(VLOOKUP($A$3:$A$114,'OCT-2026'!$A$4:$ACY$118,MATCH('FY-(26-27)Q3'!$G$2:$H$2,'OCT-2026'!$A$2:$CZ$2,0),0),0)</f>
        <v>0.84784999999999999</v>
      </c>
      <c r="I24" s="152">
        <f>IFERROR(VLOOKUP($A$3:$A$114,'[1]NOV-2026'!$A$4:$ADL$124,MATCH('FY-(26-27)Q3'!$I$2:$J$2,'[1]NOV-2026'!$A$2:$DM$2,0),0),0)</f>
        <v>0</v>
      </c>
      <c r="J24" s="154">
        <f>IFERROR(VLOOKUP($A$3:$A$114,'[1]NOV-2026'!$A$4:$ADL$124,MATCH('FY-(26-27)Q3'!$I$2:$J$2,'[1]NOV-2026'!$A$2:$DM$2,0),0),0)</f>
        <v>0</v>
      </c>
      <c r="K24" s="152">
        <f>IFERROR(VLOOKUP($A$3:$A$114,'[2]DEC-2026'!$A$4:$AEE$125,MATCH('FY-(26-27)Q3'!$K$2:$L$2,'[2]DEC-2026'!$A$2:$EF$2,0),0),0)</f>
        <v>0</v>
      </c>
      <c r="L24" s="154">
        <f>IFERROR(VLOOKUP($A$3:$A$114,'[2]DEC-2026'!$A$4:$AEE$125,MATCH('FY-(26-27)Q3'!$K$2:$L$2,'[2]DEC-2026'!$A$2:$EF$2,0),0),0)</f>
        <v>0</v>
      </c>
      <c r="M24" s="71">
        <f t="shared" si="0"/>
        <v>16957</v>
      </c>
      <c r="N24" s="165">
        <f t="shared" si="0"/>
        <v>0.84784999999999999</v>
      </c>
    </row>
    <row r="25" spans="1:15" x14ac:dyDescent="0.25">
      <c r="A25" s="141" t="s">
        <v>29</v>
      </c>
      <c r="B25" s="140" t="s">
        <v>22</v>
      </c>
      <c r="C25" s="140" t="s">
        <v>151</v>
      </c>
      <c r="D25" s="37" t="s">
        <v>5</v>
      </c>
      <c r="E25" s="37" t="s">
        <v>256</v>
      </c>
      <c r="F25" s="155">
        <v>5</v>
      </c>
      <c r="G25" s="152">
        <f>IFERROR(VLOOKUP($A$3:$A$114,'OCT-2026'!$A$4:$ACY$118,MATCH('FY-(26-27)Q3'!$G$2:$H$2,'OCT-2026'!$A$2:$CZ$2,0),0),0)</f>
        <v>-75500</v>
      </c>
      <c r="H25" s="154">
        <f>IFERROR(VLOOKUP($A$3:$A$114,'OCT-2026'!$A$4:$ACY$118,MATCH('FY-(26-27)Q3'!$G$2:$H$2,'OCT-2026'!$A$2:$CZ$2,0),0),0)</f>
        <v>-0.151</v>
      </c>
      <c r="I25" s="152">
        <f>IFERROR(VLOOKUP($A$3:$A$114,'[1]NOV-2026'!$A$4:$ADL$124,MATCH('FY-(26-27)Q3'!$I$2:$J$2,'[1]NOV-2026'!$A$2:$DM$2,0),0),0)</f>
        <v>0</v>
      </c>
      <c r="J25" s="154">
        <f>IFERROR(VLOOKUP($A$3:$A$114,'[1]NOV-2026'!$A$4:$ADL$124,MATCH('FY-(26-27)Q3'!$I$2:$J$2,'[1]NOV-2026'!$A$2:$DM$2,0),0),0)</f>
        <v>0</v>
      </c>
      <c r="K25" s="152">
        <f>IFERROR(VLOOKUP($A$3:$A$114,'[2]DEC-2026'!$A$4:$AEE$125,MATCH('FY-(26-27)Q3'!$K$2:$L$2,'[2]DEC-2026'!$A$2:$EF$2,0),0),0)</f>
        <v>0</v>
      </c>
      <c r="L25" s="154">
        <f>IFERROR(VLOOKUP($A$3:$A$114,'[2]DEC-2026'!$A$4:$AEE$125,MATCH('FY-(26-27)Q3'!$K$2:$L$2,'[2]DEC-2026'!$A$2:$EF$2,0),0),0)</f>
        <v>0</v>
      </c>
      <c r="M25" s="71">
        <f t="shared" si="0"/>
        <v>-75500</v>
      </c>
      <c r="N25" s="165">
        <f t="shared" si="0"/>
        <v>-0.151</v>
      </c>
    </row>
    <row r="26" spans="1:15" x14ac:dyDescent="0.25">
      <c r="A26" s="141" t="s">
        <v>28</v>
      </c>
      <c r="B26" s="140" t="s">
        <v>247</v>
      </c>
      <c r="C26" s="140" t="s">
        <v>121</v>
      </c>
      <c r="D26" s="37" t="s">
        <v>91</v>
      </c>
      <c r="E26" s="37" t="s">
        <v>256</v>
      </c>
      <c r="F26" s="155">
        <v>10</v>
      </c>
      <c r="G26" s="152">
        <f>IFERROR(VLOOKUP($A$3:$A$114,'OCT-2026'!$A$4:$ACY$118,MATCH('FY-(26-27)Q3'!$G$2:$H$2,'OCT-2026'!$A$2:$CZ$2,0),0),0)</f>
        <v>444299</v>
      </c>
      <c r="H26" s="154">
        <f>IFERROR(VLOOKUP($A$3:$A$114,'OCT-2026'!$A$4:$ACY$118,MATCH('FY-(26-27)Q3'!$G$2:$H$2,'OCT-2026'!$A$2:$CZ$2,0),0),0)</f>
        <v>0.444299</v>
      </c>
      <c r="I26" s="152">
        <f>IFERROR(VLOOKUP($A$3:$A$114,'[1]NOV-2026'!$A$4:$ADL$124,MATCH('FY-(26-27)Q3'!$I$2:$J$2,'[1]NOV-2026'!$A$2:$DM$2,0),0),0)</f>
        <v>0</v>
      </c>
      <c r="J26" s="154">
        <f>IFERROR(VLOOKUP($A$3:$A$114,'[1]NOV-2026'!$A$4:$ADL$124,MATCH('FY-(26-27)Q3'!$I$2:$J$2,'[1]NOV-2026'!$A$2:$DM$2,0),0),0)</f>
        <v>0</v>
      </c>
      <c r="K26" s="152">
        <f>IFERROR(VLOOKUP($A$3:$A$114,'[2]DEC-2026'!$A$4:$AEE$125,MATCH('FY-(26-27)Q3'!$K$2:$L$2,'[2]DEC-2026'!$A$2:$EF$2,0),0),0)</f>
        <v>0</v>
      </c>
      <c r="L26" s="154">
        <f>IFERROR(VLOOKUP($A$3:$A$114,'[2]DEC-2026'!$A$4:$AEE$125,MATCH('FY-(26-27)Q3'!$K$2:$L$2,'[2]DEC-2026'!$A$2:$EF$2,0),0),0)</f>
        <v>0</v>
      </c>
      <c r="M26" s="71">
        <f t="shared" si="0"/>
        <v>444299</v>
      </c>
      <c r="N26" s="165">
        <f t="shared" si="0"/>
        <v>0.444299</v>
      </c>
      <c r="O26" s="130"/>
    </row>
    <row r="27" spans="1:15" x14ac:dyDescent="0.25">
      <c r="A27" s="141" t="s">
        <v>332</v>
      </c>
      <c r="B27" s="140" t="s">
        <v>333</v>
      </c>
      <c r="C27" s="140" t="s">
        <v>231</v>
      </c>
      <c r="D27" s="42"/>
      <c r="E27" s="42" t="s">
        <v>256</v>
      </c>
      <c r="F27" s="200">
        <v>1</v>
      </c>
      <c r="G27" s="152">
        <f>IFERROR(VLOOKUP($A$3:$A$114,'OCT-2026'!$A$4:$ACY$118,MATCH('FY-(26-27)Q3'!$G$2:$H$2,'OCT-2026'!$A$2:$CZ$2,0),0),0)</f>
        <v>47470</v>
      </c>
      <c r="H27" s="154">
        <f>IFERROR(VLOOKUP($A$3:$A$114,'OCT-2026'!$A$4:$ACY$118,MATCH('FY-(26-27)Q3'!$G$2:$H$2,'OCT-2026'!$A$2:$CZ$2,0),0),0)</f>
        <v>0.94940000000000002</v>
      </c>
      <c r="I27" s="152">
        <f>IFERROR(VLOOKUP($A$3:$A$114,'[1]NOV-2026'!$A$4:$ADL$124,MATCH('FY-(26-27)Q3'!$I$2:$J$2,'[1]NOV-2026'!$A$2:$DM$2,0),0),0)</f>
        <v>0</v>
      </c>
      <c r="J27" s="154">
        <f>IFERROR(VLOOKUP($A$3:$A$114,'[1]NOV-2026'!$A$4:$ADL$124,MATCH('FY-(26-27)Q3'!$I$2:$J$2,'[1]NOV-2026'!$A$2:$DM$2,0),0),0)</f>
        <v>0</v>
      </c>
      <c r="K27" s="152">
        <f>IFERROR(VLOOKUP($A$3:$A$114,'[2]DEC-2026'!$A$4:$AEE$125,MATCH('FY-(26-27)Q3'!$K$2:$L$2,'[2]DEC-2026'!$A$2:$EF$2,0),0),0)</f>
        <v>0</v>
      </c>
      <c r="L27" s="154">
        <f>IFERROR(VLOOKUP($A$3:$A$114,'[2]DEC-2026'!$A$4:$AEE$125,MATCH('FY-(26-27)Q3'!$K$2:$L$2,'[2]DEC-2026'!$A$2:$EF$2,0),0),0)</f>
        <v>0</v>
      </c>
      <c r="M27" s="71">
        <f t="shared" ref="M27" si="1">G27+I27+K27</f>
        <v>47470</v>
      </c>
      <c r="N27" s="165">
        <f t="shared" ref="N27" si="2">H27+J27+L27</f>
        <v>0.94940000000000002</v>
      </c>
    </row>
    <row r="28" spans="1:15" x14ac:dyDescent="0.25">
      <c r="A28" s="141" t="s">
        <v>65</v>
      </c>
      <c r="B28" s="140" t="s">
        <v>64</v>
      </c>
      <c r="C28" s="140" t="s">
        <v>7</v>
      </c>
      <c r="D28" s="140" t="s">
        <v>64</v>
      </c>
      <c r="E28" s="37" t="s">
        <v>256</v>
      </c>
      <c r="F28" s="155">
        <v>5</v>
      </c>
      <c r="G28" s="152">
        <f>IFERROR(VLOOKUP($A$3:$A$114,'OCT-2026'!$A$4:$ACY$118,MATCH('FY-(26-27)Q3'!$G$2:$H$2,'OCT-2026'!$A$2:$CZ$2,0),0),0)</f>
        <v>556830</v>
      </c>
      <c r="H28" s="154">
        <f>IFERROR(VLOOKUP($A$3:$A$114,'OCT-2026'!$A$4:$ACY$118,MATCH('FY-(26-27)Q3'!$G$2:$H$2,'OCT-2026'!$A$2:$CZ$2,0),0),0)</f>
        <v>1.1136600000000001</v>
      </c>
      <c r="I28" s="152">
        <f>IFERROR(VLOOKUP($A$3:$A$114,'[1]NOV-2026'!$A$4:$ADL$124,MATCH('FY-(26-27)Q3'!$I$2:$J$2,'[1]NOV-2026'!$A$2:$DM$2,0),0),0)</f>
        <v>0</v>
      </c>
      <c r="J28" s="154">
        <f>IFERROR(VLOOKUP($A$3:$A$114,'[1]NOV-2026'!$A$4:$ADL$124,MATCH('FY-(26-27)Q3'!$I$2:$J$2,'[1]NOV-2026'!$A$2:$DM$2,0),0),0)</f>
        <v>0</v>
      </c>
      <c r="K28" s="152">
        <f>IFERROR(VLOOKUP($A$3:$A$114,'[2]DEC-2026'!$A$4:$AEE$125,MATCH('FY-(26-27)Q3'!$K$2:$L$2,'[2]DEC-2026'!$A$2:$EF$2,0),0),0)</f>
        <v>0</v>
      </c>
      <c r="L28" s="154">
        <f>IFERROR(VLOOKUP($A$3:$A$114,'[2]DEC-2026'!$A$4:$AEE$125,MATCH('FY-(26-27)Q3'!$K$2:$L$2,'[2]DEC-2026'!$A$2:$EF$2,0),0),0)</f>
        <v>0</v>
      </c>
      <c r="M28" s="71">
        <f t="shared" si="0"/>
        <v>556830</v>
      </c>
      <c r="N28" s="165">
        <f t="shared" si="0"/>
        <v>1.1136600000000001</v>
      </c>
    </row>
    <row r="29" spans="1:15" x14ac:dyDescent="0.25">
      <c r="A29" s="140" t="s">
        <v>34</v>
      </c>
      <c r="B29" s="142" t="s">
        <v>18</v>
      </c>
      <c r="C29" s="140" t="s">
        <v>10</v>
      </c>
      <c r="D29" s="142" t="s">
        <v>18</v>
      </c>
      <c r="E29" s="37" t="s">
        <v>256</v>
      </c>
      <c r="F29" s="118">
        <v>5</v>
      </c>
      <c r="G29" s="152">
        <f>IFERROR(VLOOKUP($A$3:$A$114,'OCT-2026'!$A$4:$ACY$118,MATCH('FY-(26-27)Q3'!$G$2:$H$2,'OCT-2026'!$A$2:$CZ$2,0),0),0)</f>
        <v>-5105</v>
      </c>
      <c r="H29" s="154">
        <f>IFERROR(VLOOKUP($A$3:$A$114,'OCT-2026'!$A$4:$ACY$118,MATCH('FY-(26-27)Q3'!$G$2:$H$2,'OCT-2026'!$A$2:$CZ$2,0),0),0)</f>
        <v>-1.021E-2</v>
      </c>
      <c r="I29" s="152">
        <f>IFERROR(VLOOKUP($A$3:$A$114,'[1]NOV-2026'!$A$4:$ADL$124,MATCH('FY-(26-27)Q3'!$I$2:$J$2,'[1]NOV-2026'!$A$2:$DM$2,0),0),0)</f>
        <v>0</v>
      </c>
      <c r="J29" s="154">
        <f>IFERROR(VLOOKUP($A$3:$A$114,'[1]NOV-2026'!$A$4:$ADL$124,MATCH('FY-(26-27)Q3'!$I$2:$J$2,'[1]NOV-2026'!$A$2:$DM$2,0),0),0)</f>
        <v>0</v>
      </c>
      <c r="K29" s="152">
        <f>IFERROR(VLOOKUP($A$3:$A$114,'[2]DEC-2026'!$A$4:$AEE$125,MATCH('FY-(26-27)Q3'!$K$2:$L$2,'[2]DEC-2026'!$A$2:$EF$2,0),0),0)</f>
        <v>0</v>
      </c>
      <c r="L29" s="154">
        <f>IFERROR(VLOOKUP($A$3:$A$114,'[2]DEC-2026'!$A$4:$AEE$125,MATCH('FY-(26-27)Q3'!$K$2:$L$2,'[2]DEC-2026'!$A$2:$EF$2,0),0),0)</f>
        <v>0</v>
      </c>
      <c r="M29" s="71">
        <f t="shared" si="0"/>
        <v>-5105</v>
      </c>
      <c r="N29" s="165">
        <f t="shared" si="0"/>
        <v>-1.021E-2</v>
      </c>
    </row>
    <row r="30" spans="1:15" x14ac:dyDescent="0.25">
      <c r="A30" s="140" t="s">
        <v>131</v>
      </c>
      <c r="B30" s="142" t="s">
        <v>130</v>
      </c>
      <c r="C30" s="140" t="s">
        <v>16</v>
      </c>
      <c r="D30" s="141" t="s">
        <v>262</v>
      </c>
      <c r="E30" s="37" t="s">
        <v>256</v>
      </c>
      <c r="F30" s="118">
        <v>0.5</v>
      </c>
      <c r="G30" s="152">
        <f>IFERROR(VLOOKUP($A$3:$A$114,'OCT-2026'!$A$4:$ACY$118,MATCH('FY-(26-27)Q3'!$G$2:$H$2,'OCT-2026'!$A$2:$CZ$2,0),0),0)</f>
        <v>77599</v>
      </c>
      <c r="H30" s="154">
        <f>IFERROR(VLOOKUP($A$3:$A$114,'OCT-2026'!$A$4:$ACY$118,MATCH('FY-(26-27)Q3'!$G$2:$H$2,'OCT-2026'!$A$2:$CZ$2,0),0),0)</f>
        <v>1.5519799999999999</v>
      </c>
      <c r="I30" s="152">
        <f>IFERROR(VLOOKUP($A$3:$A$114,'[1]NOV-2026'!$A$4:$ADL$124,MATCH('FY-(26-27)Q3'!$I$2:$J$2,'[1]NOV-2026'!$A$2:$DM$2,0),0),0)</f>
        <v>0</v>
      </c>
      <c r="J30" s="154">
        <f>IFERROR(VLOOKUP($A$3:$A$114,'[1]NOV-2026'!$A$4:$ADL$124,MATCH('FY-(26-27)Q3'!$I$2:$J$2,'[1]NOV-2026'!$A$2:$DM$2,0),0),0)</f>
        <v>0</v>
      </c>
      <c r="K30" s="152">
        <f>IFERROR(VLOOKUP($A$3:$A$114,'[2]DEC-2026'!$A$4:$AEE$125,MATCH('FY-(26-27)Q3'!$K$2:$L$2,'[2]DEC-2026'!$A$2:$EF$2,0),0),0)</f>
        <v>0</v>
      </c>
      <c r="L30" s="154">
        <f>IFERROR(VLOOKUP($A$3:$A$114,'[2]DEC-2026'!$A$4:$AEE$125,MATCH('FY-(26-27)Q3'!$K$2:$L$2,'[2]DEC-2026'!$A$2:$EF$2,0),0),0)</f>
        <v>0</v>
      </c>
      <c r="M30" s="71">
        <f t="shared" si="0"/>
        <v>77599</v>
      </c>
      <c r="N30" s="165">
        <f t="shared" si="0"/>
        <v>1.5519799999999999</v>
      </c>
    </row>
    <row r="31" spans="1:15" x14ac:dyDescent="0.25">
      <c r="A31" s="43" t="s">
        <v>67</v>
      </c>
      <c r="B31" s="140" t="s">
        <v>76</v>
      </c>
      <c r="C31" s="140" t="s">
        <v>60</v>
      </c>
      <c r="D31" s="37" t="s">
        <v>4</v>
      </c>
      <c r="E31" s="37" t="s">
        <v>256</v>
      </c>
      <c r="F31" s="155">
        <v>0.4</v>
      </c>
      <c r="G31" s="152">
        <f>IFERROR(VLOOKUP($A$3:$A$114,'OCT-2026'!$A$4:$ACY$118,MATCH('FY-(26-27)Q3'!$G$2:$H$2,'OCT-2026'!$A$2:$CZ$2,0),0),0)</f>
        <v>168476</v>
      </c>
      <c r="H31" s="154">
        <f>IFERROR(VLOOKUP($A$3:$A$114,'OCT-2026'!$A$4:$ACY$118,MATCH('FY-(26-27)Q3'!$G$2:$H$2,'OCT-2026'!$A$2:$CZ$2,0),0),0)</f>
        <v>4.2119</v>
      </c>
      <c r="I31" s="152">
        <f>IFERROR(VLOOKUP($A$3:$A$114,'[1]NOV-2026'!$A$4:$ADL$124,MATCH('FY-(26-27)Q3'!$I$2:$J$2,'[1]NOV-2026'!$A$2:$DM$2,0),0),0)</f>
        <v>0</v>
      </c>
      <c r="J31" s="154">
        <f>IFERROR(VLOOKUP($A$3:$A$114,'[1]NOV-2026'!$A$4:$ADL$124,MATCH('FY-(26-27)Q3'!$I$2:$J$2,'[1]NOV-2026'!$A$2:$DM$2,0),0),0)</f>
        <v>0</v>
      </c>
      <c r="K31" s="152">
        <f>IFERROR(VLOOKUP($A$3:$A$114,'[2]DEC-2026'!$A$4:$AEE$125,MATCH('FY-(26-27)Q3'!$K$2:$L$2,'[2]DEC-2026'!$A$2:$EF$2,0),0),0)</f>
        <v>0</v>
      </c>
      <c r="L31" s="154">
        <f>IFERROR(VLOOKUP($A$3:$A$114,'[2]DEC-2026'!$A$4:$AEE$125,MATCH('FY-(26-27)Q3'!$K$2:$L$2,'[2]DEC-2026'!$A$2:$EF$2,0),0),0)</f>
        <v>0</v>
      </c>
      <c r="M31" s="71">
        <f t="shared" si="0"/>
        <v>168476</v>
      </c>
      <c r="N31" s="165">
        <f t="shared" si="0"/>
        <v>4.2119</v>
      </c>
    </row>
    <row r="32" spans="1:15" x14ac:dyDescent="0.25">
      <c r="A32" s="141" t="s">
        <v>31</v>
      </c>
      <c r="B32" s="142" t="s">
        <v>153</v>
      </c>
      <c r="C32" s="141" t="s">
        <v>222</v>
      </c>
      <c r="D32" s="141" t="s">
        <v>263</v>
      </c>
      <c r="E32" s="40" t="s">
        <v>256</v>
      </c>
      <c r="F32" s="155">
        <v>4</v>
      </c>
      <c r="G32" s="152">
        <f>IFERROR(VLOOKUP($A$3:$A$114,'OCT-2026'!$A$4:$ACY$118,MATCH('FY-(26-27)Q3'!$G$2:$H$2,'OCT-2026'!$A$2:$CZ$2,0),0),0)</f>
        <v>164731</v>
      </c>
      <c r="H32" s="154">
        <f>IFERROR(VLOOKUP($A$3:$A$114,'OCT-2026'!$A$4:$ACY$118,MATCH('FY-(26-27)Q3'!$G$2:$H$2,'OCT-2026'!$A$2:$CZ$2,0),0),0)</f>
        <v>0.41182750000000001</v>
      </c>
      <c r="I32" s="152">
        <f>IFERROR(VLOOKUP($A$3:$A$114,'[1]NOV-2026'!$A$4:$ADL$124,MATCH('FY-(26-27)Q3'!$I$2:$J$2,'[1]NOV-2026'!$A$2:$DM$2,0),0),0)</f>
        <v>0</v>
      </c>
      <c r="J32" s="154">
        <f>IFERROR(VLOOKUP($A$3:$A$114,'[1]NOV-2026'!$A$4:$ADL$124,MATCH('FY-(26-27)Q3'!$I$2:$J$2,'[1]NOV-2026'!$A$2:$DM$2,0),0),0)</f>
        <v>0</v>
      </c>
      <c r="K32" s="152">
        <f>IFERROR(VLOOKUP($A$3:$A$114,'[2]DEC-2026'!$A$4:$AEE$125,MATCH('FY-(26-27)Q3'!$K$2:$L$2,'[2]DEC-2026'!$A$2:$EF$2,0),0),0)</f>
        <v>0</v>
      </c>
      <c r="L32" s="154">
        <f>IFERROR(VLOOKUP($A$3:$A$114,'[2]DEC-2026'!$A$4:$AEE$125,MATCH('FY-(26-27)Q3'!$K$2:$L$2,'[2]DEC-2026'!$A$2:$EF$2,0),0),0)</f>
        <v>0</v>
      </c>
      <c r="M32" s="71">
        <f t="shared" si="0"/>
        <v>164731</v>
      </c>
      <c r="N32" s="165">
        <f t="shared" si="0"/>
        <v>0.41182750000000001</v>
      </c>
    </row>
    <row r="33" spans="1:14" x14ac:dyDescent="0.25">
      <c r="A33" s="141" t="s">
        <v>104</v>
      </c>
      <c r="B33" s="142" t="s">
        <v>105</v>
      </c>
      <c r="C33" s="141" t="s">
        <v>315</v>
      </c>
      <c r="D33" s="141" t="s">
        <v>106</v>
      </c>
      <c r="E33" s="40" t="s">
        <v>106</v>
      </c>
      <c r="F33" s="155">
        <v>1</v>
      </c>
      <c r="G33" s="152">
        <f>IFERROR(VLOOKUP($A$3:$A$114,'OCT-2026'!$A$4:$ACY$118,MATCH('FY-(26-27)Q3'!$G$2:$H$2,'OCT-2026'!$A$2:$CZ$2,0),0),0)</f>
        <v>-30412</v>
      </c>
      <c r="H33" s="154">
        <f>IFERROR(VLOOKUP($A$3:$A$114,'OCT-2026'!$A$4:$ACY$118,MATCH('FY-(26-27)Q3'!$G$2:$H$2,'OCT-2026'!$A$2:$CZ$2,0),0),0)</f>
        <v>-0.30412</v>
      </c>
      <c r="I33" s="152">
        <f>IFERROR(VLOOKUP($A$3:$A$114,'[1]NOV-2026'!$A$4:$ADL$124,MATCH('FY-(26-27)Q3'!$I$2:$J$2,'[1]NOV-2026'!$A$2:$DM$2,0),0),0)</f>
        <v>0</v>
      </c>
      <c r="J33" s="154">
        <f>IFERROR(VLOOKUP($A$3:$A$114,'[1]NOV-2026'!$A$4:$ADL$124,MATCH('FY-(26-27)Q3'!$I$2:$J$2,'[1]NOV-2026'!$A$2:$DM$2,0),0),0)</f>
        <v>0</v>
      </c>
      <c r="K33" s="152">
        <f>IFERROR(VLOOKUP($A$3:$A$114,'[2]DEC-2026'!$A$4:$AEE$125,MATCH('FY-(26-27)Q3'!$K$2:$L$2,'[2]DEC-2026'!$A$2:$EF$2,0),0),0)</f>
        <v>0</v>
      </c>
      <c r="L33" s="154">
        <f>IFERROR(VLOOKUP($A$3:$A$114,'[2]DEC-2026'!$A$4:$AEE$125,MATCH('FY-(26-27)Q3'!$K$2:$L$2,'[2]DEC-2026'!$A$2:$EF$2,0),0),0)</f>
        <v>0</v>
      </c>
      <c r="M33" s="71">
        <f t="shared" si="0"/>
        <v>-30412</v>
      </c>
      <c r="N33" s="165">
        <f t="shared" si="0"/>
        <v>-0.30412</v>
      </c>
    </row>
    <row r="34" spans="1:14" x14ac:dyDescent="0.25">
      <c r="A34" s="141" t="s">
        <v>314</v>
      </c>
      <c r="B34" s="142" t="s">
        <v>105</v>
      </c>
      <c r="C34" s="141" t="s">
        <v>15</v>
      </c>
      <c r="D34" s="141" t="s">
        <v>256</v>
      </c>
      <c r="E34" s="141" t="s">
        <v>256</v>
      </c>
      <c r="F34" s="155"/>
      <c r="G34" s="152">
        <f>IFERROR(VLOOKUP($A$3:$A$114,'OCT-2026'!$A$4:$ACY$118,MATCH('FY-(26-27)Q3'!$G$2:$H$2,'OCT-2026'!$A$2:$CZ$2,0),0),0)</f>
        <v>0</v>
      </c>
      <c r="H34" s="154">
        <f>IFERROR(VLOOKUP($A$3:$A$114,'OCT-2026'!$A$4:$ACY$118,MATCH('FY-(26-27)Q3'!$G$2:$H$2,'OCT-2026'!$A$2:$CZ$2,0),0),0)</f>
        <v>0</v>
      </c>
      <c r="I34" s="152">
        <f>IFERROR(VLOOKUP($A$3:$A$114,'[1]NOV-2026'!$A$4:$ADL$124,MATCH('FY-(26-27)Q3'!$I$2:$J$2,'[1]NOV-2026'!$A$2:$DM$2,0),0),0)</f>
        <v>0</v>
      </c>
      <c r="J34" s="154">
        <f>IFERROR(VLOOKUP($A$3:$A$114,'[1]NOV-2026'!$A$4:$ADL$124,MATCH('FY-(26-27)Q3'!$I$2:$J$2,'[1]NOV-2026'!$A$2:$DM$2,0),0),0)</f>
        <v>0</v>
      </c>
      <c r="K34" s="152">
        <f>IFERROR(VLOOKUP($A$3:$A$114,'[2]DEC-2026'!$A$4:$AEE$125,MATCH('FY-(26-27)Q3'!$K$2:$L$2,'[2]DEC-2026'!$A$2:$EF$2,0),0),0)</f>
        <v>0</v>
      </c>
      <c r="L34" s="154">
        <f>IFERROR(VLOOKUP($A$3:$A$114,'[2]DEC-2026'!$A$4:$AEE$125,MATCH('FY-(26-27)Q3'!$K$2:$L$2,'[2]DEC-2026'!$A$2:$EF$2,0),0),0)</f>
        <v>0</v>
      </c>
      <c r="M34" s="71">
        <f t="shared" si="0"/>
        <v>0</v>
      </c>
      <c r="N34" s="165">
        <f t="shared" si="0"/>
        <v>0</v>
      </c>
    </row>
    <row r="35" spans="1:14" x14ac:dyDescent="0.25">
      <c r="A35" s="141" t="s">
        <v>229</v>
      </c>
      <c r="B35" s="142" t="s">
        <v>105</v>
      </c>
      <c r="C35" s="141" t="s">
        <v>218</v>
      </c>
      <c r="D35" s="141" t="s">
        <v>269</v>
      </c>
      <c r="E35" s="141" t="s">
        <v>256</v>
      </c>
      <c r="F35" s="155">
        <v>0.5</v>
      </c>
      <c r="G35" s="152">
        <f>IFERROR(VLOOKUP($A$3:$A$114,'OCT-2026'!$A$4:$ACY$118,MATCH('FY-(26-27)Q3'!$G$2:$H$2,'OCT-2026'!$A$2:$CZ$2,0),0),0)</f>
        <v>30173</v>
      </c>
      <c r="H35" s="154">
        <f>IFERROR(VLOOKUP($A$3:$A$114,'OCT-2026'!$A$4:$ACY$118,MATCH('FY-(26-27)Q3'!$G$2:$H$2,'OCT-2026'!$A$2:$CZ$2,0),0),0)</f>
        <v>0.60346</v>
      </c>
      <c r="I35" s="152">
        <f>IFERROR(VLOOKUP($A$3:$A$114,'[1]NOV-2026'!$A$4:$ADL$124,MATCH('FY-(26-27)Q3'!$I$2:$J$2,'[1]NOV-2026'!$A$2:$DM$2,0),0),0)</f>
        <v>0</v>
      </c>
      <c r="J35" s="154">
        <f>IFERROR(VLOOKUP($A$3:$A$114,'[1]NOV-2026'!$A$4:$ADL$124,MATCH('FY-(26-27)Q3'!$I$2:$J$2,'[1]NOV-2026'!$A$2:$DM$2,0),0),0)</f>
        <v>0</v>
      </c>
      <c r="K35" s="152">
        <f>IFERROR(VLOOKUP($A$3:$A$114,'[2]DEC-2026'!$A$4:$AEE$125,MATCH('FY-(26-27)Q3'!$K$2:$L$2,'[2]DEC-2026'!$A$2:$EF$2,0),0),0)</f>
        <v>0</v>
      </c>
      <c r="L35" s="154">
        <f>IFERROR(VLOOKUP($A$3:$A$114,'[2]DEC-2026'!$A$4:$AEE$125,MATCH('FY-(26-27)Q3'!$K$2:$L$2,'[2]DEC-2026'!$A$2:$EF$2,0),0),0)</f>
        <v>0</v>
      </c>
      <c r="M35" s="71">
        <f t="shared" si="0"/>
        <v>30173</v>
      </c>
      <c r="N35" s="165">
        <f t="shared" si="0"/>
        <v>0.60346</v>
      </c>
    </row>
    <row r="36" spans="1:14" x14ac:dyDescent="0.25">
      <c r="A36" s="141" t="s">
        <v>45</v>
      </c>
      <c r="B36" s="142" t="s">
        <v>98</v>
      </c>
      <c r="C36" s="141" t="s">
        <v>220</v>
      </c>
      <c r="D36" s="141" t="s">
        <v>265</v>
      </c>
      <c r="E36" s="60" t="s">
        <v>256</v>
      </c>
      <c r="F36" s="155">
        <v>1</v>
      </c>
      <c r="G36" s="152">
        <f>IFERROR(VLOOKUP($A$3:$A$114,'OCT-2026'!$A$4:$ACY$118,MATCH('FY-(26-27)Q3'!$G$2:$H$2,'OCT-2026'!$A$2:$CZ$2,0),0),0)</f>
        <v>406134</v>
      </c>
      <c r="H36" s="154">
        <f>IFERROR(VLOOKUP($A$3:$A$114,'OCT-2026'!$A$4:$ACY$118,MATCH('FY-(26-27)Q3'!$G$2:$H$2,'OCT-2026'!$A$2:$CZ$2,0),0),0)</f>
        <v>1.35378</v>
      </c>
      <c r="I36" s="152">
        <f>IFERROR(VLOOKUP($A$3:$A$114,'[1]NOV-2026'!$A$4:$ADL$124,MATCH('FY-(26-27)Q3'!$I$2:$J$2,'[1]NOV-2026'!$A$2:$DM$2,0),0),0)</f>
        <v>0</v>
      </c>
      <c r="J36" s="154">
        <f>IFERROR(VLOOKUP($A$3:$A$114,'[1]NOV-2026'!$A$4:$ADL$124,MATCH('FY-(26-27)Q3'!$I$2:$J$2,'[1]NOV-2026'!$A$2:$DM$2,0),0),0)</f>
        <v>0</v>
      </c>
      <c r="K36" s="152">
        <f>IFERROR(VLOOKUP($A$3:$A$114,'[2]DEC-2026'!$A$4:$AEE$125,MATCH('FY-(26-27)Q3'!$K$2:$L$2,'[2]DEC-2026'!$A$2:$EF$2,0),0),0)</f>
        <v>0</v>
      </c>
      <c r="L36" s="154">
        <f>IFERROR(VLOOKUP($A$3:$A$114,'[2]DEC-2026'!$A$4:$AEE$125,MATCH('FY-(26-27)Q3'!$K$2:$L$2,'[2]DEC-2026'!$A$2:$EF$2,0),0),0)</f>
        <v>0</v>
      </c>
      <c r="M36" s="71">
        <f t="shared" si="0"/>
        <v>406134</v>
      </c>
      <c r="N36" s="165">
        <f t="shared" si="0"/>
        <v>1.35378</v>
      </c>
    </row>
    <row r="37" spans="1:14" x14ac:dyDescent="0.25">
      <c r="A37" s="141" t="s">
        <v>292</v>
      </c>
      <c r="B37" s="142" t="s">
        <v>291</v>
      </c>
      <c r="C37" s="141" t="s">
        <v>293</v>
      </c>
      <c r="D37" s="141"/>
      <c r="E37" s="141" t="s">
        <v>256</v>
      </c>
      <c r="F37" s="155">
        <v>0.1</v>
      </c>
      <c r="G37" s="152">
        <f>IFERROR(VLOOKUP($A$3:$A$114,'OCT-2026'!$A$4:$ACY$118,MATCH('FY-(26-27)Q3'!$G$2:$H$2,'OCT-2026'!$A$2:$CZ$2,0),0),0)</f>
        <v>67502</v>
      </c>
      <c r="H37" s="154">
        <f>IFERROR(VLOOKUP($A$3:$A$114,'OCT-2026'!$A$4:$ACY$118,MATCH('FY-(26-27)Q3'!$G$2:$H$2,'OCT-2026'!$A$2:$CZ$2,0),0),0)</f>
        <v>6.7502000000000004</v>
      </c>
      <c r="I37" s="152">
        <f>IFERROR(VLOOKUP($A$3:$A$114,'[1]NOV-2026'!$A$4:$ADL$124,MATCH('FY-(26-27)Q3'!$I$2:$J$2,'[1]NOV-2026'!$A$2:$DM$2,0),0),0)</f>
        <v>0</v>
      </c>
      <c r="J37" s="154">
        <f>IFERROR(VLOOKUP($A$3:$A$114,'[1]NOV-2026'!$A$4:$ADL$124,MATCH('FY-(26-27)Q3'!$I$2:$J$2,'[1]NOV-2026'!$A$2:$DM$2,0),0),0)</f>
        <v>0</v>
      </c>
      <c r="K37" s="152">
        <f>IFERROR(VLOOKUP($A$3:$A$114,'[2]DEC-2026'!$A$4:$AEE$125,MATCH('FY-(26-27)Q3'!$K$2:$L$2,'[2]DEC-2026'!$A$2:$EF$2,0),0),0)</f>
        <v>0</v>
      </c>
      <c r="L37" s="154">
        <f>IFERROR(VLOOKUP($A$3:$A$114,'[2]DEC-2026'!$A$4:$AEE$125,MATCH('FY-(26-27)Q3'!$K$2:$L$2,'[2]DEC-2026'!$A$2:$EF$2,0),0),0)</f>
        <v>0</v>
      </c>
      <c r="M37" s="71">
        <f t="shared" si="0"/>
        <v>67502</v>
      </c>
      <c r="N37" s="165">
        <f t="shared" si="0"/>
        <v>6.7502000000000004</v>
      </c>
    </row>
    <row r="38" spans="1:14" x14ac:dyDescent="0.25">
      <c r="A38" s="141" t="s">
        <v>132</v>
      </c>
      <c r="B38" s="142" t="s">
        <v>129</v>
      </c>
      <c r="C38" s="141" t="s">
        <v>17</v>
      </c>
      <c r="D38" s="141" t="s">
        <v>267</v>
      </c>
      <c r="E38" s="37" t="s">
        <v>256</v>
      </c>
      <c r="F38" s="155">
        <v>1</v>
      </c>
      <c r="G38" s="152">
        <f>IFERROR(VLOOKUP($A$3:$A$114,'OCT-2026'!$A$4:$ACY$118,MATCH('FY-(26-27)Q3'!$G$2:$H$2,'OCT-2026'!$A$2:$CZ$2,0),0),0)</f>
        <v>42200</v>
      </c>
      <c r="H38" s="154">
        <f>IFERROR(VLOOKUP($A$3:$A$114,'OCT-2026'!$A$4:$ACY$118,MATCH('FY-(26-27)Q3'!$G$2:$H$2,'OCT-2026'!$A$2:$CZ$2,0),0),0)</f>
        <v>0.84399999999999997</v>
      </c>
      <c r="I38" s="152">
        <f>IFERROR(VLOOKUP($A$3:$A$114,'[1]NOV-2026'!$A$4:$ADL$124,MATCH('FY-(26-27)Q3'!$I$2:$J$2,'[1]NOV-2026'!$A$2:$DM$2,0),0),0)</f>
        <v>0</v>
      </c>
      <c r="J38" s="154">
        <f>IFERROR(VLOOKUP($A$3:$A$114,'[1]NOV-2026'!$A$4:$ADL$124,MATCH('FY-(26-27)Q3'!$I$2:$J$2,'[1]NOV-2026'!$A$2:$DM$2,0),0),0)</f>
        <v>0</v>
      </c>
      <c r="K38" s="152">
        <f>IFERROR(VLOOKUP($A$3:$A$114,'[2]DEC-2026'!$A$4:$AEE$125,MATCH('FY-(26-27)Q3'!$K$2:$L$2,'[2]DEC-2026'!$A$2:$EF$2,0),0),0)</f>
        <v>0</v>
      </c>
      <c r="L38" s="154">
        <f>IFERROR(VLOOKUP($A$3:$A$114,'[2]DEC-2026'!$A$4:$AEE$125,MATCH('FY-(26-27)Q3'!$K$2:$L$2,'[2]DEC-2026'!$A$2:$EF$2,0),0),0)</f>
        <v>0</v>
      </c>
      <c r="M38" s="71">
        <f t="shared" si="0"/>
        <v>42200</v>
      </c>
      <c r="N38" s="165">
        <f t="shared" si="0"/>
        <v>0.84399999999999997</v>
      </c>
    </row>
    <row r="39" spans="1:14" x14ac:dyDescent="0.25">
      <c r="A39" s="141" t="s">
        <v>48</v>
      </c>
      <c r="B39" s="140" t="s">
        <v>95</v>
      </c>
      <c r="C39" s="141" t="s">
        <v>50</v>
      </c>
      <c r="D39" s="40" t="s">
        <v>107</v>
      </c>
      <c r="E39" s="40" t="s">
        <v>107</v>
      </c>
      <c r="F39" s="118">
        <v>1</v>
      </c>
      <c r="G39" s="152">
        <f>IFERROR(VLOOKUP($A$3:$A$114,'OCT-2026'!$A$4:$ACY$118,MATCH('FY-(26-27)Q3'!$G$2:$H$2,'OCT-2026'!$A$2:$CZ$2,0),0),0)</f>
        <v>-599929</v>
      </c>
      <c r="H39" s="154">
        <f>IFERROR(VLOOKUP($A$3:$A$114,'OCT-2026'!$A$4:$ACY$118,MATCH('FY-(26-27)Q3'!$G$2:$H$2,'OCT-2026'!$A$2:$CZ$2,0),0),0)</f>
        <v>-5.9992900000000002</v>
      </c>
      <c r="I39" s="152">
        <f>IFERROR(VLOOKUP($A$3:$A$114,'[1]NOV-2026'!$A$4:$ADL$124,MATCH('FY-(26-27)Q3'!$I$2:$J$2,'[1]NOV-2026'!$A$2:$DM$2,0),0),0)</f>
        <v>0</v>
      </c>
      <c r="J39" s="154">
        <f>IFERROR(VLOOKUP($A$3:$A$114,'[1]NOV-2026'!$A$4:$ADL$124,MATCH('FY-(26-27)Q3'!$I$2:$J$2,'[1]NOV-2026'!$A$2:$DM$2,0),0),0)</f>
        <v>0</v>
      </c>
      <c r="K39" s="152">
        <f>IFERROR(VLOOKUP($A$3:$A$114,'[2]DEC-2026'!$A$4:$AEE$125,MATCH('FY-(26-27)Q3'!$K$2:$L$2,'[2]DEC-2026'!$A$2:$EF$2,0),0),0)</f>
        <v>0</v>
      </c>
      <c r="L39" s="154">
        <f>IFERROR(VLOOKUP($A$3:$A$114,'[2]DEC-2026'!$A$4:$AEE$125,MATCH('FY-(26-27)Q3'!$K$2:$L$2,'[2]DEC-2026'!$A$2:$EF$2,0),0),0)</f>
        <v>0</v>
      </c>
      <c r="M39" s="71">
        <f t="shared" si="0"/>
        <v>-599929</v>
      </c>
      <c r="N39" s="165">
        <f t="shared" si="0"/>
        <v>-5.9992900000000002</v>
      </c>
    </row>
    <row r="40" spans="1:14" x14ac:dyDescent="0.25">
      <c r="A40" s="141" t="s">
        <v>301</v>
      </c>
      <c r="B40" s="140" t="s">
        <v>295</v>
      </c>
      <c r="C40" s="162" t="s">
        <v>296</v>
      </c>
      <c r="D40" s="162"/>
      <c r="E40" s="162" t="s">
        <v>256</v>
      </c>
      <c r="F40" s="163">
        <v>0.1</v>
      </c>
      <c r="G40" s="152">
        <f>IFERROR(VLOOKUP($A$3:$A$114,'OCT-2026'!$A$4:$ACY$118,MATCH('FY-(26-27)Q3'!$G$2:$H$2,'OCT-2026'!$A$2:$CZ$2,0),0),0)</f>
        <v>9196</v>
      </c>
      <c r="H40" s="154">
        <f>IFERROR(VLOOKUP($A$3:$A$114,'OCT-2026'!$A$4:$ACY$118,MATCH('FY-(26-27)Q3'!$G$2:$H$2,'OCT-2026'!$A$2:$CZ$2,0),0),0)</f>
        <v>0.91959999999999997</v>
      </c>
      <c r="I40" s="152">
        <f>IFERROR(VLOOKUP($A$3:$A$114,'[1]NOV-2026'!$A$4:$ADL$124,MATCH('FY-(26-27)Q3'!$I$2:$J$2,'[1]NOV-2026'!$A$2:$DM$2,0),0),0)</f>
        <v>0</v>
      </c>
      <c r="J40" s="154">
        <f>IFERROR(VLOOKUP($A$3:$A$114,'[1]NOV-2026'!$A$4:$ADL$124,MATCH('FY-(26-27)Q3'!$I$2:$J$2,'[1]NOV-2026'!$A$2:$DM$2,0),0),0)</f>
        <v>0</v>
      </c>
      <c r="K40" s="152">
        <f>IFERROR(VLOOKUP($A$3:$A$114,'[2]DEC-2026'!$A$4:$AEE$125,MATCH('FY-(26-27)Q3'!$K$2:$L$2,'[2]DEC-2026'!$A$2:$EF$2,0),0),0)</f>
        <v>0</v>
      </c>
      <c r="L40" s="154">
        <f>IFERROR(VLOOKUP($A$3:$A$114,'[2]DEC-2026'!$A$4:$AEE$125,MATCH('FY-(26-27)Q3'!$K$2:$L$2,'[2]DEC-2026'!$A$2:$EF$2,0),0),0)</f>
        <v>0</v>
      </c>
      <c r="M40" s="71">
        <f t="shared" si="0"/>
        <v>9196</v>
      </c>
      <c r="N40" s="165">
        <f t="shared" si="0"/>
        <v>0.91959999999999997</v>
      </c>
    </row>
    <row r="41" spans="1:14" x14ac:dyDescent="0.25">
      <c r="A41" s="142" t="s">
        <v>33</v>
      </c>
      <c r="B41" s="140" t="s">
        <v>14</v>
      </c>
      <c r="C41" s="142" t="s">
        <v>13</v>
      </c>
      <c r="D41" s="140" t="s">
        <v>14</v>
      </c>
      <c r="E41" s="37" t="s">
        <v>256</v>
      </c>
      <c r="F41" s="118">
        <v>1</v>
      </c>
      <c r="G41" s="152">
        <f>IFERROR(VLOOKUP($A$3:$A$114,'OCT-2026'!$A$4:$ACY$118,MATCH('FY-(26-27)Q3'!$G$2:$H$2,'OCT-2026'!$A$2:$CZ$2,0),0),0)</f>
        <v>425136</v>
      </c>
      <c r="H41" s="154">
        <f>IFERROR(VLOOKUP($A$3:$A$114,'OCT-2026'!$A$4:$ACY$118,MATCH('FY-(26-27)Q3'!$G$2:$H$2,'OCT-2026'!$A$2:$CZ$2,0),0),0)</f>
        <v>1.4171199999999999</v>
      </c>
      <c r="I41" s="152">
        <f>IFERROR(VLOOKUP($A$3:$A$114,'[1]NOV-2026'!$A$4:$ADL$124,MATCH('FY-(26-27)Q3'!$I$2:$J$2,'[1]NOV-2026'!$A$2:$DM$2,0),0),0)</f>
        <v>0</v>
      </c>
      <c r="J41" s="154">
        <f>IFERROR(VLOOKUP($A$3:$A$114,'[1]NOV-2026'!$A$4:$ADL$124,MATCH('FY-(26-27)Q3'!$I$2:$J$2,'[1]NOV-2026'!$A$2:$DM$2,0),0),0)</f>
        <v>0</v>
      </c>
      <c r="K41" s="152">
        <f>IFERROR(VLOOKUP($A$3:$A$114,'[2]DEC-2026'!$A$4:$AEE$125,MATCH('FY-(26-27)Q3'!$K$2:$L$2,'[2]DEC-2026'!$A$2:$EF$2,0),0),0)</f>
        <v>0</v>
      </c>
      <c r="L41" s="154">
        <f>IFERROR(VLOOKUP($A$3:$A$114,'[2]DEC-2026'!$A$4:$AEE$125,MATCH('FY-(26-27)Q3'!$K$2:$L$2,'[2]DEC-2026'!$A$2:$EF$2,0),0),0)</f>
        <v>0</v>
      </c>
      <c r="M41" s="71">
        <f t="shared" si="0"/>
        <v>425136</v>
      </c>
      <c r="N41" s="165">
        <f t="shared" si="0"/>
        <v>1.4171199999999999</v>
      </c>
    </row>
    <row r="42" spans="1:14" x14ac:dyDescent="0.25">
      <c r="A42" s="141" t="s">
        <v>201</v>
      </c>
      <c r="B42" s="140" t="s">
        <v>169</v>
      </c>
      <c r="C42" s="142"/>
      <c r="D42" s="62"/>
      <c r="E42" s="60"/>
      <c r="F42" s="114">
        <v>1</v>
      </c>
      <c r="G42" s="152">
        <f>IFERROR(VLOOKUP($A$3:$A$114,'OCT-2026'!$A$4:$ACY$118,MATCH('FY-(26-27)Q3'!$G$2:$H$2,'OCT-2026'!$A$2:$CZ$2,0),0),0)</f>
        <v>0</v>
      </c>
      <c r="H42" s="154">
        <f>IFERROR(VLOOKUP($A$3:$A$114,'OCT-2026'!$A$4:$ACY$118,MATCH('FY-(26-27)Q3'!$G$2:$H$2,'OCT-2026'!$A$2:$CZ$2,0),0),0)</f>
        <v>0</v>
      </c>
      <c r="I42" s="152">
        <f>IFERROR(VLOOKUP($A$3:$A$114,'[1]NOV-2026'!$A$4:$ADL$124,MATCH('FY-(26-27)Q3'!$I$2:$J$2,'[1]NOV-2026'!$A$2:$DM$2,0),0),0)</f>
        <v>0</v>
      </c>
      <c r="J42" s="154">
        <f>IFERROR(VLOOKUP($A$3:$A$114,'[1]NOV-2026'!$A$4:$ADL$124,MATCH('FY-(26-27)Q3'!$I$2:$J$2,'[1]NOV-2026'!$A$2:$DM$2,0),0),0)</f>
        <v>0</v>
      </c>
      <c r="K42" s="152">
        <f>IFERROR(VLOOKUP($A$3:$A$114,'[2]DEC-2026'!$A$4:$AEE$125,MATCH('FY-(26-27)Q3'!$K$2:$L$2,'[2]DEC-2026'!$A$2:$EF$2,0),0),0)</f>
        <v>0</v>
      </c>
      <c r="L42" s="154">
        <f>IFERROR(VLOOKUP($A$3:$A$114,'[2]DEC-2026'!$A$4:$AEE$125,MATCH('FY-(26-27)Q3'!$K$2:$L$2,'[2]DEC-2026'!$A$2:$EF$2,0),0),0)</f>
        <v>0</v>
      </c>
      <c r="M42" s="71">
        <f t="shared" si="0"/>
        <v>0</v>
      </c>
      <c r="N42" s="165">
        <f t="shared" si="0"/>
        <v>0</v>
      </c>
    </row>
    <row r="43" spans="1:14" x14ac:dyDescent="0.25">
      <c r="A43" s="142" t="s">
        <v>168</v>
      </c>
      <c r="B43" s="140" t="s">
        <v>169</v>
      </c>
      <c r="C43" s="132" t="s">
        <v>255</v>
      </c>
      <c r="D43" s="162" t="s">
        <v>253</v>
      </c>
      <c r="E43" s="162" t="s">
        <v>253</v>
      </c>
      <c r="F43" s="114">
        <v>4</v>
      </c>
      <c r="G43" s="152">
        <f>IFERROR(VLOOKUP($A$3:$A$114,'OCT-2026'!$A$4:$ACY$118,MATCH('FY-(26-27)Q3'!$G$2:$H$2,'OCT-2026'!$A$2:$CZ$2,0),0),0)</f>
        <v>55020</v>
      </c>
      <c r="H43" s="154">
        <f>IFERROR(VLOOKUP($A$3:$A$114,'OCT-2026'!$A$4:$ACY$118,MATCH('FY-(26-27)Q3'!$G$2:$H$2,'OCT-2026'!$A$2:$CZ$2,0),0),0)</f>
        <v>0.13755000000000001</v>
      </c>
      <c r="I43" s="152">
        <f>IFERROR(VLOOKUP($A$3:$A$114,'[1]NOV-2026'!$A$4:$ADL$124,MATCH('FY-(26-27)Q3'!$I$2:$J$2,'[1]NOV-2026'!$A$2:$DM$2,0),0),0)</f>
        <v>0</v>
      </c>
      <c r="J43" s="154">
        <f>IFERROR(VLOOKUP($A$3:$A$114,'[1]NOV-2026'!$A$4:$ADL$124,MATCH('FY-(26-27)Q3'!$I$2:$J$2,'[1]NOV-2026'!$A$2:$DM$2,0),0),0)</f>
        <v>0</v>
      </c>
      <c r="K43" s="152">
        <f>IFERROR(VLOOKUP($A$3:$A$114,'[2]DEC-2026'!$A$4:$AEE$125,MATCH('FY-(26-27)Q3'!$K$2:$L$2,'[2]DEC-2026'!$A$2:$EF$2,0),0),0)</f>
        <v>0</v>
      </c>
      <c r="L43" s="154">
        <f>IFERROR(VLOOKUP($A$3:$A$114,'[2]DEC-2026'!$A$4:$AEE$125,MATCH('FY-(26-27)Q3'!$K$2:$L$2,'[2]DEC-2026'!$A$2:$EF$2,0),0),0)</f>
        <v>0</v>
      </c>
      <c r="M43" s="71">
        <f t="shared" si="0"/>
        <v>55020</v>
      </c>
      <c r="N43" s="165">
        <f t="shared" si="0"/>
        <v>0.13755000000000001</v>
      </c>
    </row>
    <row r="44" spans="1:14" x14ac:dyDescent="0.25">
      <c r="A44" s="142" t="s">
        <v>202</v>
      </c>
      <c r="B44" s="140" t="s">
        <v>169</v>
      </c>
      <c r="C44" s="59" t="s">
        <v>255</v>
      </c>
      <c r="D44" s="162" t="s">
        <v>116</v>
      </c>
      <c r="E44" s="162" t="s">
        <v>256</v>
      </c>
      <c r="F44" s="114">
        <v>4</v>
      </c>
      <c r="G44" s="152">
        <f>IFERROR(VLOOKUP($A$3:$A$114,'OCT-2026'!$A$4:$ACY$118,MATCH('FY-(26-27)Q3'!$G$2:$H$2,'OCT-2026'!$A$2:$CZ$2,0),0),0)</f>
        <v>58900</v>
      </c>
      <c r="H44" s="154">
        <f>IFERROR(VLOOKUP($A$3:$A$114,'OCT-2026'!$A$4:$ACY$118,MATCH('FY-(26-27)Q3'!$G$2:$H$2,'OCT-2026'!$A$2:$CZ$2,0),0),0)</f>
        <v>0.14724999999999999</v>
      </c>
      <c r="I44" s="152">
        <f>IFERROR(VLOOKUP($A$3:$A$114,'[1]NOV-2026'!$A$4:$ADL$124,MATCH('FY-(26-27)Q3'!$I$2:$J$2,'[1]NOV-2026'!$A$2:$DM$2,0),0),0)</f>
        <v>0</v>
      </c>
      <c r="J44" s="154">
        <f>IFERROR(VLOOKUP($A$3:$A$114,'[1]NOV-2026'!$A$4:$ADL$124,MATCH('FY-(26-27)Q3'!$I$2:$J$2,'[1]NOV-2026'!$A$2:$DM$2,0),0),0)</f>
        <v>0</v>
      </c>
      <c r="K44" s="152">
        <f>IFERROR(VLOOKUP($A$3:$A$114,'[2]DEC-2026'!$A$4:$AEE$125,MATCH('FY-(26-27)Q3'!$K$2:$L$2,'[2]DEC-2026'!$A$2:$EF$2,0),0),0)</f>
        <v>0</v>
      </c>
      <c r="L44" s="154">
        <f>IFERROR(VLOOKUP($A$3:$A$114,'[2]DEC-2026'!$A$4:$AEE$125,MATCH('FY-(26-27)Q3'!$K$2:$L$2,'[2]DEC-2026'!$A$2:$EF$2,0),0),0)</f>
        <v>0</v>
      </c>
      <c r="M44" s="71">
        <f t="shared" si="0"/>
        <v>58900</v>
      </c>
      <c r="N44" s="165">
        <f t="shared" si="0"/>
        <v>0.14724999999999999</v>
      </c>
    </row>
    <row r="45" spans="1:14" x14ac:dyDescent="0.25">
      <c r="A45" s="59" t="s">
        <v>306</v>
      </c>
      <c r="B45" s="62" t="s">
        <v>304</v>
      </c>
      <c r="C45" s="59" t="s">
        <v>128</v>
      </c>
      <c r="D45" s="140"/>
      <c r="E45" s="140" t="s">
        <v>256</v>
      </c>
      <c r="F45" s="114">
        <v>0.1</v>
      </c>
      <c r="G45" s="152">
        <f>IFERROR(VLOOKUP($A$3:$A$114,'OCT-2026'!$A$4:$ACY$118,MATCH('FY-(26-27)Q3'!$G$2:$H$2,'OCT-2026'!$A$2:$CZ$2,0),0),0)</f>
        <v>-558950</v>
      </c>
      <c r="H45" s="154">
        <f>IFERROR(VLOOKUP($A$3:$A$114,'OCT-2026'!$A$4:$ACY$118,MATCH('FY-(26-27)Q3'!$G$2:$H$2,'OCT-2026'!$A$2:$CZ$2,0),0),0)</f>
        <v>-0.55894999999999995</v>
      </c>
      <c r="I45" s="152">
        <f>IFERROR(VLOOKUP($A$3:$A$114,'[1]NOV-2026'!$A$4:$ADL$124,MATCH('FY-(26-27)Q3'!$I$2:$J$2,'[1]NOV-2026'!$A$2:$DM$2,0),0),0)</f>
        <v>0</v>
      </c>
      <c r="J45" s="154">
        <f>IFERROR(VLOOKUP($A$3:$A$114,'[1]NOV-2026'!$A$4:$ADL$124,MATCH('FY-(26-27)Q3'!$I$2:$J$2,'[1]NOV-2026'!$A$2:$DM$2,0),0),0)</f>
        <v>0</v>
      </c>
      <c r="K45" s="152">
        <f>IFERROR(VLOOKUP($A$3:$A$114,'[2]DEC-2026'!$A$4:$AEE$125,MATCH('FY-(26-27)Q3'!$K$2:$L$2,'[2]DEC-2026'!$A$2:$EF$2,0),0),0)</f>
        <v>0</v>
      </c>
      <c r="L45" s="154">
        <f>IFERROR(VLOOKUP($A$3:$A$114,'[2]DEC-2026'!$A$4:$AEE$125,MATCH('FY-(26-27)Q3'!$K$2:$L$2,'[2]DEC-2026'!$A$2:$EF$2,0),0),0)</f>
        <v>0</v>
      </c>
      <c r="M45" s="71">
        <f t="shared" si="0"/>
        <v>-558950</v>
      </c>
      <c r="N45" s="165">
        <f t="shared" si="0"/>
        <v>-0.55894999999999995</v>
      </c>
    </row>
    <row r="46" spans="1:14" x14ac:dyDescent="0.25">
      <c r="A46" s="59"/>
      <c r="B46" s="62" t="s">
        <v>304</v>
      </c>
      <c r="C46" s="59" t="s">
        <v>274</v>
      </c>
      <c r="D46" s="140"/>
      <c r="E46" s="140" t="s">
        <v>256</v>
      </c>
      <c r="F46" s="114"/>
      <c r="G46" s="152">
        <f>IFERROR(VLOOKUP($A$3:$A$114,'OCT-2026'!$A$4:$ACY$118,MATCH('FY-(26-27)Q3'!$G$2:$H$2,'OCT-2026'!$A$2:$CZ$2,0),0),0)</f>
        <v>0</v>
      </c>
      <c r="H46" s="154">
        <f>IFERROR(VLOOKUP($A$3:$A$114,'OCT-2026'!$A$4:$ACY$118,MATCH('FY-(26-27)Q3'!$G$2:$H$2,'OCT-2026'!$A$2:$CZ$2,0),0),0)</f>
        <v>0</v>
      </c>
      <c r="I46" s="152">
        <f>IFERROR(VLOOKUP($A$3:$A$114,'[1]NOV-2026'!$A$4:$ADL$124,MATCH('FY-(26-27)Q3'!$I$2:$J$2,'[1]NOV-2026'!$A$2:$DM$2,0),0),0)</f>
        <v>0</v>
      </c>
      <c r="J46" s="154">
        <f>IFERROR(VLOOKUP($A$3:$A$114,'[1]NOV-2026'!$A$4:$ADL$124,MATCH('FY-(26-27)Q3'!$I$2:$J$2,'[1]NOV-2026'!$A$2:$DM$2,0),0),0)</f>
        <v>0</v>
      </c>
      <c r="K46" s="152">
        <f>IFERROR(VLOOKUP($A$3:$A$114,'[2]DEC-2026'!$A$4:$AEE$125,MATCH('FY-(26-27)Q3'!$K$2:$L$2,'[2]DEC-2026'!$A$2:$EF$2,0),0),0)</f>
        <v>0</v>
      </c>
      <c r="L46" s="154">
        <f>IFERROR(VLOOKUP($A$3:$A$114,'[2]DEC-2026'!$A$4:$AEE$125,MATCH('FY-(26-27)Q3'!$K$2:$L$2,'[2]DEC-2026'!$A$2:$EF$2,0),0),0)</f>
        <v>0</v>
      </c>
      <c r="M46" s="71">
        <f t="shared" si="0"/>
        <v>0</v>
      </c>
      <c r="N46" s="165">
        <f t="shared" si="0"/>
        <v>0</v>
      </c>
    </row>
    <row r="47" spans="1:14" x14ac:dyDescent="0.25">
      <c r="A47" s="59" t="s">
        <v>197</v>
      </c>
      <c r="B47" s="62" t="s">
        <v>195</v>
      </c>
      <c r="C47" s="59" t="s">
        <v>196</v>
      </c>
      <c r="D47" s="62" t="s">
        <v>195</v>
      </c>
      <c r="E47" s="162" t="s">
        <v>256</v>
      </c>
      <c r="F47" s="114">
        <v>0.5</v>
      </c>
      <c r="G47" s="152">
        <f>IFERROR(VLOOKUP($A$3:$A$114,'OCT-2026'!$A$4:$ACY$118,MATCH('FY-(26-27)Q3'!$G$2:$H$2,'OCT-2026'!$A$2:$CZ$2,0),0),0)</f>
        <v>48546</v>
      </c>
      <c r="H47" s="154">
        <f>IFERROR(VLOOKUP($A$3:$A$114,'OCT-2026'!$A$4:$ACY$118,MATCH('FY-(26-27)Q3'!$G$2:$H$2,'OCT-2026'!$A$2:$CZ$2,0),0),0)</f>
        <v>0.97092000000000001</v>
      </c>
      <c r="I47" s="152">
        <f>IFERROR(VLOOKUP($A$3:$A$114,'[1]NOV-2026'!$A$4:$ADL$124,MATCH('FY-(26-27)Q3'!$I$2:$J$2,'[1]NOV-2026'!$A$2:$DM$2,0),0),0)</f>
        <v>0</v>
      </c>
      <c r="J47" s="154">
        <f>IFERROR(VLOOKUP($A$3:$A$114,'[1]NOV-2026'!$A$4:$ADL$124,MATCH('FY-(26-27)Q3'!$I$2:$J$2,'[1]NOV-2026'!$A$2:$DM$2,0),0),0)</f>
        <v>0</v>
      </c>
      <c r="K47" s="152">
        <f>IFERROR(VLOOKUP($A$3:$A$114,'[2]DEC-2026'!$A$4:$AEE$125,MATCH('FY-(26-27)Q3'!$K$2:$L$2,'[2]DEC-2026'!$A$2:$EF$2,0),0),0)</f>
        <v>0</v>
      </c>
      <c r="L47" s="154">
        <f>IFERROR(VLOOKUP($A$3:$A$114,'[2]DEC-2026'!$A$4:$AEE$125,MATCH('FY-(26-27)Q3'!$K$2:$L$2,'[2]DEC-2026'!$A$2:$EF$2,0),0),0)</f>
        <v>0</v>
      </c>
      <c r="M47" s="71">
        <f t="shared" si="0"/>
        <v>48546</v>
      </c>
      <c r="N47" s="165">
        <f t="shared" si="0"/>
        <v>0.97092000000000001</v>
      </c>
    </row>
    <row r="48" spans="1:14" x14ac:dyDescent="0.25">
      <c r="A48" s="59" t="s">
        <v>213</v>
      </c>
      <c r="B48" s="62" t="s">
        <v>209</v>
      </c>
      <c r="C48" s="59" t="s">
        <v>210</v>
      </c>
      <c r="D48" s="62" t="s">
        <v>209</v>
      </c>
      <c r="E48" s="162" t="s">
        <v>256</v>
      </c>
      <c r="F48" s="114">
        <v>5</v>
      </c>
      <c r="G48" s="152">
        <f>IFERROR(VLOOKUP($A$3:$A$114,'OCT-2026'!$A$4:$ACY$118,MATCH('FY-(26-27)Q3'!$G$2:$H$2,'OCT-2026'!$A$2:$CZ$2,0),0),0)</f>
        <v>359896</v>
      </c>
      <c r="H48" s="154">
        <f>IFERROR(VLOOKUP($A$3:$A$114,'OCT-2026'!$A$4:$ACY$118,MATCH('FY-(26-27)Q3'!$G$2:$H$2,'OCT-2026'!$A$2:$CZ$2,0),0),0)</f>
        <v>0.55368615384615383</v>
      </c>
      <c r="I48" s="152">
        <f>IFERROR(VLOOKUP($A$3:$A$114,'[1]NOV-2026'!$A$4:$ADL$124,MATCH('FY-(26-27)Q3'!$I$2:$J$2,'[1]NOV-2026'!$A$2:$DM$2,0),0),0)</f>
        <v>0</v>
      </c>
      <c r="J48" s="154">
        <f>IFERROR(VLOOKUP($A$3:$A$114,'[1]NOV-2026'!$A$4:$ADL$124,MATCH('FY-(26-27)Q3'!$I$2:$J$2,'[1]NOV-2026'!$A$2:$DM$2,0),0),0)</f>
        <v>0</v>
      </c>
      <c r="K48" s="152">
        <f>IFERROR(VLOOKUP($A$3:$A$114,'[2]DEC-2026'!$A$4:$AEE$125,MATCH('FY-(26-27)Q3'!$K$2:$L$2,'[2]DEC-2026'!$A$2:$EF$2,0),0),0)</f>
        <v>0</v>
      </c>
      <c r="L48" s="154">
        <f>IFERROR(VLOOKUP($A$3:$A$114,'[2]DEC-2026'!$A$4:$AEE$125,MATCH('FY-(26-27)Q3'!$K$2:$L$2,'[2]DEC-2026'!$A$2:$EF$2,0),0),0)</f>
        <v>0</v>
      </c>
      <c r="M48" s="71">
        <f t="shared" si="0"/>
        <v>359896</v>
      </c>
      <c r="N48" s="165">
        <f t="shared" si="0"/>
        <v>0.55368615384615383</v>
      </c>
    </row>
    <row r="49" spans="1:14" x14ac:dyDescent="0.25">
      <c r="A49" s="59" t="s">
        <v>214</v>
      </c>
      <c r="B49" s="62" t="s">
        <v>209</v>
      </c>
      <c r="C49" s="59" t="s">
        <v>211</v>
      </c>
      <c r="D49" s="62" t="s">
        <v>209</v>
      </c>
      <c r="E49" s="162" t="s">
        <v>256</v>
      </c>
      <c r="F49" s="114">
        <v>1</v>
      </c>
      <c r="G49" s="152">
        <f>IFERROR(VLOOKUP($A$3:$A$114,'OCT-2026'!$A$4:$ACY$118,MATCH('FY-(26-27)Q3'!$G$2:$H$2,'OCT-2026'!$A$2:$CZ$2,0),0),0)</f>
        <v>0</v>
      </c>
      <c r="H49" s="154">
        <f>IFERROR(VLOOKUP($A$3:$A$114,'OCT-2026'!$A$4:$ACY$118,MATCH('FY-(26-27)Q3'!$G$2:$H$2,'OCT-2026'!$A$2:$CZ$2,0),0),0)</f>
        <v>0</v>
      </c>
      <c r="I49" s="152">
        <f>IFERROR(VLOOKUP($A$3:$A$114,'[1]NOV-2026'!$A$4:$ADL$124,MATCH('FY-(26-27)Q3'!$I$2:$J$2,'[1]NOV-2026'!$A$2:$DM$2,0),0),0)</f>
        <v>0</v>
      </c>
      <c r="J49" s="154">
        <f>IFERROR(VLOOKUP($A$3:$A$114,'[1]NOV-2026'!$A$4:$ADL$124,MATCH('FY-(26-27)Q3'!$I$2:$J$2,'[1]NOV-2026'!$A$2:$DM$2,0),0),0)</f>
        <v>0</v>
      </c>
      <c r="K49" s="152">
        <f>IFERROR(VLOOKUP($A$3:$A$114,'[2]DEC-2026'!$A$4:$AEE$125,MATCH('FY-(26-27)Q3'!$K$2:$L$2,'[2]DEC-2026'!$A$2:$EF$2,0),0),0)</f>
        <v>0</v>
      </c>
      <c r="L49" s="154">
        <f>IFERROR(VLOOKUP($A$3:$A$114,'[2]DEC-2026'!$A$4:$AEE$125,MATCH('FY-(26-27)Q3'!$K$2:$L$2,'[2]DEC-2026'!$A$2:$EF$2,0),0),0)</f>
        <v>0</v>
      </c>
      <c r="M49" s="71">
        <f t="shared" si="0"/>
        <v>0</v>
      </c>
      <c r="N49" s="165">
        <f t="shared" si="0"/>
        <v>0</v>
      </c>
    </row>
    <row r="50" spans="1:14" x14ac:dyDescent="0.25">
      <c r="A50" s="59" t="s">
        <v>49</v>
      </c>
      <c r="B50" s="59" t="s">
        <v>99</v>
      </c>
      <c r="C50" s="59" t="s">
        <v>100</v>
      </c>
      <c r="D50" s="59" t="s">
        <v>99</v>
      </c>
      <c r="E50" s="59" t="s">
        <v>256</v>
      </c>
      <c r="F50" s="114">
        <v>2.5</v>
      </c>
      <c r="G50" s="152">
        <f>IFERROR(VLOOKUP($A$3:$A$114,'OCT-2026'!$A$4:$ACY$118,MATCH('FY-(26-27)Q3'!$G$2:$H$2,'OCT-2026'!$A$2:$CZ$2,0),0),0)</f>
        <v>114987</v>
      </c>
      <c r="H50" s="154">
        <f>IFERROR(VLOOKUP($A$3:$A$114,'OCT-2026'!$A$4:$ACY$118,MATCH('FY-(26-27)Q3'!$G$2:$H$2,'OCT-2026'!$A$2:$CZ$2,0),0),0)</f>
        <v>0.38329000000000002</v>
      </c>
      <c r="I50" s="152">
        <f>IFERROR(VLOOKUP($A$3:$A$114,'[1]NOV-2026'!$A$4:$ADL$124,MATCH('FY-(26-27)Q3'!$I$2:$J$2,'[1]NOV-2026'!$A$2:$DM$2,0),0),0)</f>
        <v>0</v>
      </c>
      <c r="J50" s="154">
        <f>IFERROR(VLOOKUP($A$3:$A$114,'[1]NOV-2026'!$A$4:$ADL$124,MATCH('FY-(26-27)Q3'!$I$2:$J$2,'[1]NOV-2026'!$A$2:$DM$2,0),0),0)</f>
        <v>0</v>
      </c>
      <c r="K50" s="152">
        <f>IFERROR(VLOOKUP($A$3:$A$114,'[2]DEC-2026'!$A$4:$AEE$125,MATCH('FY-(26-27)Q3'!$K$2:$L$2,'[2]DEC-2026'!$A$2:$EF$2,0),0),0)</f>
        <v>0</v>
      </c>
      <c r="L50" s="154">
        <f>IFERROR(VLOOKUP($A$3:$A$114,'[2]DEC-2026'!$A$4:$AEE$125,MATCH('FY-(26-27)Q3'!$K$2:$L$2,'[2]DEC-2026'!$A$2:$EF$2,0),0),0)</f>
        <v>0</v>
      </c>
      <c r="M50" s="71">
        <f t="shared" si="0"/>
        <v>114987</v>
      </c>
      <c r="N50" s="165">
        <f t="shared" si="0"/>
        <v>0.38329000000000002</v>
      </c>
    </row>
    <row r="51" spans="1:14" x14ac:dyDescent="0.25">
      <c r="A51" s="59" t="s">
        <v>300</v>
      </c>
      <c r="B51" s="59" t="s">
        <v>286</v>
      </c>
      <c r="C51" s="59" t="s">
        <v>324</v>
      </c>
      <c r="D51" s="59" t="s">
        <v>286</v>
      </c>
      <c r="E51" s="59" t="s">
        <v>256</v>
      </c>
      <c r="F51" s="114">
        <v>0.25</v>
      </c>
      <c r="G51" s="152">
        <f>IFERROR(VLOOKUP($A$3:$A$114,'OCT-2026'!$A$4:$ACY$118,MATCH('FY-(26-27)Q3'!$G$2:$H$2,'OCT-2026'!$A$2:$CZ$2,0),0),0)</f>
        <v>0</v>
      </c>
      <c r="H51" s="154">
        <f>IFERROR(VLOOKUP($A$3:$A$114,'OCT-2026'!$A$4:$ACY$118,MATCH('FY-(26-27)Q3'!$G$2:$H$2,'OCT-2026'!$A$2:$CZ$2,0),0),0)</f>
        <v>0</v>
      </c>
      <c r="I51" s="152">
        <f>IFERROR(VLOOKUP($A$3:$A$114,'[1]NOV-2026'!$A$4:$ADL$124,MATCH('FY-(26-27)Q3'!$I$2:$J$2,'[1]NOV-2026'!$A$2:$DM$2,0),0),0)</f>
        <v>0</v>
      </c>
      <c r="J51" s="154">
        <f>IFERROR(VLOOKUP($A$3:$A$114,'[1]NOV-2026'!$A$4:$ADL$124,MATCH('FY-(26-27)Q3'!$I$2:$J$2,'[1]NOV-2026'!$A$2:$DM$2,0),0),0)</f>
        <v>0</v>
      </c>
      <c r="K51" s="152">
        <f>IFERROR(VLOOKUP($A$3:$A$114,'[2]DEC-2026'!$A$4:$AEE$125,MATCH('FY-(26-27)Q3'!$K$2:$L$2,'[2]DEC-2026'!$A$2:$EF$2,0),0),0)</f>
        <v>0</v>
      </c>
      <c r="L51" s="154">
        <f>IFERROR(VLOOKUP($A$3:$A$114,'[2]DEC-2026'!$A$4:$AEE$125,MATCH('FY-(26-27)Q3'!$K$2:$L$2,'[2]DEC-2026'!$A$2:$EF$2,0),0),0)</f>
        <v>0</v>
      </c>
      <c r="M51" s="71">
        <f t="shared" ref="M51:N52" si="3">G51+I51+K51</f>
        <v>0</v>
      </c>
      <c r="N51" s="165">
        <f t="shared" si="3"/>
        <v>0</v>
      </c>
    </row>
    <row r="52" spans="1:14" x14ac:dyDescent="0.25">
      <c r="A52" s="59" t="s">
        <v>288</v>
      </c>
      <c r="B52" s="59" t="s">
        <v>286</v>
      </c>
      <c r="C52" s="59" t="s">
        <v>285</v>
      </c>
      <c r="D52" s="59" t="s">
        <v>286</v>
      </c>
      <c r="E52" s="59" t="s">
        <v>287</v>
      </c>
      <c r="F52" s="114">
        <v>5</v>
      </c>
      <c r="G52" s="152">
        <f>IFERROR(VLOOKUP($A$3:$A$114,'OCT-2026'!$A$4:$ACY$118,MATCH('FY-(26-27)Q3'!$G$2:$H$2,'OCT-2026'!$A$2:$CZ$2,0),0),0)</f>
        <v>368941</v>
      </c>
      <c r="H52" s="154">
        <f>IFERROR(VLOOKUP($A$3:$A$114,'OCT-2026'!$A$4:$ACY$118,MATCH('FY-(26-27)Q3'!$G$2:$H$2,'OCT-2026'!$A$2:$CZ$2,0),0),0)</f>
        <v>0.73788200000000004</v>
      </c>
      <c r="I52" s="152">
        <f>IFERROR(VLOOKUP($A$3:$A$114,'[1]NOV-2026'!$A$4:$ADL$124,MATCH('FY-(26-27)Q3'!$I$2:$J$2,'[1]NOV-2026'!$A$2:$DM$2,0),0),0)</f>
        <v>0</v>
      </c>
      <c r="J52" s="154">
        <f>IFERROR(VLOOKUP($A$3:$A$114,'[1]NOV-2026'!$A$4:$ADL$124,MATCH('FY-(26-27)Q3'!$I$2:$J$2,'[1]NOV-2026'!$A$2:$DM$2,0),0),0)</f>
        <v>0</v>
      </c>
      <c r="K52" s="152">
        <f>IFERROR(VLOOKUP($A$3:$A$114,'[2]DEC-2026'!$A$4:$AEE$125,MATCH('FY-(26-27)Q3'!$K$2:$L$2,'[2]DEC-2026'!$A$2:$EF$2,0),0),0)</f>
        <v>0</v>
      </c>
      <c r="L52" s="154">
        <f>IFERROR(VLOOKUP($A$3:$A$114,'[2]DEC-2026'!$A$4:$AEE$125,MATCH('FY-(26-27)Q3'!$K$2:$L$2,'[2]DEC-2026'!$A$2:$EF$2,0),0),0)</f>
        <v>0</v>
      </c>
      <c r="M52" s="71">
        <f t="shared" si="3"/>
        <v>368941</v>
      </c>
      <c r="N52" s="165">
        <f t="shared" si="3"/>
        <v>0.73788200000000004</v>
      </c>
    </row>
    <row r="53" spans="1:14" x14ac:dyDescent="0.25">
      <c r="A53" s="186"/>
      <c r="B53" s="231"/>
      <c r="C53" s="186"/>
      <c r="D53" s="232"/>
      <c r="E53" s="232"/>
      <c r="F53" s="233"/>
      <c r="G53" s="230">
        <f>SUM(G4:G50)</f>
        <v>2661991</v>
      </c>
      <c r="H53" s="90"/>
      <c r="I53" s="99">
        <f>SUM(I4:I50)</f>
        <v>0</v>
      </c>
      <c r="J53" s="100"/>
      <c r="K53" s="109">
        <f>SUM(K4:K50)</f>
        <v>0</v>
      </c>
      <c r="L53" s="109"/>
      <c r="M53" s="153">
        <f>SUM(M4:M50)</f>
        <v>2661991</v>
      </c>
      <c r="N53" s="234"/>
    </row>
    <row r="54" spans="1:14" ht="15.75" thickBot="1" x14ac:dyDescent="0.3">
      <c r="G54" s="91"/>
      <c r="H54" s="92"/>
      <c r="I54" s="101"/>
      <c r="J54" s="102"/>
      <c r="K54" s="110"/>
      <c r="L54" s="111"/>
      <c r="M54" s="111"/>
      <c r="N54" s="111"/>
    </row>
    <row r="55" spans="1:14" ht="15.75" x14ac:dyDescent="0.25">
      <c r="G55" s="84" t="s">
        <v>149</v>
      </c>
      <c r="H55" s="85" t="s">
        <v>150</v>
      </c>
      <c r="I55" s="95" t="s">
        <v>159</v>
      </c>
      <c r="J55" s="96" t="s">
        <v>160</v>
      </c>
      <c r="K55" s="105" t="s">
        <v>161</v>
      </c>
      <c r="L55" s="106" t="s">
        <v>162</v>
      </c>
      <c r="M55" s="126" t="s">
        <v>101</v>
      </c>
      <c r="N55" s="68" t="s">
        <v>127</v>
      </c>
    </row>
    <row r="56" spans="1:14" ht="15.75" x14ac:dyDescent="0.25">
      <c r="G56" s="222"/>
      <c r="H56" s="223"/>
      <c r="I56" s="224"/>
      <c r="J56" s="225"/>
      <c r="K56" s="226"/>
      <c r="L56" s="227"/>
      <c r="M56" s="228"/>
      <c r="N56" s="229"/>
    </row>
    <row r="57" spans="1:14" x14ac:dyDescent="0.25">
      <c r="A57" s="79" t="s">
        <v>241</v>
      </c>
      <c r="B57" s="140" t="s">
        <v>240</v>
      </c>
      <c r="C57" s="140" t="s">
        <v>57</v>
      </c>
      <c r="D57" s="140"/>
      <c r="E57" s="208"/>
      <c r="F57" s="206"/>
      <c r="G57" s="152">
        <f>IFERROR(VLOOKUP($A$3:$A$114,'OCT-2026'!$A$4:$ACY$118,MATCH('FY-(26-27)Q3'!$G$2:$H$2,'OCT-2026'!$A$2:$CZ$2,0),0),0)</f>
        <v>302353</v>
      </c>
      <c r="H57" s="154">
        <f>IFERROR(VLOOKUP($A$3:$A$114,'OCT-2026'!$A$4:$ACY$118,MATCH('FY-(26-27)Q3'!$G$2:$H$2,'OCT-2026'!$A$2:$CZ$2,0),0),0)</f>
        <v>1.0078433333333332</v>
      </c>
      <c r="I57" s="152">
        <f>IFERROR(VLOOKUP($A$3:$A$114,'[1]NOV-2026'!$A$4:$ADL$124,MATCH('FY-(26-27)Q3'!$I$2:$J$2,'[1]NOV-2026'!$A$2:$DM$2,0),0),0)</f>
        <v>0</v>
      </c>
      <c r="J57" s="154">
        <f>IFERROR(VLOOKUP($A$3:$A$114,'[1]NOV-2026'!$A$4:$ADL$124,MATCH('FY-(26-27)Q3'!$I$2:$J$2,'[1]NOV-2026'!$A$2:$DM$2,0),0),0)</f>
        <v>0</v>
      </c>
      <c r="K57" s="152">
        <f>IFERROR(VLOOKUP($A$3:$A$114,'[2]DEC-2026'!$A$4:$AEE$125,MATCH('FY-(26-27)Q3'!$K$2:$L$2,'[2]DEC-2026'!$A$2:$EF$2,0),0),0)</f>
        <v>0</v>
      </c>
      <c r="L57" s="154">
        <f>IFERROR(VLOOKUP($A$3:$A$114,'[2]DEC-2026'!$A$4:$AEE$125,MATCH('FY-(26-27)Q3'!$K$2:$L$2,'[2]DEC-2026'!$A$2:$EF$2,0),0),0)</f>
        <v>0</v>
      </c>
      <c r="M57" s="152">
        <f t="shared" ref="M57:N58" si="4">G57+I57+K57</f>
        <v>302353</v>
      </c>
      <c r="N57" s="166">
        <f t="shared" si="4"/>
        <v>1.0078433333333332</v>
      </c>
    </row>
    <row r="58" spans="1:14" x14ac:dyDescent="0.25">
      <c r="A58" s="201" t="s">
        <v>273</v>
      </c>
      <c r="B58" s="202" t="s">
        <v>272</v>
      </c>
      <c r="C58" s="202" t="s">
        <v>57</v>
      </c>
      <c r="D58" s="202" t="s">
        <v>87</v>
      </c>
      <c r="E58" s="202" t="s">
        <v>256</v>
      </c>
      <c r="F58" s="237"/>
      <c r="G58" s="152">
        <f>IFERROR(VLOOKUP($A$3:$A$114,'OCT-2026'!$A$4:$ACY$118,MATCH('FY-(26-27)Q3'!$G$2:$H$2,'OCT-2026'!$A$2:$CZ$2,0),0),0)</f>
        <v>86700</v>
      </c>
      <c r="H58" s="154">
        <f>IFERROR(VLOOKUP($A$3:$A$114,'OCT-2026'!$A$4:$ACY$118,MATCH('FY-(26-27)Q3'!$G$2:$H$2,'OCT-2026'!$A$2:$CZ$2,0),0),0)</f>
        <v>0</v>
      </c>
      <c r="I58" s="152">
        <f>IFERROR(VLOOKUP($A$3:$A$114,'[1]NOV-2026'!$A$4:$ADL$124,MATCH('FY-(26-27)Q3'!$I$2:$J$2,'[1]NOV-2026'!$A$2:$DM$2,0),0),0)</f>
        <v>0</v>
      </c>
      <c r="J58" s="154">
        <f>IFERROR(VLOOKUP($A$3:$A$114,'[1]NOV-2026'!$A$4:$ADL$124,MATCH('FY-(26-27)Q3'!$I$2:$J$2,'[1]NOV-2026'!$A$2:$DM$2,0),0),0)</f>
        <v>0</v>
      </c>
      <c r="K58" s="152">
        <f>IFERROR(VLOOKUP($A$3:$A$114,'[2]DEC-2026'!$A$4:$AEE$125,MATCH('FY-(26-27)Q3'!$K$2:$L$2,'[2]DEC-2026'!$A$2:$EF$2,0),0),0)</f>
        <v>0</v>
      </c>
      <c r="L58" s="154">
        <f>IFERROR(VLOOKUP($A$3:$A$114,'[2]DEC-2026'!$A$4:$AEE$125,MATCH('FY-(26-27)Q3'!$K$2:$L$2,'[2]DEC-2026'!$A$2:$EF$2,0),0),0)</f>
        <v>0</v>
      </c>
      <c r="M58" s="152">
        <f t="shared" si="4"/>
        <v>86700</v>
      </c>
      <c r="N58" s="166">
        <f t="shared" si="4"/>
        <v>0</v>
      </c>
    </row>
    <row r="59" spans="1:14" ht="15.75" thickBot="1" x14ac:dyDescent="0.3">
      <c r="G59" s="93">
        <f>SUM(G57:G58)</f>
        <v>389053</v>
      </c>
      <c r="H59" s="94"/>
      <c r="I59" s="93">
        <f>SUM(I57:I58)</f>
        <v>0</v>
      </c>
      <c r="J59" s="104"/>
      <c r="K59" s="93">
        <f>SUM(K57:K58)</f>
        <v>0</v>
      </c>
      <c r="L59" s="113"/>
      <c r="M59" s="93">
        <f>SUM(M57:M58)</f>
        <v>389053</v>
      </c>
      <c r="N59" s="235"/>
    </row>
  </sheetData>
  <conditionalFormatting sqref="A36:C36 A10:C10 A3:F3 L2:L3 A32:C32 A5 F10 F33:F34 F36 A50:C50 E32:F32 A39:F39 A21 A31:F31 A44:F44 F48:F50 E50 G53:N54 A22:F23 A53:E53 C42:F42 M21:N23 A25:F26 A41:F41 F45:F46 M25:N26 M10:N11 C5:F5 M43:N45 A16:F17 M16:N18 M57:N58 G59:N59 M5:N8 A6:F6 A28:F29 D27:F27 M28:N33 M35:N41 A13:F14 M13:N14 G4:L26 M47:N51 G28:L52">
    <cfRule type="expression" dxfId="539" priority="104">
      <formula>MOD(ROW(),2)=0</formula>
    </cfRule>
  </conditionalFormatting>
  <conditionalFormatting sqref="G2:I3">
    <cfRule type="expression" dxfId="538" priority="103">
      <formula>MOD(ROW(),2)=0</formula>
    </cfRule>
  </conditionalFormatting>
  <conditionalFormatting sqref="J2:J3">
    <cfRule type="expression" dxfId="537" priority="102">
      <formula>MOD(ROW(),2)=0</formula>
    </cfRule>
  </conditionalFormatting>
  <conditionalFormatting sqref="K2:K3">
    <cfRule type="expression" dxfId="536" priority="101">
      <formula>MOD(ROW(),2)=0</formula>
    </cfRule>
  </conditionalFormatting>
  <conditionalFormatting sqref="A33:C33 E33 A34">
    <cfRule type="expression" dxfId="535" priority="100">
      <formula>MOD(ROW(),2)=0</formula>
    </cfRule>
  </conditionalFormatting>
  <conditionalFormatting sqref="E36">
    <cfRule type="expression" dxfId="534" priority="99">
      <formula>MOD(ROW(),2)=0</formula>
    </cfRule>
  </conditionalFormatting>
  <conditionalFormatting sqref="A18:F18">
    <cfRule type="expression" dxfId="533" priority="98">
      <formula>MOD(ROW(),2)=0</formula>
    </cfRule>
  </conditionalFormatting>
  <conditionalFormatting sqref="M22:N22">
    <cfRule type="expression" dxfId="532" priority="94">
      <formula>MOD(ROW(),2)=0</formula>
    </cfRule>
  </conditionalFormatting>
  <conditionalFormatting sqref="A11:C11 E11:F11">
    <cfRule type="expression" dxfId="531" priority="96">
      <formula>MOD(ROW(),2)=0</formula>
    </cfRule>
  </conditionalFormatting>
  <conditionalFormatting sqref="N22">
    <cfRule type="expression" dxfId="530" priority="95">
      <formula>MOD(ROW(),2)=0</formula>
    </cfRule>
  </conditionalFormatting>
  <conditionalFormatting sqref="M11:N11">
    <cfRule type="expression" dxfId="529" priority="92">
      <formula>MOD(ROW(),2)=0</formula>
    </cfRule>
  </conditionalFormatting>
  <conditionalFormatting sqref="B21:C21 E21:F21">
    <cfRule type="expression" dxfId="528" priority="91">
      <formula>MOD(ROW(),2)=0</formula>
    </cfRule>
  </conditionalFormatting>
  <conditionalFormatting sqref="N11">
    <cfRule type="expression" dxfId="527" priority="93">
      <formula>MOD(ROW(),2)=0</formula>
    </cfRule>
  </conditionalFormatting>
  <conditionalFormatting sqref="A7:C7 E7:F7 A8:F8 A9:B9 D9:F9">
    <cfRule type="expression" dxfId="526" priority="90">
      <formula>MOD(ROW(),2)=0</formula>
    </cfRule>
  </conditionalFormatting>
  <conditionalFormatting sqref="N7:N8">
    <cfRule type="expression" dxfId="525" priority="89">
      <formula>MOD(ROW(),2)=0</formula>
    </cfRule>
  </conditionalFormatting>
  <conditionalFormatting sqref="M7:N8">
    <cfRule type="expression" dxfId="524" priority="88">
      <formula>MOD(ROW(),2)=0</formula>
    </cfRule>
  </conditionalFormatting>
  <conditionalFormatting sqref="A30:C30 E30:F30">
    <cfRule type="expression" dxfId="523" priority="87">
      <formula>MOD(ROW(),2)=0</formula>
    </cfRule>
  </conditionalFormatting>
  <conditionalFormatting sqref="M30:N30">
    <cfRule type="expression" dxfId="522" priority="85">
      <formula>MOD(ROW(),2)=0</formula>
    </cfRule>
  </conditionalFormatting>
  <conditionalFormatting sqref="N30">
    <cfRule type="expression" dxfId="521" priority="86">
      <formula>MOD(ROW(),2)=0</formula>
    </cfRule>
  </conditionalFormatting>
  <conditionalFormatting sqref="A38:C38 E38:F38">
    <cfRule type="expression" dxfId="520" priority="84">
      <formula>MOD(ROW(),2)=0</formula>
    </cfRule>
  </conditionalFormatting>
  <conditionalFormatting sqref="N21">
    <cfRule type="expression" dxfId="519" priority="83">
      <formula>MOD(ROW(),2)=0</formula>
    </cfRule>
  </conditionalFormatting>
  <conditionalFormatting sqref="M21:N21">
    <cfRule type="expression" dxfId="518" priority="82">
      <formula>MOD(ROW(),2)=0</formula>
    </cfRule>
  </conditionalFormatting>
  <conditionalFormatting sqref="A47:C47 E47:F47">
    <cfRule type="expression" dxfId="517" priority="81">
      <formula>MOD(ROW(),2)=0</formula>
    </cfRule>
  </conditionalFormatting>
  <conditionalFormatting sqref="L55:L56">
    <cfRule type="expression" dxfId="516" priority="80">
      <formula>MOD(ROW(),2)=0</formula>
    </cfRule>
  </conditionalFormatting>
  <conditionalFormatting sqref="G55:I56">
    <cfRule type="expression" dxfId="515" priority="79">
      <formula>MOD(ROW(),2)=0</formula>
    </cfRule>
  </conditionalFormatting>
  <conditionalFormatting sqref="J55:J56">
    <cfRule type="expression" dxfId="514" priority="78">
      <formula>MOD(ROW(),2)=0</formula>
    </cfRule>
  </conditionalFormatting>
  <conditionalFormatting sqref="K55:K56">
    <cfRule type="expression" dxfId="513" priority="77">
      <formula>MOD(ROW(),2)=0</formula>
    </cfRule>
  </conditionalFormatting>
  <conditionalFormatting sqref="D10:E10">
    <cfRule type="expression" dxfId="512" priority="73">
      <formula>MOD(ROW(),2)=0</formula>
    </cfRule>
  </conditionalFormatting>
  <conditionalFormatting sqref="A48:C49 E48:E49">
    <cfRule type="expression" dxfId="511" priority="72">
      <formula>MOD(ROW(),2)=0</formula>
    </cfRule>
  </conditionalFormatting>
  <conditionalFormatting sqref="M48:N49">
    <cfRule type="expression" dxfId="510" priority="71">
      <formula>MOD(ROW(),2)=0</formula>
    </cfRule>
  </conditionalFormatting>
  <conditionalFormatting sqref="A43:B43">
    <cfRule type="expression" dxfId="509" priority="69">
      <formula>MOD(ROW(),2)=0</formula>
    </cfRule>
  </conditionalFormatting>
  <conditionalFormatting sqref="A4:C4 E4:F4">
    <cfRule type="expression" dxfId="508" priority="68">
      <formula>MOD(ROW(),2)=0</formula>
    </cfRule>
  </conditionalFormatting>
  <conditionalFormatting sqref="M4:N4">
    <cfRule type="expression" dxfId="507" priority="67">
      <formula>MOD(ROW(),2)=0</formula>
    </cfRule>
  </conditionalFormatting>
  <conditionalFormatting sqref="M4:N4">
    <cfRule type="expression" dxfId="506" priority="65">
      <formula>MOD(ROW(),2)=0</formula>
    </cfRule>
  </conditionalFormatting>
  <conditionalFormatting sqref="N4">
    <cfRule type="expression" dxfId="505" priority="66">
      <formula>MOD(ROW(),2)=0</formula>
    </cfRule>
  </conditionalFormatting>
  <conditionalFormatting sqref="A35:C35 E35:F35">
    <cfRule type="expression" dxfId="504" priority="64">
      <formula>MOD(ROW(),2)=0</formula>
    </cfRule>
  </conditionalFormatting>
  <conditionalFormatting sqref="A57:F57 F58">
    <cfRule type="expression" dxfId="503" priority="63">
      <formula>MOD(ROW(),2)=0</formula>
    </cfRule>
  </conditionalFormatting>
  <conditionalFormatting sqref="A12:F12">
    <cfRule type="expression" dxfId="502" priority="62">
      <formula>MOD(ROW(),2)=0</formula>
    </cfRule>
  </conditionalFormatting>
  <conditionalFormatting sqref="M12:N12">
    <cfRule type="expression" dxfId="501" priority="61">
      <formula>MOD(ROW(),2)=0</formula>
    </cfRule>
  </conditionalFormatting>
  <conditionalFormatting sqref="M12:N12">
    <cfRule type="expression" dxfId="500" priority="59">
      <formula>MOD(ROW(),2)=0</formula>
    </cfRule>
  </conditionalFormatting>
  <conditionalFormatting sqref="N12">
    <cfRule type="expression" dxfId="499" priority="60">
      <formula>MOD(ROW(),2)=0</formula>
    </cfRule>
  </conditionalFormatting>
  <conditionalFormatting sqref="F43">
    <cfRule type="expression" dxfId="498" priority="58">
      <formula>MOD(ROW(),2)=0</formula>
    </cfRule>
  </conditionalFormatting>
  <conditionalFormatting sqref="D43:E43">
    <cfRule type="expression" dxfId="497" priority="57">
      <formula>MOD(ROW(),2)=0</formula>
    </cfRule>
  </conditionalFormatting>
  <conditionalFormatting sqref="D7">
    <cfRule type="expression" dxfId="496" priority="56">
      <formula>MOD(ROW(),2)=0</formula>
    </cfRule>
  </conditionalFormatting>
  <conditionalFormatting sqref="D4">
    <cfRule type="expression" dxfId="495" priority="55">
      <formula>MOD(ROW(),2)=0</formula>
    </cfRule>
  </conditionalFormatting>
  <conditionalFormatting sqref="D11">
    <cfRule type="expression" dxfId="494" priority="54">
      <formula>MOD(ROW(),2)=0</formula>
    </cfRule>
  </conditionalFormatting>
  <conditionalFormatting sqref="D21">
    <cfRule type="expression" dxfId="493" priority="53">
      <formula>MOD(ROW(),2)=0</formula>
    </cfRule>
  </conditionalFormatting>
  <conditionalFormatting sqref="D48:D49">
    <cfRule type="expression" dxfId="492" priority="43">
      <formula>MOD(ROW(),2)=0</formula>
    </cfRule>
  </conditionalFormatting>
  <conditionalFormatting sqref="D30">
    <cfRule type="expression" dxfId="491" priority="52">
      <formula>MOD(ROW(),2)=0</formula>
    </cfRule>
  </conditionalFormatting>
  <conditionalFormatting sqref="D33 D35">
    <cfRule type="expression" dxfId="490" priority="51">
      <formula>MOD(ROW(),2)=0</formula>
    </cfRule>
  </conditionalFormatting>
  <conditionalFormatting sqref="D32">
    <cfRule type="expression" dxfId="489" priority="50">
      <formula>MOD(ROW(),2)=0</formula>
    </cfRule>
  </conditionalFormatting>
  <conditionalFormatting sqref="D36">
    <cfRule type="expression" dxfId="488" priority="49">
      <formula>MOD(ROW(),2)=0</formula>
    </cfRule>
  </conditionalFormatting>
  <conditionalFormatting sqref="D38">
    <cfRule type="expression" dxfId="487" priority="46">
      <formula>MOD(ROW(),2)=0</formula>
    </cfRule>
  </conditionalFormatting>
  <conditionalFormatting sqref="D50">
    <cfRule type="expression" dxfId="486" priority="45">
      <formula>MOD(ROW(),2)=0</formula>
    </cfRule>
  </conditionalFormatting>
  <conditionalFormatting sqref="D47">
    <cfRule type="expression" dxfId="485" priority="44">
      <formula>MOD(ROW(),2)=0</formula>
    </cfRule>
  </conditionalFormatting>
  <conditionalFormatting sqref="A52:C52 E52:F52">
    <cfRule type="expression" dxfId="484" priority="38">
      <formula>MOD(ROW(),2)=0</formula>
    </cfRule>
  </conditionalFormatting>
  <conditionalFormatting sqref="M52:N52">
    <cfRule type="expression" dxfId="483" priority="37">
      <formula>MOD(ROW(),2)=0</formula>
    </cfRule>
  </conditionalFormatting>
  <conditionalFormatting sqref="A42:B42">
    <cfRule type="expression" dxfId="482" priority="36">
      <formula>MOD(ROW(),2)=0</formula>
    </cfRule>
  </conditionalFormatting>
  <conditionalFormatting sqref="M42:N42">
    <cfRule type="expression" dxfId="481" priority="35">
      <formula>MOD(ROW(),2)=0</formula>
    </cfRule>
  </conditionalFormatting>
  <conditionalFormatting sqref="A37:F37">
    <cfRule type="expression" dxfId="480" priority="32">
      <formula>MOD(ROW(),2)=0</formula>
    </cfRule>
  </conditionalFormatting>
  <conditionalFormatting sqref="A15:F15">
    <cfRule type="expression" dxfId="479" priority="31">
      <formula>MOD(ROW(),2)=0</formula>
    </cfRule>
  </conditionalFormatting>
  <conditionalFormatting sqref="M15:N15">
    <cfRule type="expression" dxfId="478" priority="30">
      <formula>MOD(ROW(),2)=0</formula>
    </cfRule>
  </conditionalFormatting>
  <conditionalFormatting sqref="B20:F20 C19:F19">
    <cfRule type="expression" dxfId="477" priority="29">
      <formula>MOD(ROW(),2)=0</formula>
    </cfRule>
  </conditionalFormatting>
  <conditionalFormatting sqref="M19:N20">
    <cfRule type="expression" dxfId="476" priority="28">
      <formula>MOD(ROW(),2)=0</formula>
    </cfRule>
  </conditionalFormatting>
  <conditionalFormatting sqref="M24:N24">
    <cfRule type="expression" dxfId="475" priority="24">
      <formula>MOD(ROW(),2)=0</formula>
    </cfRule>
  </conditionalFormatting>
  <conditionalFormatting sqref="A24:F24">
    <cfRule type="expression" dxfId="474" priority="27">
      <formula>MOD(ROW(),2)=0</formula>
    </cfRule>
  </conditionalFormatting>
  <conditionalFormatting sqref="A40:F40">
    <cfRule type="expression" dxfId="473" priority="26">
      <formula>MOD(ROW(),2)=0</formula>
    </cfRule>
  </conditionalFormatting>
  <conditionalFormatting sqref="A51:C51 E51:F51">
    <cfRule type="expression" dxfId="472" priority="25">
      <formula>MOD(ROW(),2)=0</formula>
    </cfRule>
  </conditionalFormatting>
  <conditionalFormatting sqref="A58:E58">
    <cfRule type="expression" dxfId="471" priority="23">
      <formula>MOD(ROW(),2)=0</formula>
    </cfRule>
  </conditionalFormatting>
  <conditionalFormatting sqref="A45:E45 A46">
    <cfRule type="expression" dxfId="470" priority="22">
      <formula>MOD(ROW(),2)=0</formula>
    </cfRule>
  </conditionalFormatting>
  <conditionalFormatting sqref="B46:E46">
    <cfRule type="expression" dxfId="469" priority="19">
      <formula>MOD(ROW(),2)=0</formula>
    </cfRule>
  </conditionalFormatting>
  <conditionalFormatting sqref="B5">
    <cfRule type="expression" dxfId="468" priority="18">
      <formula>MOD(ROW(),2)=0</formula>
    </cfRule>
  </conditionalFormatting>
  <conditionalFormatting sqref="C9">
    <cfRule type="expression" dxfId="467" priority="17">
      <formula>MOD(ROW(),2)=0</formula>
    </cfRule>
  </conditionalFormatting>
  <conditionalFormatting sqref="M9:N9">
    <cfRule type="expression" dxfId="466" priority="16">
      <formula>MOD(ROW(),2)=0</formula>
    </cfRule>
  </conditionalFormatting>
  <conditionalFormatting sqref="N9">
    <cfRule type="expression" dxfId="465" priority="15">
      <formula>MOD(ROW(),2)=0</formula>
    </cfRule>
  </conditionalFormatting>
  <conditionalFormatting sqref="M9:N9">
    <cfRule type="expression" dxfId="464" priority="14">
      <formula>MOD(ROW(),2)=0</formula>
    </cfRule>
  </conditionalFormatting>
  <conditionalFormatting sqref="B34">
    <cfRule type="expression" dxfId="463" priority="13">
      <formula>MOD(ROW(),2)=0</formula>
    </cfRule>
  </conditionalFormatting>
  <conditionalFormatting sqref="C34">
    <cfRule type="expression" dxfId="462" priority="12">
      <formula>MOD(ROW(),2)=0</formula>
    </cfRule>
  </conditionalFormatting>
  <conditionalFormatting sqref="D34:E34">
    <cfRule type="expression" dxfId="461" priority="11">
      <formula>MOD(ROW(),2)=0</formula>
    </cfRule>
  </conditionalFormatting>
  <conditionalFormatting sqref="M34:N34">
    <cfRule type="expression" dxfId="460" priority="10">
      <formula>MOD(ROW(),2)=0</formula>
    </cfRule>
  </conditionalFormatting>
  <conditionalFormatting sqref="B19">
    <cfRule type="expression" dxfId="459" priority="9">
      <formula>MOD(ROW(),2)=0</formula>
    </cfRule>
  </conditionalFormatting>
  <conditionalFormatting sqref="A19:A20">
    <cfRule type="expression" dxfId="458" priority="8">
      <formula>MOD(ROW(),2)=0</formula>
    </cfRule>
  </conditionalFormatting>
  <conditionalFormatting sqref="M46:N46">
    <cfRule type="expression" dxfId="457" priority="7">
      <formula>MOD(ROW(),2)=0</formula>
    </cfRule>
  </conditionalFormatting>
  <conditionalFormatting sqref="G57:L58">
    <cfRule type="expression" dxfId="456" priority="5">
      <formula>MOD(ROW(),2)=0</formula>
    </cfRule>
  </conditionalFormatting>
  <conditionalFormatting sqref="D52">
    <cfRule type="expression" dxfId="455" priority="4">
      <formula>MOD(ROW(),2)=0</formula>
    </cfRule>
  </conditionalFormatting>
  <conditionalFormatting sqref="D51">
    <cfRule type="expression" dxfId="454" priority="3">
      <formula>MOD(ROW(),2)=0</formula>
    </cfRule>
  </conditionalFormatting>
  <conditionalFormatting sqref="A27:C27">
    <cfRule type="expression" dxfId="453" priority="2">
      <formula>MOD(ROW(),2)=0</formula>
    </cfRule>
  </conditionalFormatting>
  <conditionalFormatting sqref="G27:N27">
    <cfRule type="expression" dxfId="452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51" priority="21">
      <formula>MOD(ROW(),2)=0</formula>
    </cfRule>
  </conditionalFormatting>
  <conditionalFormatting sqref="AD36">
    <cfRule type="expression" dxfId="450" priority="20">
      <formula>MOD(ROW(),2)=0</formula>
    </cfRule>
  </conditionalFormatting>
  <conditionalFormatting sqref="AD39:AD40">
    <cfRule type="expression" dxfId="449" priority="19">
      <formula>MOD(ROW(),2)=0</formula>
    </cfRule>
  </conditionalFormatting>
  <conditionalFormatting sqref="AC4:AD4">
    <cfRule type="expression" dxfId="448" priority="18">
      <formula>MOD(ROW(),2)=0</formula>
    </cfRule>
  </conditionalFormatting>
  <conditionalFormatting sqref="AD38">
    <cfRule type="expression" dxfId="447" priority="17">
      <formula>MOD(ROW(),2)=0</formula>
    </cfRule>
  </conditionalFormatting>
  <conditionalFormatting sqref="AD22">
    <cfRule type="expression" dxfId="446" priority="14">
      <formula>MOD(ROW(),2)=0</formula>
    </cfRule>
  </conditionalFormatting>
  <conditionalFormatting sqref="AC57">
    <cfRule type="expression" dxfId="445" priority="13">
      <formula>MOD(ROW(),2)=0</formula>
    </cfRule>
  </conditionalFormatting>
  <conditionalFormatting sqref="AD41">
    <cfRule type="expression" dxfId="444" priority="12">
      <formula>MOD(ROW(),2)=0</formula>
    </cfRule>
  </conditionalFormatting>
  <conditionalFormatting sqref="AC26:AD26">
    <cfRule type="expression" dxfId="443" priority="11">
      <formula>MOD(ROW(),2)=0</formula>
    </cfRule>
  </conditionalFormatting>
  <conditionalFormatting sqref="AC54:AD55">
    <cfRule type="expression" dxfId="442" priority="10">
      <formula>MOD(ROW(),2)=0</formula>
    </cfRule>
  </conditionalFormatting>
  <conditionalFormatting sqref="AC44:AD44">
    <cfRule type="expression" dxfId="441" priority="9">
      <formula>MOD(ROW(),2)=0</formula>
    </cfRule>
  </conditionalFormatting>
  <conditionalFormatting sqref="AC61">
    <cfRule type="expression" dxfId="440" priority="8">
      <formula>MOD(ROW(),2)=0</formula>
    </cfRule>
  </conditionalFormatting>
  <conditionalFormatting sqref="AC42:AD42">
    <cfRule type="expression" dxfId="439" priority="6">
      <formula>MOD(ROW(),2)=0</formula>
    </cfRule>
  </conditionalFormatting>
  <conditionalFormatting sqref="AC23">
    <cfRule type="expression" dxfId="438" priority="5">
      <formula>MOD(ROW(),2)=0</formula>
    </cfRule>
  </conditionalFormatting>
  <conditionalFormatting sqref="AD23">
    <cfRule type="expression" dxfId="437" priority="4">
      <formula>MOD(ROW(),2)=0</formula>
    </cfRule>
  </conditionalFormatting>
  <conditionalFormatting sqref="AD37">
    <cfRule type="expression" dxfId="436" priority="2">
      <formula>MOD(ROW(),2)=0</formula>
    </cfRule>
  </conditionalFormatting>
  <conditionalFormatting sqref="A40:F40">
    <cfRule type="expression" dxfId="435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4" priority="22">
      <formula>MOD(ROW(),2)=0</formula>
    </cfRule>
  </conditionalFormatting>
  <conditionalFormatting sqref="AD43">
    <cfRule type="expression" dxfId="433" priority="21">
      <formula>MOD(ROW(),2)=0</formula>
    </cfRule>
  </conditionalFormatting>
  <conditionalFormatting sqref="AD46">
    <cfRule type="expression" dxfId="432" priority="20">
      <formula>MOD(ROW(),2)=0</formula>
    </cfRule>
  </conditionalFormatting>
  <conditionalFormatting sqref="AC4:AD4">
    <cfRule type="expression" dxfId="431" priority="19">
      <formula>MOD(ROW(),2)=0</formula>
    </cfRule>
  </conditionalFormatting>
  <conditionalFormatting sqref="AD45">
    <cfRule type="expression" dxfId="430" priority="18">
      <formula>MOD(ROW(),2)=0</formula>
    </cfRule>
  </conditionalFormatting>
  <conditionalFormatting sqref="AD20">
    <cfRule type="expression" dxfId="429" priority="17">
      <formula>MOD(ROW(),2)=0</formula>
    </cfRule>
  </conditionalFormatting>
  <conditionalFormatting sqref="AD54">
    <cfRule type="expression" dxfId="428" priority="16">
      <formula>MOD(ROW(),2)=0</formula>
    </cfRule>
  </conditionalFormatting>
  <conditionalFormatting sqref="AD24">
    <cfRule type="expression" dxfId="427" priority="15">
      <formula>MOD(ROW(),2)=0</formula>
    </cfRule>
  </conditionalFormatting>
  <conditionalFormatting sqref="AC68">
    <cfRule type="expression" dxfId="426" priority="14">
      <formula>MOD(ROW(),2)=0</formula>
    </cfRule>
  </conditionalFormatting>
  <conditionalFormatting sqref="AD49">
    <cfRule type="expression" dxfId="425" priority="13">
      <formula>MOD(ROW(),2)=0</formula>
    </cfRule>
  </conditionalFormatting>
  <conditionalFormatting sqref="AC28:AD28">
    <cfRule type="expression" dxfId="424" priority="12">
      <formula>MOD(ROW(),2)=0</formula>
    </cfRule>
  </conditionalFormatting>
  <conditionalFormatting sqref="AC65:AD65">
    <cfRule type="expression" dxfId="423" priority="11">
      <formula>MOD(ROW(),2)=0</formula>
    </cfRule>
  </conditionalFormatting>
  <conditionalFormatting sqref="AC53:AD53">
    <cfRule type="expression" dxfId="422" priority="10">
      <formula>MOD(ROW(),2)=0</formula>
    </cfRule>
  </conditionalFormatting>
  <conditionalFormatting sqref="AC73">
    <cfRule type="expression" dxfId="421" priority="9">
      <formula>MOD(ROW(),2)=0</formula>
    </cfRule>
  </conditionalFormatting>
  <conditionalFormatting sqref="H68:AB68">
    <cfRule type="expression" dxfId="420" priority="8">
      <formula>MOD(ROW(),2)=0</formula>
    </cfRule>
  </conditionalFormatting>
  <conditionalFormatting sqref="AC51:AD51">
    <cfRule type="expression" dxfId="419" priority="7">
      <formula>MOD(ROW(),2)=0</formula>
    </cfRule>
  </conditionalFormatting>
  <conditionalFormatting sqref="AC25">
    <cfRule type="expression" dxfId="418" priority="6">
      <formula>MOD(ROW(),2)=0</formula>
    </cfRule>
  </conditionalFormatting>
  <conditionalFormatting sqref="AD25">
    <cfRule type="expression" dxfId="417" priority="5">
      <formula>MOD(ROW(),2)=0</formula>
    </cfRule>
  </conditionalFormatting>
  <conditionalFormatting sqref="T44:AC44">
    <cfRule type="expression" dxfId="416" priority="4">
      <formula>MOD(ROW(),2)=0</formula>
    </cfRule>
  </conditionalFormatting>
  <conditionalFormatting sqref="AD44">
    <cfRule type="expression" dxfId="415" priority="3">
      <formula>MOD(ROW(),2)=0</formula>
    </cfRule>
  </conditionalFormatting>
  <conditionalFormatting sqref="A23:A25">
    <cfRule type="expression" dxfId="414" priority="2">
      <formula>MOD(ROW(),2)=0</formula>
    </cfRule>
  </conditionalFormatting>
  <conditionalFormatting sqref="A51">
    <cfRule type="expression" dxfId="413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2" priority="20">
      <formula>MOD(ROW(),2)=0</formula>
    </cfRule>
  </conditionalFormatting>
  <conditionalFormatting sqref="AF40">
    <cfRule type="expression" dxfId="411" priority="19">
      <formula>MOD(ROW(),2)=0</formula>
    </cfRule>
  </conditionalFormatting>
  <conditionalFormatting sqref="AF42">
    <cfRule type="expression" dxfId="410" priority="18">
      <formula>MOD(ROW(),2)=0</formula>
    </cfRule>
  </conditionalFormatting>
  <conditionalFormatting sqref="AE4:AF4">
    <cfRule type="expression" dxfId="409" priority="16">
      <formula>MOD(ROW(),2)=0</formula>
    </cfRule>
  </conditionalFormatting>
  <conditionalFormatting sqref="AF41">
    <cfRule type="expression" dxfId="408" priority="14">
      <formula>MOD(ROW(),2)=0</formula>
    </cfRule>
  </conditionalFormatting>
  <conditionalFormatting sqref="AF18">
    <cfRule type="expression" dxfId="407" priority="13">
      <formula>MOD(ROW(),2)=0</formula>
    </cfRule>
  </conditionalFormatting>
  <conditionalFormatting sqref="AF49">
    <cfRule type="expression" dxfId="406" priority="12">
      <formula>MOD(ROW(),2)=0</formula>
    </cfRule>
  </conditionalFormatting>
  <conditionalFormatting sqref="AF22">
    <cfRule type="expression" dxfId="405" priority="11">
      <formula>MOD(ROW(),2)=0</formula>
    </cfRule>
  </conditionalFormatting>
  <conditionalFormatting sqref="AE62">
    <cfRule type="expression" dxfId="404" priority="10">
      <formula>MOD(ROW(),2)=0</formula>
    </cfRule>
  </conditionalFormatting>
  <conditionalFormatting sqref="AF45">
    <cfRule type="expression" dxfId="403" priority="9">
      <formula>MOD(ROW(),2)=0</formula>
    </cfRule>
  </conditionalFormatting>
  <conditionalFormatting sqref="AE25:AF25">
    <cfRule type="expression" dxfId="402" priority="6">
      <formula>MOD(ROW(),2)=0</formula>
    </cfRule>
  </conditionalFormatting>
  <conditionalFormatting sqref="AE59:AF59">
    <cfRule type="expression" dxfId="401" priority="5">
      <formula>MOD(ROW(),2)=0</formula>
    </cfRule>
  </conditionalFormatting>
  <conditionalFormatting sqref="AE48:AF48">
    <cfRule type="expression" dxfId="400" priority="4">
      <formula>MOD(ROW(),2)=0</formula>
    </cfRule>
  </conditionalFormatting>
  <conditionalFormatting sqref="AE67">
    <cfRule type="expression" dxfId="399" priority="3">
      <formula>MOD(ROW(),2)=0</formula>
    </cfRule>
  </conditionalFormatting>
  <conditionalFormatting sqref="B21">
    <cfRule type="expression" dxfId="398" priority="2">
      <formula>MOD(ROW(),2)=0</formula>
    </cfRule>
  </conditionalFormatting>
  <conditionalFormatting sqref="A21:A22">
    <cfRule type="expression" dxfId="397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13" workbookViewId="0">
      <selection activeCell="C44" sqref="C44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6" priority="229">
      <formula>MOD(ROW(),2)=0</formula>
    </cfRule>
  </conditionalFormatting>
  <conditionalFormatting sqref="G2:I3">
    <cfRule type="expression" dxfId="395" priority="228">
      <formula>MOD(ROW(),2)=0</formula>
    </cfRule>
  </conditionalFormatting>
  <conditionalFormatting sqref="J2:J3">
    <cfRule type="expression" dxfId="394" priority="227">
      <formula>MOD(ROW(),2)=0</formula>
    </cfRule>
  </conditionalFormatting>
  <conditionalFormatting sqref="K2:K3">
    <cfRule type="expression" dxfId="393" priority="226">
      <formula>MOD(ROW(),2)=0</formula>
    </cfRule>
  </conditionalFormatting>
  <conditionalFormatting sqref="A42:C42 E42 A43">
    <cfRule type="expression" dxfId="392" priority="222">
      <formula>MOD(ROW(),2)=0</formula>
    </cfRule>
  </conditionalFormatting>
  <conditionalFormatting sqref="E45">
    <cfRule type="expression" dxfId="391" priority="220">
      <formula>MOD(ROW(),2)=0</formula>
    </cfRule>
  </conditionalFormatting>
  <conditionalFormatting sqref="A20:F20">
    <cfRule type="expression" dxfId="390" priority="218">
      <formula>MOD(ROW(),2)=0</formula>
    </cfRule>
  </conditionalFormatting>
  <conditionalFormatting sqref="A47:C47 E47:F47">
    <cfRule type="expression" dxfId="389" priority="212">
      <formula>MOD(ROW(),2)=0</formula>
    </cfRule>
  </conditionalFormatting>
  <conditionalFormatting sqref="M25:N25">
    <cfRule type="expression" dxfId="388" priority="202">
      <formula>MOD(ROW(),2)=0</formula>
    </cfRule>
  </conditionalFormatting>
  <conditionalFormatting sqref="A12:C12 E12:F12">
    <cfRule type="expression" dxfId="387" priority="207">
      <formula>MOD(ROW(),2)=0</formula>
    </cfRule>
  </conditionalFormatting>
  <conditionalFormatting sqref="N25">
    <cfRule type="expression" dxfId="386" priority="203">
      <formula>MOD(ROW(),2)=0</formula>
    </cfRule>
  </conditionalFormatting>
  <conditionalFormatting sqref="M12:N12">
    <cfRule type="expression" dxfId="385" priority="188">
      <formula>MOD(ROW(),2)=0</formula>
    </cfRule>
  </conditionalFormatting>
  <conditionalFormatting sqref="B23:C23 E23:F23">
    <cfRule type="expression" dxfId="384" priority="183">
      <formula>MOD(ROW(),2)=0</formula>
    </cfRule>
  </conditionalFormatting>
  <conditionalFormatting sqref="N12">
    <cfRule type="expression" dxfId="383" priority="189">
      <formula>MOD(ROW(),2)=0</formula>
    </cfRule>
  </conditionalFormatting>
  <conditionalFormatting sqref="A8:C8 E8:F8 A9:F9 A10:B10 D10:F10">
    <cfRule type="expression" dxfId="382" priority="174">
      <formula>MOD(ROW(),2)=0</formula>
    </cfRule>
  </conditionalFormatting>
  <conditionalFormatting sqref="N8:N9">
    <cfRule type="expression" dxfId="381" priority="172">
      <formula>MOD(ROW(),2)=0</formula>
    </cfRule>
  </conditionalFormatting>
  <conditionalFormatting sqref="M8:N9">
    <cfRule type="expression" dxfId="380" priority="171">
      <formula>MOD(ROW(),2)=0</formula>
    </cfRule>
  </conditionalFormatting>
  <conditionalFormatting sqref="A37:C37 E37:F37">
    <cfRule type="expression" dxfId="379" priority="166">
      <formula>MOD(ROW(),2)=0</formula>
    </cfRule>
  </conditionalFormatting>
  <conditionalFormatting sqref="M37:N37">
    <cfRule type="expression" dxfId="378" priority="162">
      <formula>MOD(ROW(),2)=0</formula>
    </cfRule>
  </conditionalFormatting>
  <conditionalFormatting sqref="N37">
    <cfRule type="expression" dxfId="377" priority="163">
      <formula>MOD(ROW(),2)=0</formula>
    </cfRule>
  </conditionalFormatting>
  <conditionalFormatting sqref="A49:C49 E49:F49">
    <cfRule type="expression" dxfId="376" priority="157">
      <formula>MOD(ROW(),2)=0</formula>
    </cfRule>
  </conditionalFormatting>
  <conditionalFormatting sqref="N23">
    <cfRule type="expression" dxfId="375" priority="143">
      <formula>MOD(ROW(),2)=0</formula>
    </cfRule>
  </conditionalFormatting>
  <conditionalFormatting sqref="M23:N23">
    <cfRule type="expression" dxfId="374" priority="142">
      <formula>MOD(ROW(),2)=0</formula>
    </cfRule>
  </conditionalFormatting>
  <conditionalFormatting sqref="A58:C58 E58:F58">
    <cfRule type="expression" dxfId="373" priority="132">
      <formula>MOD(ROW(),2)=0</formula>
    </cfRule>
  </conditionalFormatting>
  <conditionalFormatting sqref="L67:L68">
    <cfRule type="expression" dxfId="372" priority="126">
      <formula>MOD(ROW(),2)=0</formula>
    </cfRule>
  </conditionalFormatting>
  <conditionalFormatting sqref="G67:I68">
    <cfRule type="expression" dxfId="371" priority="125">
      <formula>MOD(ROW(),2)=0</formula>
    </cfRule>
  </conditionalFormatting>
  <conditionalFormatting sqref="J67:J68">
    <cfRule type="expression" dxfId="370" priority="124">
      <formula>MOD(ROW(),2)=0</formula>
    </cfRule>
  </conditionalFormatting>
  <conditionalFormatting sqref="K67:K68">
    <cfRule type="expression" dxfId="369" priority="123">
      <formula>MOD(ROW(),2)=0</formula>
    </cfRule>
  </conditionalFormatting>
  <conditionalFormatting sqref="A30:F30">
    <cfRule type="expression" dxfId="368" priority="122">
      <formula>MOD(ROW(),2)=0</formula>
    </cfRule>
  </conditionalFormatting>
  <conditionalFormatting sqref="A31:F31">
    <cfRule type="expression" dxfId="367" priority="121">
      <formula>MOD(ROW(),2)=0</formula>
    </cfRule>
  </conditionalFormatting>
  <conditionalFormatting sqref="A33:F33">
    <cfRule type="expression" dxfId="366" priority="120">
      <formula>MOD(ROW(),2)=0</formula>
    </cfRule>
  </conditionalFormatting>
  <conditionalFormatting sqref="D11:E11">
    <cfRule type="expression" dxfId="365" priority="109">
      <formula>MOD(ROW(),2)=0</formula>
    </cfRule>
  </conditionalFormatting>
  <conditionalFormatting sqref="A59:C60 E59:E60">
    <cfRule type="expression" dxfId="364" priority="105">
      <formula>MOD(ROW(),2)=0</formula>
    </cfRule>
  </conditionalFormatting>
  <conditionalFormatting sqref="M59:N60">
    <cfRule type="expression" dxfId="363" priority="104">
      <formula>MOD(ROW(),2)=0</formula>
    </cfRule>
  </conditionalFormatting>
  <conditionalFormatting sqref="A46:C46 E46:F46">
    <cfRule type="expression" dxfId="362" priority="101">
      <formula>MOD(ROW(),2)=0</formula>
    </cfRule>
  </conditionalFormatting>
  <conditionalFormatting sqref="A54:B54">
    <cfRule type="expression" dxfId="361" priority="97">
      <formula>MOD(ROW(),2)=0</formula>
    </cfRule>
  </conditionalFormatting>
  <conditionalFormatting sqref="A4:C4 E4:F4">
    <cfRule type="expression" dxfId="360" priority="92">
      <formula>MOD(ROW(),2)=0</formula>
    </cfRule>
  </conditionalFormatting>
  <conditionalFormatting sqref="M4:N4">
    <cfRule type="expression" dxfId="359" priority="91">
      <formula>MOD(ROW(),2)=0</formula>
    </cfRule>
  </conditionalFormatting>
  <conditionalFormatting sqref="M4:N4">
    <cfRule type="expression" dxfId="358" priority="88">
      <formula>MOD(ROW(),2)=0</formula>
    </cfRule>
  </conditionalFormatting>
  <conditionalFormatting sqref="N4">
    <cfRule type="expression" dxfId="357" priority="89">
      <formula>MOD(ROW(),2)=0</formula>
    </cfRule>
  </conditionalFormatting>
  <conditionalFormatting sqref="A44:C44 E44:F44">
    <cfRule type="expression" dxfId="356" priority="83">
      <formula>MOD(ROW(),2)=0</formula>
    </cfRule>
  </conditionalFormatting>
  <conditionalFormatting sqref="A69:F69 F70">
    <cfRule type="expression" dxfId="355" priority="82">
      <formula>MOD(ROW(),2)=0</formula>
    </cfRule>
  </conditionalFormatting>
  <conditionalFormatting sqref="A13:F13">
    <cfRule type="expression" dxfId="354" priority="74">
      <formula>MOD(ROW(),2)=0</formula>
    </cfRule>
  </conditionalFormatting>
  <conditionalFormatting sqref="M13:N13">
    <cfRule type="expression" dxfId="353" priority="73">
      <formula>MOD(ROW(),2)=0</formula>
    </cfRule>
  </conditionalFormatting>
  <conditionalFormatting sqref="M13:N13">
    <cfRule type="expression" dxfId="352" priority="70">
      <formula>MOD(ROW(),2)=0</formula>
    </cfRule>
  </conditionalFormatting>
  <conditionalFormatting sqref="N13">
    <cfRule type="expression" dxfId="351" priority="71">
      <formula>MOD(ROW(),2)=0</formula>
    </cfRule>
  </conditionalFormatting>
  <conditionalFormatting sqref="F54">
    <cfRule type="expression" dxfId="350" priority="63">
      <formula>MOD(ROW(),2)=0</formula>
    </cfRule>
  </conditionalFormatting>
  <conditionalFormatting sqref="D54:E54">
    <cfRule type="expression" dxfId="349" priority="62">
      <formula>MOD(ROW(),2)=0</formula>
    </cfRule>
  </conditionalFormatting>
  <conditionalFormatting sqref="D8">
    <cfRule type="expression" dxfId="348" priority="61">
      <formula>MOD(ROW(),2)=0</formula>
    </cfRule>
  </conditionalFormatting>
  <conditionalFormatting sqref="D4">
    <cfRule type="expression" dxfId="347" priority="60">
      <formula>MOD(ROW(),2)=0</formula>
    </cfRule>
  </conditionalFormatting>
  <conditionalFormatting sqref="D12">
    <cfRule type="expression" dxfId="346" priority="59">
      <formula>MOD(ROW(),2)=0</formula>
    </cfRule>
  </conditionalFormatting>
  <conditionalFormatting sqref="D23">
    <cfRule type="expression" dxfId="345" priority="58">
      <formula>MOD(ROW(),2)=0</formula>
    </cfRule>
  </conditionalFormatting>
  <conditionalFormatting sqref="D59:D60">
    <cfRule type="expression" dxfId="344" priority="47">
      <formula>MOD(ROW(),2)=0</formula>
    </cfRule>
  </conditionalFormatting>
  <conditionalFormatting sqref="D37">
    <cfRule type="expression" dxfId="343" priority="57">
      <formula>MOD(ROW(),2)=0</formula>
    </cfRule>
  </conditionalFormatting>
  <conditionalFormatting sqref="D42 D44">
    <cfRule type="expression" dxfId="342" priority="56">
      <formula>MOD(ROW(),2)=0</formula>
    </cfRule>
  </conditionalFormatting>
  <conditionalFormatting sqref="D41">
    <cfRule type="expression" dxfId="341" priority="55">
      <formula>MOD(ROW(),2)=0</formula>
    </cfRule>
  </conditionalFormatting>
  <conditionalFormatting sqref="D45">
    <cfRule type="expression" dxfId="340" priority="54">
      <formula>MOD(ROW(),2)=0</formula>
    </cfRule>
  </conditionalFormatting>
  <conditionalFormatting sqref="D46">
    <cfRule type="expression" dxfId="339" priority="53">
      <formula>MOD(ROW(),2)=0</formula>
    </cfRule>
  </conditionalFormatting>
  <conditionalFormatting sqref="D47">
    <cfRule type="expression" dxfId="338" priority="52">
      <formula>MOD(ROW(),2)=0</formula>
    </cfRule>
  </conditionalFormatting>
  <conditionalFormatting sqref="D49">
    <cfRule type="expression" dxfId="337" priority="51">
      <formula>MOD(ROW(),2)=0</formula>
    </cfRule>
  </conditionalFormatting>
  <conditionalFormatting sqref="D61">
    <cfRule type="expression" dxfId="336" priority="50">
      <formula>MOD(ROW(),2)=0</formula>
    </cfRule>
  </conditionalFormatting>
  <conditionalFormatting sqref="D58">
    <cfRule type="expression" dxfId="335" priority="48">
      <formula>MOD(ROW(),2)=0</formula>
    </cfRule>
  </conditionalFormatting>
  <conditionalFormatting sqref="A24:F24">
    <cfRule type="expression" dxfId="334" priority="46">
      <formula>MOD(ROW(),2)=0</formula>
    </cfRule>
  </conditionalFormatting>
  <conditionalFormatting sqref="M24:N24">
    <cfRule type="expression" dxfId="333" priority="45">
      <formula>MOD(ROW(),2)=0</formula>
    </cfRule>
  </conditionalFormatting>
  <conditionalFormatting sqref="N24">
    <cfRule type="expression" dxfId="332" priority="42">
      <formula>MOD(ROW(),2)=0</formula>
    </cfRule>
  </conditionalFormatting>
  <conditionalFormatting sqref="M24:N24">
    <cfRule type="expression" dxfId="331" priority="41">
      <formula>MOD(ROW(),2)=0</formula>
    </cfRule>
  </conditionalFormatting>
  <conditionalFormatting sqref="A64:F64">
    <cfRule type="expression" dxfId="330" priority="34">
      <formula>MOD(ROW(),2)=0</formula>
    </cfRule>
  </conditionalFormatting>
  <conditionalFormatting sqref="G64:H64 M64:N64">
    <cfRule type="expression" dxfId="329" priority="33">
      <formula>MOD(ROW(),2)=0</formula>
    </cfRule>
  </conditionalFormatting>
  <conditionalFormatting sqref="A53:B53">
    <cfRule type="expression" dxfId="328" priority="32">
      <formula>MOD(ROW(),2)=0</formula>
    </cfRule>
  </conditionalFormatting>
  <conditionalFormatting sqref="G53:H53 M53:N53">
    <cfRule type="expression" dxfId="327" priority="31">
      <formula>MOD(ROW(),2)=0</formula>
    </cfRule>
  </conditionalFormatting>
  <conditionalFormatting sqref="A40:F40">
    <cfRule type="expression" dxfId="326" priority="30">
      <formula>MOD(ROW(),2)=0</formula>
    </cfRule>
  </conditionalFormatting>
  <conditionalFormatting sqref="G40:H40 M40:N40">
    <cfRule type="expression" dxfId="325" priority="29">
      <formula>MOD(ROW(),2)=0</formula>
    </cfRule>
  </conditionalFormatting>
  <conditionalFormatting sqref="A48:F48">
    <cfRule type="expression" dxfId="324" priority="28">
      <formula>MOD(ROW(),2)=0</formula>
    </cfRule>
  </conditionalFormatting>
  <conditionalFormatting sqref="A17:F17">
    <cfRule type="expression" dxfId="323" priority="27">
      <formula>MOD(ROW(),2)=0</formula>
    </cfRule>
  </conditionalFormatting>
  <conditionalFormatting sqref="G17:H17 M17:N17">
    <cfRule type="expression" dxfId="322" priority="26">
      <formula>MOD(ROW(),2)=0</formula>
    </cfRule>
  </conditionalFormatting>
  <conditionalFormatting sqref="B22:F22 C21:F21">
    <cfRule type="expression" dxfId="321" priority="25">
      <formula>MOD(ROW(),2)=0</formula>
    </cfRule>
  </conditionalFormatting>
  <conditionalFormatting sqref="G21:H22 M21:N22">
    <cfRule type="expression" dxfId="320" priority="24">
      <formula>MOD(ROW(),2)=0</formula>
    </cfRule>
  </conditionalFormatting>
  <conditionalFormatting sqref="G27:H27 M27:N27">
    <cfRule type="expression" dxfId="319" priority="20">
      <formula>MOD(ROW(),2)=0</formula>
    </cfRule>
  </conditionalFormatting>
  <conditionalFormatting sqref="A27:F27">
    <cfRule type="expression" dxfId="318" priority="23">
      <formula>MOD(ROW(),2)=0</formula>
    </cfRule>
  </conditionalFormatting>
  <conditionalFormatting sqref="A51:F51">
    <cfRule type="expression" dxfId="317" priority="22">
      <formula>MOD(ROW(),2)=0</formula>
    </cfRule>
  </conditionalFormatting>
  <conditionalFormatting sqref="A63:F63">
    <cfRule type="expression" dxfId="316" priority="21">
      <formula>MOD(ROW(),2)=0</formula>
    </cfRule>
  </conditionalFormatting>
  <conditionalFormatting sqref="A70:E70">
    <cfRule type="expression" dxfId="315" priority="19">
      <formula>MOD(ROW(),2)=0</formula>
    </cfRule>
  </conditionalFormatting>
  <conditionalFormatting sqref="A56:E56 A57">
    <cfRule type="expression" dxfId="314" priority="17">
      <formula>MOD(ROW(),2)=0</formula>
    </cfRule>
  </conditionalFormatting>
  <conditionalFormatting sqref="A6:F7">
    <cfRule type="expression" dxfId="313" priority="16">
      <formula>MOD(ROW(),2)=0</formula>
    </cfRule>
  </conditionalFormatting>
  <conditionalFormatting sqref="G6:J7">
    <cfRule type="expression" dxfId="312" priority="15">
      <formula>MOD(ROW(),2)=0</formula>
    </cfRule>
  </conditionalFormatting>
  <conditionalFormatting sqref="B57:E57">
    <cfRule type="expression" dxfId="311" priority="14">
      <formula>MOD(ROW(),2)=0</formula>
    </cfRule>
  </conditionalFormatting>
  <conditionalFormatting sqref="B5">
    <cfRule type="expression" dxfId="310" priority="13">
      <formula>MOD(ROW(),2)=0</formula>
    </cfRule>
  </conditionalFormatting>
  <conditionalFormatting sqref="C10">
    <cfRule type="expression" dxfId="309" priority="12">
      <formula>MOD(ROW(),2)=0</formula>
    </cfRule>
  </conditionalFormatting>
  <conditionalFormatting sqref="G10:J10 M10:N10">
    <cfRule type="expression" dxfId="308" priority="11">
      <formula>MOD(ROW(),2)=0</formula>
    </cfRule>
  </conditionalFormatting>
  <conditionalFormatting sqref="N10">
    <cfRule type="expression" dxfId="307" priority="10">
      <formula>MOD(ROW(),2)=0</formula>
    </cfRule>
  </conditionalFormatting>
  <conditionalFormatting sqref="M10:N10">
    <cfRule type="expression" dxfId="306" priority="9">
      <formula>MOD(ROW(),2)=0</formula>
    </cfRule>
  </conditionalFormatting>
  <conditionalFormatting sqref="B43">
    <cfRule type="expression" dxfId="305" priority="8">
      <formula>MOD(ROW(),2)=0</formula>
    </cfRule>
  </conditionalFormatting>
  <conditionalFormatting sqref="C43">
    <cfRule type="expression" dxfId="304" priority="7">
      <formula>MOD(ROW(),2)=0</formula>
    </cfRule>
  </conditionalFormatting>
  <conditionalFormatting sqref="D43:E43">
    <cfRule type="expression" dxfId="303" priority="6">
      <formula>MOD(ROW(),2)=0</formula>
    </cfRule>
  </conditionalFormatting>
  <conditionalFormatting sqref="G43:J43 M43:N43">
    <cfRule type="expression" dxfId="302" priority="5">
      <formula>MOD(ROW(),2)=0</formula>
    </cfRule>
  </conditionalFormatting>
  <conditionalFormatting sqref="B21">
    <cfRule type="expression" dxfId="301" priority="4">
      <formula>MOD(ROW(),2)=0</formula>
    </cfRule>
  </conditionalFormatting>
  <conditionalFormatting sqref="A21:A22">
    <cfRule type="expression" dxfId="300" priority="3">
      <formula>MOD(ROW(),2)=0</formula>
    </cfRule>
  </conditionalFormatting>
  <conditionalFormatting sqref="G57:J57 M57:N57">
    <cfRule type="expression" dxfId="299" priority="2">
      <formula>MOD(ROW(),2)=0</formula>
    </cfRule>
  </conditionalFormatting>
  <conditionalFormatting sqref="I69:L70">
    <cfRule type="expression" dxfId="298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97" priority="13">
      <formula>MOD(ROW(),2)=0</formula>
    </cfRule>
  </conditionalFormatting>
  <conditionalFormatting sqref="AE40">
    <cfRule type="expression" dxfId="296" priority="12">
      <formula>MOD(ROW(),2)=0</formula>
    </cfRule>
  </conditionalFormatting>
  <conditionalFormatting sqref="AE42">
    <cfRule type="expression" dxfId="295" priority="11">
      <formula>MOD(ROW(),2)=0</formula>
    </cfRule>
  </conditionalFormatting>
  <conditionalFormatting sqref="B48:B49">
    <cfRule type="expression" dxfId="294" priority="5">
      <formula>MOD(ROW(),2)=0</formula>
    </cfRule>
  </conditionalFormatting>
  <conditionalFormatting sqref="AD5:AE5">
    <cfRule type="expression" dxfId="293" priority="4">
      <formula>MOD(ROW(),2)=0</formula>
    </cfRule>
  </conditionalFormatting>
  <conditionalFormatting sqref="AD41">
    <cfRule type="expression" dxfId="292" priority="3">
      <formula>MOD(ROW(),2)=0</formula>
    </cfRule>
  </conditionalFormatting>
  <conditionalFormatting sqref="AE41">
    <cfRule type="expression" dxfId="291" priority="2">
      <formula>MOD(ROW(),2)=0</formula>
    </cfRule>
  </conditionalFormatting>
  <conditionalFormatting sqref="AD20:AE20">
    <cfRule type="expression" dxfId="290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9" priority="28">
      <formula>MOD(ROW(),2)=0</formula>
    </cfRule>
  </conditionalFormatting>
  <conditionalFormatting sqref="AC47">
    <cfRule type="expression" dxfId="288" priority="27">
      <formula>MOD(ROW(),2)=0</formula>
    </cfRule>
  </conditionalFormatting>
  <conditionalFormatting sqref="AC49">
    <cfRule type="expression" dxfId="287" priority="26">
      <formula>MOD(ROW(),2)=0</formula>
    </cfRule>
  </conditionalFormatting>
  <conditionalFormatting sqref="A30:C30 F30">
    <cfRule type="expression" dxfId="286" priority="25">
      <formula>MOD(ROW(),2)=0</formula>
    </cfRule>
  </conditionalFormatting>
  <conditionalFormatting sqref="A14:F14 A15:C15 E15:F15">
    <cfRule type="expression" dxfId="285" priority="23">
      <formula>MOD(ROW(),2)=0</formula>
    </cfRule>
  </conditionalFormatting>
  <conditionalFormatting sqref="D30:E30">
    <cfRule type="expression" dxfId="284" priority="22">
      <formula>MOD(ROW(),2)=0</formula>
    </cfRule>
  </conditionalFormatting>
  <conditionalFormatting sqref="A58:F58">
    <cfRule type="expression" dxfId="283" priority="20">
      <formula>MOD(ROW(),2)=0</formula>
    </cfRule>
  </conditionalFormatting>
  <conditionalFormatting sqref="B55:B56">
    <cfRule type="expression" dxfId="282" priority="19">
      <formula>MOD(ROW(),2)=0</formula>
    </cfRule>
  </conditionalFormatting>
  <conditionalFormatting sqref="AB6:AC6">
    <cfRule type="expression" dxfId="281" priority="15">
      <formula>MOD(ROW(),2)=0</formula>
    </cfRule>
  </conditionalFormatting>
  <conditionalFormatting sqref="AB48">
    <cfRule type="expression" dxfId="280" priority="14">
      <formula>MOD(ROW(),2)=0</formula>
    </cfRule>
  </conditionalFormatting>
  <conditionalFormatting sqref="AC48">
    <cfRule type="expression" dxfId="279" priority="13">
      <formula>MOD(ROW(),2)=0</formula>
    </cfRule>
  </conditionalFormatting>
  <conditionalFormatting sqref="D6">
    <cfRule type="expression" dxfId="278" priority="12">
      <formula>MOD(ROW(),2)=0</formula>
    </cfRule>
  </conditionalFormatting>
  <conditionalFormatting sqref="D9">
    <cfRule type="expression" dxfId="277" priority="11">
      <formula>MOD(ROW(),2)=0</formula>
    </cfRule>
  </conditionalFormatting>
  <conditionalFormatting sqref="D15">
    <cfRule type="expression" dxfId="276" priority="10">
      <formula>MOD(ROW(),2)=0</formula>
    </cfRule>
  </conditionalFormatting>
  <conditionalFormatting sqref="D28">
    <cfRule type="expression" dxfId="275" priority="9">
      <formula>MOD(ROW(),2)=0</formula>
    </cfRule>
  </conditionalFormatting>
  <conditionalFormatting sqref="D41">
    <cfRule type="expression" dxfId="274" priority="8">
      <formula>MOD(ROW(),2)=0</formula>
    </cfRule>
  </conditionalFormatting>
  <conditionalFormatting sqref="D46">
    <cfRule type="expression" dxfId="273" priority="7">
      <formula>MOD(ROW(),2)=0</formula>
    </cfRule>
  </conditionalFormatting>
  <conditionalFormatting sqref="D49">
    <cfRule type="expression" dxfId="272" priority="6">
      <formula>MOD(ROW(),2)=0</formula>
    </cfRule>
  </conditionalFormatting>
  <conditionalFormatting sqref="D60:D63">
    <cfRule type="expression" dxfId="271" priority="1">
      <formula>MOD(ROW(),2)=0</formula>
    </cfRule>
  </conditionalFormatting>
  <conditionalFormatting sqref="D50:D51">
    <cfRule type="expression" dxfId="270" priority="5">
      <formula>MOD(ROW(),2)=0</formula>
    </cfRule>
  </conditionalFormatting>
  <conditionalFormatting sqref="D52">
    <cfRule type="expression" dxfId="269" priority="4">
      <formula>MOD(ROW(),2)=0</formula>
    </cfRule>
  </conditionalFormatting>
  <conditionalFormatting sqref="D59">
    <cfRule type="expression" dxfId="268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7" priority="24">
      <formula>MOD(ROW(),2)=0</formula>
    </cfRule>
  </conditionalFormatting>
  <conditionalFormatting sqref="AC47">
    <cfRule type="expression" dxfId="266" priority="23">
      <formula>MOD(ROW(),2)=0</formula>
    </cfRule>
  </conditionalFormatting>
  <conditionalFormatting sqref="AC48">
    <cfRule type="expression" dxfId="265" priority="22">
      <formula>MOD(ROW(),2)=0</formula>
    </cfRule>
  </conditionalFormatting>
  <conditionalFormatting sqref="A29:C29 F29">
    <cfRule type="expression" dxfId="264" priority="21">
      <formula>MOD(ROW(),2)=0</formula>
    </cfRule>
  </conditionalFormatting>
  <conditionalFormatting sqref="AC59">
    <cfRule type="expression" dxfId="263" priority="20">
      <formula>MOD(ROW(),2)=0</formula>
    </cfRule>
  </conditionalFormatting>
  <conditionalFormatting sqref="A13:F13 A14:C14 E14:F14">
    <cfRule type="expression" dxfId="262" priority="19">
      <formula>MOD(ROW(),2)=0</formula>
    </cfRule>
  </conditionalFormatting>
  <conditionalFormatting sqref="D29:E29">
    <cfRule type="expression" dxfId="261" priority="18">
      <formula>MOD(ROW(),2)=0</formula>
    </cfRule>
  </conditionalFormatting>
  <conditionalFormatting sqref="A53:B53 F53">
    <cfRule type="expression" dxfId="260" priority="15">
      <formula>MOD(ROW(),2)=0</formula>
    </cfRule>
  </conditionalFormatting>
  <conditionalFormatting sqref="A57:F57">
    <cfRule type="expression" dxfId="259" priority="14">
      <formula>MOD(ROW(),2)=0</formula>
    </cfRule>
  </conditionalFormatting>
  <conditionalFormatting sqref="B54:B55">
    <cfRule type="expression" dxfId="258" priority="13">
      <formula>MOD(ROW(),2)=0</formula>
    </cfRule>
  </conditionalFormatting>
  <conditionalFormatting sqref="D53:E53 C54:E55">
    <cfRule type="expression" dxfId="257" priority="12">
      <formula>MOD(ROW(),2)=0</formula>
    </cfRule>
  </conditionalFormatting>
  <conditionalFormatting sqref="D58:D61">
    <cfRule type="expression" dxfId="256" priority="1">
      <formula>MOD(ROW(),2)=0</formula>
    </cfRule>
  </conditionalFormatting>
  <conditionalFormatting sqref="D8">
    <cfRule type="expression" dxfId="255" priority="10">
      <formula>MOD(ROW(),2)=0</formula>
    </cfRule>
  </conditionalFormatting>
  <conditionalFormatting sqref="D14">
    <cfRule type="expression" dxfId="254" priority="9">
      <formula>MOD(ROW(),2)=0</formula>
    </cfRule>
  </conditionalFormatting>
  <conditionalFormatting sqref="D27">
    <cfRule type="expression" dxfId="253" priority="8">
      <formula>MOD(ROW(),2)=0</formula>
    </cfRule>
  </conditionalFormatting>
  <conditionalFormatting sqref="D41">
    <cfRule type="expression" dxfId="252" priority="7">
      <formula>MOD(ROW(),2)=0</formula>
    </cfRule>
  </conditionalFormatting>
  <conditionalFormatting sqref="D47:D48">
    <cfRule type="expression" dxfId="251" priority="6">
      <formula>MOD(ROW(),2)=0</formula>
    </cfRule>
  </conditionalFormatting>
  <conditionalFormatting sqref="D46">
    <cfRule type="expression" dxfId="250" priority="5">
      <formula>MOD(ROW(),2)=0</formula>
    </cfRule>
  </conditionalFormatting>
  <conditionalFormatting sqref="D49">
    <cfRule type="expression" dxfId="249" priority="4">
      <formula>MOD(ROW(),2)=0</formula>
    </cfRule>
  </conditionalFormatting>
  <conditionalFormatting sqref="D50">
    <cfRule type="expression" dxfId="248" priority="3">
      <formula>MOD(ROW(),2)=0</formula>
    </cfRule>
  </conditionalFormatting>
  <conditionalFormatting sqref="D51">
    <cfRule type="expression" dxfId="247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zoomScaleNormal="100" workbookViewId="0">
      <selection activeCell="A8" sqref="A8:XFD8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IFERROR(VLOOKUP($A$3:$A$139,'FY-(26-27)Q3'!$A$4:$ABW$115,MATCH('FY-(26-27)Q1'!$S$2:$T$2,'FY-(26-27)Q3'!$A$2:$BX$2,0),0),0)</f>
        <v>0</v>
      </c>
      <c r="T4" s="154">
        <f>IFERROR(VLOOKUP($A$3:$A$139,'FY-(26-27)Q3'!$A$4:$ABW$115,MATCH('FY-(26-27)Q1'!$S$2:$T$3,'FY-(26-27)Q3'!$A$2:$BX$2,0),0),0)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IFERROR(VLOOKUP($A$3:$A$139,'FY-(26-27)Q3'!$A$4:$ABW$115,MATCH('FY-(26-27)Q1'!$S$2:$T$2,'FY-(26-27)Q3'!$A$2:$BX$2,0),0),0)</f>
        <v>0</v>
      </c>
      <c r="T5" s="154">
        <f>IFERROR(VLOOKUP($A$3:$A$139,'FY-(26-27)Q3'!$A$4:$ABW$115,MATCH('FY-(26-27)Q1'!$S$2:$T$3,'FY-(26-27)Q3'!$A$2:$BX$2,0),0),0)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IFERROR(VLOOKUP($A$3:$A$139,'FY-(26-27)Q3'!$A$4:$ABW$115,MATCH('FY-(26-27)Q1'!$S$2:$T$2,'FY-(26-27)Q3'!$A$2:$BX$2,0),0),0)</f>
        <v>106758</v>
      </c>
      <c r="T6" s="154">
        <f>IFERROR(VLOOKUP($A$3:$A$139,'FY-(26-27)Q3'!$A$4:$ABW$115,MATCH('FY-(26-27)Q1'!$S$2:$T$3,'FY-(26-27)Q3'!$A$2:$BX$2,0),0),0)</f>
        <v>0</v>
      </c>
      <c r="U6" s="216"/>
      <c r="V6" s="71"/>
      <c r="W6" s="149"/>
      <c r="X6" s="131"/>
      <c r="Y6" s="153">
        <f t="shared" si="0"/>
        <v>-445716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IFERROR(VLOOKUP($A$3:$A$139,'FY-(26-27)Q3'!$A$4:$ABW$115,MATCH('FY-(26-27)Q1'!$S$2:$T$2,'FY-(26-27)Q3'!$A$2:$BX$2,0),0),0)</f>
        <v>575690</v>
      </c>
      <c r="T7" s="154">
        <f>IFERROR(VLOOKUP($A$3:$A$139,'FY-(26-27)Q3'!$A$4:$ABW$115,MATCH('FY-(26-27)Q1'!$S$2:$T$3,'FY-(26-27)Q3'!$A$2:$BX$2,0),0),0)</f>
        <v>0</v>
      </c>
      <c r="U7" s="158"/>
      <c r="V7" s="45"/>
      <c r="W7" s="72"/>
      <c r="X7"/>
      <c r="Y7" s="153">
        <f t="shared" si="0"/>
        <v>1817904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IFERROR(VLOOKUP($A$3:$A$139,'FY-(26-27)Q3'!$A$4:$ABW$115,MATCH('FY-(26-27)Q1'!$S$2:$T$2,'FY-(26-27)Q3'!$A$2:$BX$2,0),0),0)</f>
        <v>0</v>
      </c>
      <c r="T8" s="154">
        <f>IFERROR(VLOOKUP($A$3:$A$139,'FY-(26-27)Q3'!$A$4:$ABW$115,MATCH('FY-(26-27)Q1'!$S$2:$T$3,'FY-(26-27)Q3'!$A$2:$BX$2,0),0),0)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IFERROR(VLOOKUP($A$3:$A$139,'FY-(26-27)Q3'!$A$4:$ABW$115,MATCH('FY-(26-27)Q1'!$S$2:$T$2,'FY-(26-27)Q3'!$A$2:$BX$2,0),0),0)</f>
        <v>117837</v>
      </c>
      <c r="T9" s="154">
        <f>IFERROR(VLOOKUP($A$3:$A$139,'FY-(26-27)Q3'!$A$4:$ABW$115,MATCH('FY-(26-27)Q1'!$S$2:$T$3,'FY-(26-27)Q3'!$A$2:$BX$2,0),0),0)</f>
        <v>0</v>
      </c>
      <c r="U9" s="158"/>
      <c r="V9" s="143"/>
      <c r="W9" s="149"/>
      <c r="Y9" s="153">
        <f t="shared" ref="Y9" si="6">M9+P9+S9+V9</f>
        <v>-18549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IFERROR(VLOOKUP($A$3:$A$139,'FY-(26-27)Q3'!$A$4:$ABW$115,MATCH('FY-(26-27)Q1'!$S$2:$T$2,'FY-(26-27)Q3'!$A$2:$BX$2,0),0),0)</f>
        <v>-316610</v>
      </c>
      <c r="T10" s="154">
        <f>IFERROR(VLOOKUP($A$3:$A$139,'FY-(26-27)Q3'!$A$4:$ABW$115,MATCH('FY-(26-27)Q1'!$S$2:$T$3,'FY-(26-27)Q3'!$A$2:$BX$2,0),0),0)</f>
        <v>0</v>
      </c>
      <c r="U10" s="158"/>
      <c r="V10" s="45"/>
      <c r="W10" s="72"/>
      <c r="Y10" s="153">
        <f t="shared" si="0"/>
        <v>-1492677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IFERROR(VLOOKUP($A$3:$A$139,'FY-(26-27)Q3'!$A$4:$ABW$115,MATCH('FY-(26-27)Q1'!$S$2:$T$2,'FY-(26-27)Q3'!$A$2:$BX$2,0),0),0)</f>
        <v>178330</v>
      </c>
      <c r="T11" s="154">
        <f>IFERROR(VLOOKUP($A$3:$A$139,'FY-(26-27)Q3'!$A$4:$ABW$115,MATCH('FY-(26-27)Q1'!$S$2:$T$3,'FY-(26-27)Q3'!$A$2:$BX$2,0),0),0)</f>
        <v>0</v>
      </c>
      <c r="U11" s="158"/>
      <c r="V11" s="143"/>
      <c r="W11" s="149"/>
      <c r="Y11" s="153">
        <f t="shared" si="0"/>
        <v>-223545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IFERROR(VLOOKUP($A$3:$A$139,'FY-(26-27)Q3'!$A$4:$ABW$115,MATCH('FY-(26-27)Q1'!$S$2:$T$2,'FY-(26-27)Q3'!$A$2:$BX$2,0),0),0)</f>
        <v>55724</v>
      </c>
      <c r="T12" s="154">
        <f>IFERROR(VLOOKUP($A$3:$A$139,'FY-(26-27)Q3'!$A$4:$ABW$115,MATCH('FY-(26-27)Q1'!$S$2:$T$3,'FY-(26-27)Q3'!$A$2:$BX$2,0),0),0)</f>
        <v>0</v>
      </c>
      <c r="U12" s="158"/>
      <c r="V12" s="143"/>
      <c r="W12" s="149"/>
      <c r="Y12" s="153">
        <f t="shared" ref="Y12" si="12">M12+P12+S12+V12</f>
        <v>-34205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IFERROR(VLOOKUP($A$3:$A$139,'FY-(26-27)Q3'!$A$4:$ABW$115,MATCH('FY-(26-27)Q1'!$S$2:$T$2,'FY-(26-27)Q3'!$A$2:$BX$2,0),0),0)</f>
        <v>-218420</v>
      </c>
      <c r="T13" s="154">
        <f>IFERROR(VLOOKUP($A$3:$A$139,'FY-(26-27)Q3'!$A$4:$ABW$115,MATCH('FY-(26-27)Q1'!$S$2:$T$3,'FY-(26-27)Q3'!$A$2:$BX$2,0),0),0)</f>
        <v>0</v>
      </c>
      <c r="U13" s="158"/>
      <c r="V13" s="45"/>
      <c r="W13" s="72"/>
      <c r="X13"/>
      <c r="Y13" s="153">
        <f t="shared" si="0"/>
        <v>-1202688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IFERROR(VLOOKUP($A$3:$A$139,'FY-(26-27)Q3'!$A$4:$ABW$115,MATCH('FY-(26-27)Q1'!$S$2:$T$2,'FY-(26-27)Q3'!$A$2:$BX$2,0),0),0)</f>
        <v>0</v>
      </c>
      <c r="T14" s="154">
        <f>IFERROR(VLOOKUP($A$3:$A$139,'FY-(26-27)Q3'!$A$4:$ABW$115,MATCH('FY-(26-27)Q1'!$S$2:$T$3,'FY-(26-27)Q3'!$A$2:$BX$2,0),0),0)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IFERROR(VLOOKUP($A$3:$A$139,'FY-(26-27)Q3'!$A$4:$ABW$115,MATCH('FY-(26-27)Q1'!$S$2:$T$2,'FY-(26-27)Q3'!$A$2:$BX$2,0),0),0)</f>
        <v>0</v>
      </c>
      <c r="T15" s="154">
        <f>IFERROR(VLOOKUP($A$3:$A$139,'FY-(26-27)Q3'!$A$4:$ABW$115,MATCH('FY-(26-27)Q1'!$S$2:$T$3,'FY-(26-27)Q3'!$A$2:$BX$2,0),0),0)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IFERROR(VLOOKUP($A$3:$A$139,'FY-(26-27)Q3'!$A$4:$ABW$115,MATCH('FY-(26-27)Q1'!$S$2:$T$2,'FY-(26-27)Q3'!$A$2:$BX$2,0),0),0)</f>
        <v>0</v>
      </c>
      <c r="T16" s="154">
        <f>IFERROR(VLOOKUP($A$3:$A$139,'FY-(26-27)Q3'!$A$4:$ABW$115,MATCH('FY-(26-27)Q1'!$S$2:$T$3,'FY-(26-27)Q3'!$A$2:$BX$2,0),0),0)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IFERROR(VLOOKUP($A$3:$A$139,'FY-(26-27)Q3'!$A$4:$ABW$115,MATCH('FY-(26-27)Q1'!$S$2:$T$2,'FY-(26-27)Q3'!$A$2:$BX$2,0),0),0)</f>
        <v>0</v>
      </c>
      <c r="T17" s="154">
        <f>IFERROR(VLOOKUP($A$3:$A$139,'FY-(26-27)Q3'!$A$4:$ABW$115,MATCH('FY-(26-27)Q1'!$S$2:$T$3,'FY-(26-27)Q3'!$A$2:$BX$2,0),0),0)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IFERROR(VLOOKUP($A$3:$A$139,'FY-(26-27)Q3'!$A$4:$ABW$115,MATCH('FY-(26-27)Q1'!$S$2:$T$2,'FY-(26-27)Q3'!$A$2:$BX$2,0),0),0)</f>
        <v>242131</v>
      </c>
      <c r="T18" s="154">
        <f>IFERROR(VLOOKUP($A$3:$A$139,'FY-(26-27)Q3'!$A$4:$ABW$115,MATCH('FY-(26-27)Q1'!$S$2:$T$3,'FY-(26-27)Q3'!$A$2:$BX$2,0),0),0)</f>
        <v>0</v>
      </c>
      <c r="U18" s="158"/>
      <c r="V18" s="45"/>
      <c r="W18" s="72"/>
      <c r="Y18" s="153">
        <f t="shared" si="0"/>
        <v>442183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IFERROR(VLOOKUP($A$3:$A$139,'FY-(26-27)Q3'!$A$4:$ABW$115,MATCH('FY-(26-27)Q1'!$S$2:$T$2,'FY-(26-27)Q3'!$A$2:$BX$2,0),0),0)</f>
        <v>-2741</v>
      </c>
      <c r="T19" s="154">
        <f>IFERROR(VLOOKUP($A$3:$A$139,'FY-(26-27)Q3'!$A$4:$ABW$115,MATCH('FY-(26-27)Q1'!$S$2:$T$3,'FY-(26-27)Q3'!$A$2:$BX$2,0),0),0)</f>
        <v>0</v>
      </c>
      <c r="U19" s="158"/>
      <c r="V19" s="143"/>
      <c r="W19" s="149"/>
      <c r="Y19" s="153">
        <f t="shared" si="0"/>
        <v>-166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IFERROR(VLOOKUP($A$3:$A$139,'FY-(26-27)Q3'!$A$4:$ABW$115,MATCH('FY-(26-27)Q1'!$S$2:$T$2,'FY-(26-27)Q3'!$A$2:$BX$2,0),0),0)</f>
        <v>0</v>
      </c>
      <c r="T20" s="154">
        <f>IFERROR(VLOOKUP($A$3:$A$139,'FY-(26-27)Q3'!$A$4:$ABW$115,MATCH('FY-(26-27)Q1'!$S$2:$T$3,'FY-(26-27)Q3'!$A$2:$BX$2,0),0),0)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IFERROR(VLOOKUP($A$3:$A$139,'FY-(26-27)Q3'!$A$4:$ABW$115,MATCH('FY-(26-27)Q1'!$S$2:$T$2,'FY-(26-27)Q3'!$A$2:$BX$2,0),0),0)</f>
        <v>135553</v>
      </c>
      <c r="T21" s="154">
        <f>IFERROR(VLOOKUP($A$3:$A$139,'FY-(26-27)Q3'!$A$4:$ABW$115,MATCH('FY-(26-27)Q1'!$S$2:$T$3,'FY-(26-27)Q3'!$A$2:$BX$2,0),0),0)</f>
        <v>0</v>
      </c>
      <c r="U21" s="158"/>
      <c r="V21" s="45"/>
      <c r="W21" s="72"/>
      <c r="Y21" s="153">
        <f t="shared" si="0"/>
        <v>-115629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IFERROR(VLOOKUP($A$3:$A$139,'FY-(26-27)Q3'!$A$4:$ABW$115,MATCH('FY-(26-27)Q1'!$S$2:$T$2,'FY-(26-27)Q3'!$A$2:$BX$2,0),0),0)</f>
        <v>145701</v>
      </c>
      <c r="T22" s="154">
        <f>IFERROR(VLOOKUP($A$3:$A$139,'FY-(26-27)Q3'!$A$4:$ABW$115,MATCH('FY-(26-27)Q1'!$S$2:$T$3,'FY-(26-27)Q3'!$A$2:$BX$2,0),0),0)</f>
        <v>0</v>
      </c>
      <c r="U22" s="158"/>
      <c r="V22" s="45"/>
      <c r="W22" s="72"/>
      <c r="Y22" s="153">
        <f t="shared" si="0"/>
        <v>-57922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IFERROR(VLOOKUP($A$3:$A$139,'FY-(26-27)Q3'!$A$4:$ABW$115,MATCH('FY-(26-27)Q1'!$S$2:$T$2,'FY-(26-27)Q3'!$A$2:$BX$2,0),0),0)</f>
        <v>0</v>
      </c>
      <c r="T23" s="154">
        <f>IFERROR(VLOOKUP($A$3:$A$139,'FY-(26-27)Q3'!$A$4:$ABW$115,MATCH('FY-(26-27)Q1'!$S$2:$T$3,'FY-(26-27)Q3'!$A$2:$BX$2,0),0),0)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IFERROR(VLOOKUP($A$3:$A$139,'FY-(26-27)Q3'!$A$4:$ABW$115,MATCH('FY-(26-27)Q1'!$S$2:$T$2,'FY-(26-27)Q3'!$A$2:$BX$2,0),0),0)</f>
        <v>1117</v>
      </c>
      <c r="T24" s="154">
        <f>IFERROR(VLOOKUP($A$3:$A$139,'FY-(26-27)Q3'!$A$4:$ABW$115,MATCH('FY-(26-27)Q1'!$S$2:$T$3,'FY-(26-27)Q3'!$A$2:$BX$2,0),0),0)</f>
        <v>0</v>
      </c>
      <c r="U24" s="158"/>
      <c r="V24" s="45"/>
      <c r="W24" s="72"/>
      <c r="Y24" s="153">
        <f t="shared" si="0"/>
        <v>1747298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IFERROR(VLOOKUP($A$3:$A$139,'FY-(26-27)Q3'!$A$4:$ABW$115,MATCH('FY-(26-27)Q1'!$S$2:$T$2,'FY-(26-27)Q3'!$A$2:$BX$2,0),0),0)</f>
        <v>0</v>
      </c>
      <c r="T25" s="154">
        <f>IFERROR(VLOOKUP($A$3:$A$139,'FY-(26-27)Q3'!$A$4:$ABW$115,MATCH('FY-(26-27)Q1'!$S$2:$T$3,'FY-(26-27)Q3'!$A$2:$BX$2,0),0),0)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IFERROR(VLOOKUP($A$3:$A$139,'FY-(26-27)Q3'!$A$4:$ABW$115,MATCH('FY-(26-27)Q1'!$S$2:$T$2,'FY-(26-27)Q3'!$A$2:$BX$2,0),0),0)</f>
        <v>0</v>
      </c>
      <c r="T26" s="154">
        <f>IFERROR(VLOOKUP($A$3:$A$139,'FY-(26-27)Q3'!$A$4:$ABW$115,MATCH('FY-(26-27)Q1'!$S$2:$T$3,'FY-(26-27)Q3'!$A$2:$BX$2,0),0),0)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IFERROR(VLOOKUP($A$3:$A$139,'FY-(26-27)Q3'!$A$4:$ABW$115,MATCH('FY-(26-27)Q1'!$S$2:$T$2,'FY-(26-27)Q3'!$A$2:$BX$2,0),0),0)</f>
        <v>0</v>
      </c>
      <c r="T27" s="154">
        <f>IFERROR(VLOOKUP($A$3:$A$139,'FY-(26-27)Q3'!$A$4:$ABW$115,MATCH('FY-(26-27)Q1'!$S$2:$T$3,'FY-(26-27)Q3'!$A$2:$BX$2,0),0),0)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IFERROR(VLOOKUP($A$3:$A$139,'FY-(26-27)Q3'!$A$4:$ABW$115,MATCH('FY-(26-27)Q1'!$S$2:$T$2,'FY-(26-27)Q3'!$A$2:$BX$2,0),0),0)</f>
        <v>-32466</v>
      </c>
      <c r="T28" s="154">
        <f>IFERROR(VLOOKUP($A$3:$A$139,'FY-(26-27)Q3'!$A$4:$ABW$115,MATCH('FY-(26-27)Q1'!$S$2:$T$3,'FY-(26-27)Q3'!$A$2:$BX$2,0),0),0)</f>
        <v>0</v>
      </c>
      <c r="U28" s="158"/>
      <c r="V28" s="45"/>
      <c r="W28" s="72"/>
      <c r="Y28" s="153">
        <f t="shared" si="0"/>
        <v>345802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IFERROR(VLOOKUP($A$3:$A$139,'FY-(26-27)Q3'!$A$4:$ABW$115,MATCH('FY-(26-27)Q1'!$S$2:$T$2,'FY-(26-27)Q3'!$A$2:$BX$2,0),0),0)</f>
        <v>26201</v>
      </c>
      <c r="T29" s="154">
        <f>IFERROR(VLOOKUP($A$3:$A$139,'FY-(26-27)Q3'!$A$4:$ABW$115,MATCH('FY-(26-27)Q1'!$S$2:$T$3,'FY-(26-27)Q3'!$A$2:$BX$2,0),0),0)</f>
        <v>0</v>
      </c>
      <c r="U29" s="158"/>
      <c r="V29" s="45"/>
      <c r="W29" s="72"/>
      <c r="X29" s="1"/>
      <c r="Y29" s="153">
        <f t="shared" si="0"/>
        <v>905654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IFERROR(VLOOKUP($A$3:$A$139,'FY-(26-27)Q3'!$A$4:$ABW$115,MATCH('FY-(26-27)Q1'!$S$2:$T$2,'FY-(26-27)Q3'!$A$2:$BX$2,0),0),0)</f>
        <v>-150688</v>
      </c>
      <c r="T30" s="154">
        <f>IFERROR(VLOOKUP($A$3:$A$139,'FY-(26-27)Q3'!$A$4:$ABW$115,MATCH('FY-(26-27)Q1'!$S$2:$T$3,'FY-(26-27)Q3'!$A$2:$BX$2,0),0),0)</f>
        <v>0</v>
      </c>
      <c r="U30" s="158"/>
      <c r="V30" s="45"/>
      <c r="W30" s="72"/>
      <c r="X30" s="1"/>
      <c r="Y30" s="153">
        <f t="shared" si="0"/>
        <v>-93057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IFERROR(VLOOKUP($A$3:$A$139,'FY-(26-27)Q3'!$A$4:$ABW$115,MATCH('FY-(26-27)Q1'!$S$2:$T$2,'FY-(26-27)Q3'!$A$2:$BX$2,0),0),0)</f>
        <v>0</v>
      </c>
      <c r="T31" s="154">
        <f>IFERROR(VLOOKUP($A$3:$A$139,'FY-(26-27)Q3'!$A$4:$ABW$115,MATCH('FY-(26-27)Q1'!$S$2:$T$3,'FY-(26-27)Q3'!$A$2:$BX$2,0),0),0)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IFERROR(VLOOKUP($A$3:$A$139,'FY-(26-27)Q3'!$A$4:$ABW$115,MATCH('FY-(26-27)Q1'!$S$2:$T$2,'FY-(26-27)Q3'!$A$2:$BX$2,0),0),0)</f>
        <v>314415</v>
      </c>
      <c r="T32" s="154">
        <f>IFERROR(VLOOKUP($A$3:$A$139,'FY-(26-27)Q3'!$A$4:$ABW$115,MATCH('FY-(26-27)Q1'!$S$2:$T$3,'FY-(26-27)Q3'!$A$2:$BX$2,0),0),0)</f>
        <v>0</v>
      </c>
      <c r="U32" s="158"/>
      <c r="V32" s="45"/>
      <c r="W32" s="72"/>
      <c r="X32"/>
      <c r="Y32" s="153">
        <f t="shared" si="0"/>
        <v>-171590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IFERROR(VLOOKUP($A$3:$A$139,'FY-(26-27)Q3'!$A$4:$ABW$115,MATCH('FY-(26-27)Q1'!$S$2:$T$2,'FY-(26-27)Q3'!$A$2:$BX$2,0),0),0)</f>
        <v>0</v>
      </c>
      <c r="T33" s="154">
        <f>IFERROR(VLOOKUP($A$3:$A$139,'FY-(26-27)Q3'!$A$4:$ABW$115,MATCH('FY-(26-27)Q1'!$S$2:$T$3,'FY-(26-27)Q3'!$A$2:$BX$2,0),0),0)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IFERROR(VLOOKUP($A$3:$A$139,'FY-(26-27)Q3'!$A$4:$ABW$115,MATCH('FY-(26-27)Q1'!$S$2:$T$2,'FY-(26-27)Q3'!$A$2:$BX$2,0),0),0)</f>
        <v>-5462</v>
      </c>
      <c r="T34" s="154">
        <f>IFERROR(VLOOKUP($A$3:$A$139,'FY-(26-27)Q3'!$A$4:$ABW$115,MATCH('FY-(26-27)Q1'!$S$2:$T$3,'FY-(26-27)Q3'!$A$2:$BX$2,0),0),0)</f>
        <v>0</v>
      </c>
      <c r="U34" s="158"/>
      <c r="V34" s="45"/>
      <c r="W34" s="72"/>
      <c r="Y34" s="153">
        <f t="shared" si="0"/>
        <v>-153089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IFERROR(VLOOKUP($A$3:$A$139,'FY-(26-27)Q3'!$A$4:$ABW$115,MATCH('FY-(26-27)Q1'!$S$2:$T$2,'FY-(26-27)Q3'!$A$2:$BX$2,0),0),0)</f>
        <v>0</v>
      </c>
      <c r="T35" s="154">
        <f>IFERROR(VLOOKUP($A$3:$A$139,'FY-(26-27)Q3'!$A$4:$ABW$115,MATCH('FY-(26-27)Q1'!$S$2:$T$3,'FY-(26-27)Q3'!$A$2:$BX$2,0),0),0)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IFERROR(VLOOKUP($A$3:$A$139,'FY-(26-27)Q3'!$A$4:$ABW$115,MATCH('FY-(26-27)Q1'!$S$2:$T$2,'FY-(26-27)Q3'!$A$2:$BX$2,0),0),0)</f>
        <v>-232800</v>
      </c>
      <c r="T36" s="154">
        <f>IFERROR(VLOOKUP($A$3:$A$139,'FY-(26-27)Q3'!$A$4:$ABW$115,MATCH('FY-(26-27)Q1'!$S$2:$T$3,'FY-(26-27)Q3'!$A$2:$BX$2,0),0),0)</f>
        <v>0</v>
      </c>
      <c r="U36" s="158"/>
      <c r="V36" s="45"/>
      <c r="W36" s="72"/>
      <c r="Y36" s="153">
        <f t="shared" si="0"/>
        <v>2669826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IFERROR(VLOOKUP($A$3:$A$139,'FY-(26-27)Q3'!$A$4:$ABW$115,MATCH('FY-(26-27)Q1'!$S$2:$T$2,'FY-(26-27)Q3'!$A$2:$BX$2,0),0),0)</f>
        <v>16957</v>
      </c>
      <c r="T37" s="154">
        <f>IFERROR(VLOOKUP($A$3:$A$139,'FY-(26-27)Q3'!$A$4:$ABW$115,MATCH('FY-(26-27)Q1'!$S$2:$T$3,'FY-(26-27)Q3'!$A$2:$BX$2,0),0),0)</f>
        <v>0</v>
      </c>
      <c r="U37" s="158"/>
      <c r="V37" s="143"/>
      <c r="W37" s="149"/>
      <c r="Y37" s="153">
        <f t="shared" ref="Y37" si="22">M37+P37+S37+V37</f>
        <v>-26709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IFERROR(VLOOKUP($A$3:$A$139,'FY-(26-27)Q3'!$A$4:$ABW$115,MATCH('FY-(26-27)Q1'!$S$2:$T$2,'FY-(26-27)Q3'!$A$2:$BX$2,0),0),0)</f>
        <v>-75500</v>
      </c>
      <c r="T38" s="154">
        <f>IFERROR(VLOOKUP($A$3:$A$139,'FY-(26-27)Q3'!$A$4:$ABW$115,MATCH('FY-(26-27)Q1'!$S$2:$T$3,'FY-(26-27)Q3'!$A$2:$BX$2,0),0),0)</f>
        <v>0</v>
      </c>
      <c r="U38" s="158"/>
      <c r="V38" s="45"/>
      <c r="W38" s="72"/>
      <c r="Y38" s="153">
        <f t="shared" si="0"/>
        <v>2465554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IFERROR(VLOOKUP($A$3:$A$139,'FY-(26-27)Q3'!$A$4:$ABW$115,MATCH('FY-(26-27)Q1'!$S$2:$T$2,'FY-(26-27)Q3'!$A$2:$BX$2,0),0),0)</f>
        <v>444299</v>
      </c>
      <c r="T39" s="154">
        <f>IFERROR(VLOOKUP($A$3:$A$139,'FY-(26-27)Q3'!$A$4:$ABW$115,MATCH('FY-(26-27)Q1'!$S$2:$T$3,'FY-(26-27)Q3'!$A$2:$BX$2,0),0),0)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5725046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IFERROR(VLOOKUP($A$3:$A$139,'FY-(26-27)Q3'!$A$4:$ABW$115,MATCH('FY-(26-27)Q1'!$S$2:$T$2,'FY-(26-27)Q3'!$A$2:$BX$2,0),0),0)</f>
        <v>0</v>
      </c>
      <c r="T40" s="154">
        <f>IFERROR(VLOOKUP($A$3:$A$139,'FY-(26-27)Q3'!$A$4:$ABW$115,MATCH('FY-(26-27)Q1'!$S$2:$T$3,'FY-(26-27)Q3'!$A$2:$BX$2,0),0),0)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IFERROR(VLOOKUP($A$3:$A$139,'FY-(26-27)Q3'!$A$4:$ABW$115,MATCH('FY-(26-27)Q1'!$S$2:$T$2,'FY-(26-27)Q3'!$A$2:$BX$2,0),0),0)</f>
        <v>0</v>
      </c>
      <c r="T41" s="154">
        <f>IFERROR(VLOOKUP($A$3:$A$139,'FY-(26-27)Q3'!$A$4:$ABW$115,MATCH('FY-(26-27)Q1'!$S$2:$T$3,'FY-(26-27)Q3'!$A$2:$BX$2,0),0),0)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IFERROR(VLOOKUP($A$3:$A$139,'FY-(26-27)Q3'!$A$4:$ABW$115,MATCH('FY-(26-27)Q1'!$S$2:$T$2,'FY-(26-27)Q3'!$A$2:$BX$2,0),0),0)</f>
        <v>0</v>
      </c>
      <c r="T42" s="154">
        <f>IFERROR(VLOOKUP($A$3:$A$139,'FY-(26-27)Q3'!$A$4:$ABW$115,MATCH('FY-(26-27)Q1'!$S$2:$T$3,'FY-(26-27)Q3'!$A$2:$BX$2,0),0),0)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IFERROR(VLOOKUP($A$3:$A$139,'FY-(26-27)Q3'!$A$4:$ABW$115,MATCH('FY-(26-27)Q1'!$S$2:$T$2,'FY-(26-27)Q3'!$A$2:$BX$2,0),0),0)</f>
        <v>0</v>
      </c>
      <c r="T43" s="154">
        <f>IFERROR(VLOOKUP($A$3:$A$139,'FY-(26-27)Q3'!$A$4:$ABW$115,MATCH('FY-(26-27)Q1'!$S$2:$T$3,'FY-(26-27)Q3'!$A$2:$BX$2,0),0),0)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IFERROR(VLOOKUP($A$3:$A$139,'FY-(26-27)Q3'!$A$4:$ABW$115,MATCH('FY-(26-27)Q1'!$S$2:$T$2,'FY-(26-27)Q3'!$A$2:$BX$2,0),0),0)</f>
        <v>0</v>
      </c>
      <c r="T44" s="154">
        <f>IFERROR(VLOOKUP($A$3:$A$139,'FY-(26-27)Q3'!$A$4:$ABW$115,MATCH('FY-(26-27)Q1'!$S$2:$T$3,'FY-(26-27)Q3'!$A$2:$BX$2,0),0),0)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IFERROR(VLOOKUP($A$3:$A$139,'FY-(26-27)Q3'!$A$4:$ABW$115,MATCH('FY-(26-27)Q1'!$S$2:$T$2,'FY-(26-27)Q3'!$A$2:$BX$2,0),0),0)</f>
        <v>556830</v>
      </c>
      <c r="T45" s="154">
        <f>IFERROR(VLOOKUP($A$3:$A$139,'FY-(26-27)Q3'!$A$4:$ABW$115,MATCH('FY-(26-27)Q1'!$S$2:$T$3,'FY-(26-27)Q3'!$A$2:$BX$2,0),0),0)</f>
        <v>0</v>
      </c>
      <c r="U45" s="158"/>
      <c r="V45" s="45"/>
      <c r="W45" s="72"/>
      <c r="Y45" s="153">
        <f t="shared" si="24"/>
        <v>1657708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IFERROR(VLOOKUP($A$3:$A$139,'FY-(26-27)Q3'!$A$4:$ABW$115,MATCH('FY-(26-27)Q1'!$S$2:$T$2,'FY-(26-27)Q3'!$A$2:$BX$2,0),0),0)</f>
        <v>-5105</v>
      </c>
      <c r="T46" s="154">
        <f>IFERROR(VLOOKUP($A$3:$A$139,'FY-(26-27)Q3'!$A$4:$ABW$115,MATCH('FY-(26-27)Q1'!$S$2:$T$3,'FY-(26-27)Q3'!$A$2:$BX$2,0),0),0)</f>
        <v>0</v>
      </c>
      <c r="U46" s="158"/>
      <c r="V46" s="45"/>
      <c r="W46" s="72"/>
      <c r="X46" s="1"/>
      <c r="Y46" s="153">
        <f t="shared" si="24"/>
        <v>767766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-1.9594499999999999</v>
      </c>
      <c r="R47" s="158"/>
      <c r="S47" s="152">
        <f>IFERROR(VLOOKUP($A$3:$A$139,'FY-(26-27)Q3'!$A$4:$ABW$115,MATCH('FY-(26-27)Q1'!$S$2:$T$2,'FY-(26-27)Q3'!$A$2:$BX$2,0),0),0)</f>
        <v>77599</v>
      </c>
      <c r="T47" s="154">
        <f>IFERROR(VLOOKUP($A$3:$A$139,'FY-(26-27)Q3'!$A$4:$ABW$115,MATCH('FY-(26-27)Q1'!$S$2:$T$3,'FY-(26-27)Q3'!$A$2:$BX$2,0),0),0)</f>
        <v>0</v>
      </c>
      <c r="U47" s="158"/>
      <c r="V47" s="45"/>
      <c r="W47" s="72"/>
      <c r="Y47" s="153">
        <f t="shared" si="24"/>
        <v>-1451</v>
      </c>
      <c r="Z47" s="167">
        <f t="shared" si="25"/>
        <v>0.37844999999999995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IFERROR(VLOOKUP($A$3:$A$139,'FY-(26-27)Q3'!$A$4:$ABW$115,MATCH('FY-(26-27)Q1'!$S$2:$T$2,'FY-(26-27)Q3'!$A$2:$BX$2,0),0),0)</f>
        <v>0</v>
      </c>
      <c r="T48" s="154">
        <f>IFERROR(VLOOKUP($A$3:$A$139,'FY-(26-27)Q3'!$A$4:$ABW$115,MATCH('FY-(26-27)Q1'!$S$2:$T$3,'FY-(26-27)Q3'!$A$2:$BX$2,0),0),0)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IFERROR(VLOOKUP($A$3:$A$139,'FY-(26-27)Q3'!$A$4:$ABW$115,MATCH('FY-(26-27)Q1'!$S$2:$T$2,'FY-(26-27)Q3'!$A$2:$BX$2,0),0),0)</f>
        <v>168476</v>
      </c>
      <c r="T49" s="154">
        <f>IFERROR(VLOOKUP($A$3:$A$139,'FY-(26-27)Q3'!$A$4:$ABW$115,MATCH('FY-(26-27)Q1'!$S$2:$T$3,'FY-(26-27)Q3'!$A$2:$BX$2,0),0),0)</f>
        <v>0</v>
      </c>
      <c r="U49" s="158"/>
      <c r="V49" s="45"/>
      <c r="W49" s="72"/>
      <c r="Y49" s="153">
        <f t="shared" si="24"/>
        <v>236741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IFERROR(VLOOKUP($A$3:$A$139,'FY-(26-27)Q3'!$A$4:$ABW$115,MATCH('FY-(26-27)Q1'!$S$2:$T$2,'FY-(26-27)Q3'!$A$2:$BX$2,0),0),0)</f>
        <v>0</v>
      </c>
      <c r="T50" s="154">
        <f>IFERROR(VLOOKUP($A$3:$A$139,'FY-(26-27)Q3'!$A$4:$ABW$115,MATCH('FY-(26-27)Q1'!$S$2:$T$3,'FY-(26-27)Q3'!$A$2:$BX$2,0),0),0)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IFERROR(VLOOKUP($A$3:$A$139,'FY-(26-27)Q3'!$A$4:$ABW$115,MATCH('FY-(26-27)Q1'!$S$2:$T$2,'FY-(26-27)Q3'!$A$2:$BX$2,0),0),0)</f>
        <v>0</v>
      </c>
      <c r="T51" s="154">
        <f>IFERROR(VLOOKUP($A$3:$A$139,'FY-(26-27)Q3'!$A$4:$ABW$115,MATCH('FY-(26-27)Q1'!$S$2:$T$3,'FY-(26-27)Q3'!$A$2:$BX$2,0),0),0)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IFERROR(VLOOKUP($A$3:$A$139,'FY-(26-27)Q3'!$A$4:$ABW$115,MATCH('FY-(26-27)Q1'!$S$2:$T$2,'FY-(26-27)Q3'!$A$2:$BX$2,0),0),0)</f>
        <v>164731</v>
      </c>
      <c r="T52" s="154">
        <f>IFERROR(VLOOKUP($A$3:$A$139,'FY-(26-27)Q3'!$A$4:$ABW$115,MATCH('FY-(26-27)Q1'!$S$2:$T$3,'FY-(26-27)Q3'!$A$2:$BX$2,0),0),0)</f>
        <v>0</v>
      </c>
      <c r="U52" s="158"/>
      <c r="V52" s="45"/>
      <c r="W52" s="72"/>
      <c r="Y52" s="153">
        <f t="shared" si="24"/>
        <v>359792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IFERROR(VLOOKUP($A$3:$A$139,'FY-(26-27)Q3'!$A$4:$ABW$115,MATCH('FY-(26-27)Q1'!$S$2:$T$2,'FY-(26-27)Q3'!$A$2:$BX$2,0),0),0)</f>
        <v>-30412</v>
      </c>
      <c r="T53" s="154">
        <f>IFERROR(VLOOKUP($A$3:$A$139,'FY-(26-27)Q3'!$A$4:$ABW$115,MATCH('FY-(26-27)Q1'!$S$2:$T$3,'FY-(26-27)Q3'!$A$2:$BX$2,0),0),0)</f>
        <v>0</v>
      </c>
      <c r="U53" s="158"/>
      <c r="V53" s="45"/>
      <c r="W53" s="72"/>
      <c r="Y53" s="153">
        <f t="shared" si="24"/>
        <v>629837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IFERROR(VLOOKUP($A$3:$A$139,'FY-(26-27)Q3'!$A$4:$ABW$115,MATCH('FY-(26-27)Q1'!$S$2:$T$2,'FY-(26-27)Q3'!$A$2:$BX$2,0),0),0)</f>
        <v>0</v>
      </c>
      <c r="T54" s="154">
        <f>IFERROR(VLOOKUP($A$3:$A$139,'FY-(26-27)Q3'!$A$4:$ABW$115,MATCH('FY-(26-27)Q1'!$S$2:$T$3,'FY-(26-27)Q3'!$A$2:$BX$2,0),0),0)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IFERROR(VLOOKUP($A$3:$A$139,'FY-(26-27)Q3'!$A$4:$ABW$115,MATCH('FY-(26-27)Q1'!$S$2:$T$2,'FY-(26-27)Q3'!$A$2:$BX$2,0),0),0)</f>
        <v>30173</v>
      </c>
      <c r="T55" s="154">
        <f>IFERROR(VLOOKUP($A$3:$A$139,'FY-(26-27)Q3'!$A$4:$ABW$115,MATCH('FY-(26-27)Q1'!$S$2:$T$3,'FY-(26-27)Q3'!$A$2:$BX$2,0),0),0)</f>
        <v>0</v>
      </c>
      <c r="U55" s="158"/>
      <c r="V55" s="143"/>
      <c r="W55" s="149"/>
      <c r="X55" s="131"/>
      <c r="Y55" s="153">
        <f t="shared" si="24"/>
        <v>-243852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IFERROR(VLOOKUP($A$3:$A$139,'FY-(26-27)Q3'!$A$4:$ABW$115,MATCH('FY-(26-27)Q1'!$S$2:$T$2,'FY-(26-27)Q3'!$A$2:$BX$2,0),0),0)</f>
        <v>406134</v>
      </c>
      <c r="T56" s="154">
        <f>IFERROR(VLOOKUP($A$3:$A$139,'FY-(26-27)Q3'!$A$4:$ABW$115,MATCH('FY-(26-27)Q1'!$S$2:$T$3,'FY-(26-27)Q3'!$A$2:$BX$2,0),0),0)</f>
        <v>0</v>
      </c>
      <c r="U56" s="158"/>
      <c r="V56" s="45"/>
      <c r="W56" s="72"/>
      <c r="Y56" s="153">
        <f t="shared" si="24"/>
        <v>-4248201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IFERROR(VLOOKUP($A$3:$A$139,'FY-(26-27)Q3'!$A$4:$ABW$115,MATCH('FY-(26-27)Q1'!$S$2:$T$2,'FY-(26-27)Q3'!$A$2:$BX$2,0),0),0)</f>
        <v>0</v>
      </c>
      <c r="T57" s="154">
        <f>IFERROR(VLOOKUP($A$3:$A$139,'FY-(26-27)Q3'!$A$4:$ABW$115,MATCH('FY-(26-27)Q1'!$S$2:$T$3,'FY-(26-27)Q3'!$A$2:$BX$2,0),0),0)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IFERROR(VLOOKUP($A$3:$A$139,'FY-(26-27)Q3'!$A$4:$ABW$115,MATCH('FY-(26-27)Q1'!$S$2:$T$2,'FY-(26-27)Q3'!$A$2:$BX$2,0),0),0)</f>
        <v>0</v>
      </c>
      <c r="T58" s="154">
        <f>IFERROR(VLOOKUP($A$3:$A$139,'FY-(26-27)Q3'!$A$4:$ABW$115,MATCH('FY-(26-27)Q1'!$S$2:$T$3,'FY-(26-27)Q3'!$A$2:$BX$2,0),0),0)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IFERROR(VLOOKUP($A$3:$A$139,'FY-(26-27)Q3'!$A$4:$ABW$115,MATCH('FY-(26-27)Q1'!$S$2:$T$2,'FY-(26-27)Q3'!$A$2:$BX$2,0),0),0)</f>
        <v>42200</v>
      </c>
      <c r="T59" s="154">
        <f>IFERROR(VLOOKUP($A$3:$A$139,'FY-(26-27)Q3'!$A$4:$ABW$115,MATCH('FY-(26-27)Q1'!$S$2:$T$3,'FY-(26-27)Q3'!$A$2:$BX$2,0),0),0)</f>
        <v>0</v>
      </c>
      <c r="U59" s="158"/>
      <c r="V59" s="45"/>
      <c r="W59" s="72"/>
      <c r="X59" s="1"/>
      <c r="Y59" s="153">
        <f t="shared" si="24"/>
        <v>74891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IFERROR(VLOOKUP($A$3:$A$139,'FY-(26-27)Q3'!$A$4:$ABW$115,MATCH('FY-(26-27)Q1'!$S$2:$T$2,'FY-(26-27)Q3'!$A$2:$BX$2,0),0),0)</f>
        <v>-599929</v>
      </c>
      <c r="T60" s="154">
        <f>IFERROR(VLOOKUP($A$3:$A$139,'FY-(26-27)Q3'!$A$4:$ABW$115,MATCH('FY-(26-27)Q1'!$S$2:$T$3,'FY-(26-27)Q3'!$A$2:$BX$2,0),0),0)</f>
        <v>0</v>
      </c>
      <c r="U60" s="158"/>
      <c r="V60" s="45"/>
      <c r="W60" s="72"/>
      <c r="Y60" s="153">
        <f t="shared" si="24"/>
        <v>3079686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IFERROR(VLOOKUP($A$3:$A$139,'FY-(26-27)Q3'!$A$4:$ABW$115,MATCH('FY-(26-27)Q1'!$S$2:$T$2,'FY-(26-27)Q3'!$A$2:$BX$2,0),0),0)</f>
        <v>9196</v>
      </c>
      <c r="T61" s="154">
        <f>IFERROR(VLOOKUP($A$3:$A$139,'FY-(26-27)Q3'!$A$4:$ABW$115,MATCH('FY-(26-27)Q1'!$S$2:$T$3,'FY-(26-27)Q3'!$A$2:$BX$2,0),0),0)</f>
        <v>0</v>
      </c>
      <c r="U61" s="158"/>
      <c r="V61" s="143"/>
      <c r="W61" s="149"/>
      <c r="Y61" s="153">
        <f t="shared" ref="Y61" si="39">M61+P61+S61+V61</f>
        <v>22487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IFERROR(VLOOKUP($A$3:$A$139,'FY-(26-27)Q3'!$A$4:$ABW$115,MATCH('FY-(26-27)Q1'!$S$2:$T$2,'FY-(26-27)Q3'!$A$2:$BX$2,0),0),0)</f>
        <v>425136</v>
      </c>
      <c r="T62" s="154">
        <f>IFERROR(VLOOKUP($A$3:$A$139,'FY-(26-27)Q3'!$A$4:$ABW$115,MATCH('FY-(26-27)Q1'!$S$2:$T$3,'FY-(26-27)Q3'!$A$2:$BX$2,0),0),0)</f>
        <v>0</v>
      </c>
      <c r="U62" s="158"/>
      <c r="V62" s="45"/>
      <c r="W62" s="72"/>
      <c r="Y62" s="153">
        <f t="shared" si="24"/>
        <v>1268237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IFERROR(VLOOKUP($A$3:$A$139,'FY-(26-27)Q3'!$A$4:$ABW$115,MATCH('FY-(26-27)Q1'!$S$2:$T$2,'FY-(26-27)Q3'!$A$2:$BX$2,0),0),0)</f>
        <v>55020</v>
      </c>
      <c r="T63" s="154">
        <f>IFERROR(VLOOKUP($A$3:$A$139,'FY-(26-27)Q3'!$A$4:$ABW$115,MATCH('FY-(26-27)Q1'!$S$2:$T$3,'FY-(26-27)Q3'!$A$2:$BX$2,0),0),0)</f>
        <v>0</v>
      </c>
      <c r="U63" s="158"/>
      <c r="V63" s="45"/>
      <c r="W63" s="72"/>
      <c r="Y63" s="153">
        <f t="shared" si="24"/>
        <v>1019893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IFERROR(VLOOKUP($A$3:$A$139,'FY-(26-27)Q3'!$A$4:$ABW$115,MATCH('FY-(26-27)Q1'!$S$2:$T$2,'FY-(26-27)Q3'!$A$2:$BX$2,0),0),0)</f>
        <v>0</v>
      </c>
      <c r="T64" s="154">
        <f>IFERROR(VLOOKUP($A$3:$A$139,'FY-(26-27)Q3'!$A$4:$ABW$115,MATCH('FY-(26-27)Q1'!$S$2:$T$3,'FY-(26-27)Q3'!$A$2:$BX$2,0),0),0)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IFERROR(VLOOKUP($A$3:$A$139,'FY-(26-27)Q3'!$A$4:$ABW$115,MATCH('FY-(26-27)Q1'!$S$2:$T$2,'FY-(26-27)Q3'!$A$2:$BX$2,0),0),0)</f>
        <v>58900</v>
      </c>
      <c r="T65" s="154">
        <f>IFERROR(VLOOKUP($A$3:$A$139,'FY-(26-27)Q3'!$A$4:$ABW$115,MATCH('FY-(26-27)Q1'!$S$2:$T$3,'FY-(26-27)Q3'!$A$2:$BX$2,0),0),0)</f>
        <v>0</v>
      </c>
      <c r="U65" s="158"/>
      <c r="V65" s="143"/>
      <c r="W65" s="149"/>
      <c r="X65" s="131"/>
      <c r="Y65" s="153">
        <f t="shared" si="24"/>
        <v>841681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IFERROR(VLOOKUP($A$3:$A$139,'FY-(26-27)Q3'!$A$4:$ABW$115,MATCH('FY-(26-27)Q1'!$S$2:$T$2,'FY-(26-27)Q3'!$A$2:$BX$2,0),0),0)</f>
        <v>0</v>
      </c>
      <c r="T66" s="154">
        <f>IFERROR(VLOOKUP($A$3:$A$139,'FY-(26-27)Q3'!$A$4:$ABW$115,MATCH('FY-(26-27)Q1'!$S$2:$T$3,'FY-(26-27)Q3'!$A$2:$BX$2,0),0),0)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IFERROR(VLOOKUP($A$3:$A$139,'FY-(26-27)Q3'!$A$4:$ABW$115,MATCH('FY-(26-27)Q1'!$S$2:$T$2,'FY-(26-27)Q3'!$A$2:$BX$2,0),0),0)</f>
        <v>-558950</v>
      </c>
      <c r="T67" s="154">
        <f>IFERROR(VLOOKUP($A$3:$A$139,'FY-(26-27)Q3'!$A$4:$ABW$115,MATCH('FY-(26-27)Q1'!$S$2:$T$3,'FY-(26-27)Q3'!$A$2:$BX$2,0),0),0)</f>
        <v>0</v>
      </c>
      <c r="U67" s="158"/>
      <c r="V67" s="143"/>
      <c r="W67" s="149"/>
      <c r="Y67" s="153">
        <f t="shared" ref="Y67" si="45">M67+P67+S67+V67</f>
        <v>-1521779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IFERROR(VLOOKUP($A$3:$A$139,'FY-(26-27)Q3'!$A$4:$ABW$115,MATCH('FY-(26-27)Q1'!$S$2:$T$2,'FY-(26-27)Q3'!$A$2:$BX$2,0),0),0)</f>
        <v>0</v>
      </c>
      <c r="T68" s="154">
        <f>IFERROR(VLOOKUP($A$3:$A$139,'FY-(26-27)Q3'!$A$4:$ABW$115,MATCH('FY-(26-27)Q1'!$S$2:$T$3,'FY-(26-27)Q3'!$A$2:$BX$2,0),0),0)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IFERROR(VLOOKUP($A$3:$A$139,'FY-(26-27)Q3'!$A$4:$ABW$115,MATCH('FY-(26-27)Q1'!$S$2:$T$2,'FY-(26-27)Q3'!$A$2:$BX$2,0),0),0)</f>
        <v>48546</v>
      </c>
      <c r="T69" s="154">
        <f>IFERROR(VLOOKUP($A$3:$A$139,'FY-(26-27)Q3'!$A$4:$ABW$115,MATCH('FY-(26-27)Q1'!$S$2:$T$3,'FY-(26-27)Q3'!$A$2:$BX$2,0),0),0)</f>
        <v>0</v>
      </c>
      <c r="U69" s="158"/>
      <c r="V69" s="143"/>
      <c r="W69" s="149"/>
      <c r="Y69" s="153">
        <f t="shared" si="24"/>
        <v>-21339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IFERROR(VLOOKUP($A$3:$A$139,'FY-(26-27)Q3'!$A$4:$ABW$115,MATCH('FY-(26-27)Q1'!$S$2:$T$2,'FY-(26-27)Q3'!$A$2:$BX$2,0),0),0)</f>
        <v>359896</v>
      </c>
      <c r="T70" s="154">
        <f>IFERROR(VLOOKUP($A$3:$A$139,'FY-(26-27)Q3'!$A$4:$ABW$115,MATCH('FY-(26-27)Q1'!$S$2:$T$3,'FY-(26-27)Q3'!$A$2:$BX$2,0),0),0)</f>
        <v>0</v>
      </c>
      <c r="U70" s="158"/>
      <c r="V70" s="143"/>
      <c r="W70" s="149"/>
      <c r="Y70" s="153">
        <f t="shared" si="24"/>
        <v>-935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IFERROR(VLOOKUP($A$3:$A$139,'FY-(26-27)Q3'!$A$4:$ABW$115,MATCH('FY-(26-27)Q1'!$S$2:$T$2,'FY-(26-27)Q3'!$A$2:$BX$2,0),0),0)</f>
        <v>0</v>
      </c>
      <c r="T71" s="154">
        <f>IFERROR(VLOOKUP($A$3:$A$139,'FY-(26-27)Q3'!$A$4:$ABW$115,MATCH('FY-(26-27)Q1'!$S$2:$T$3,'FY-(26-27)Q3'!$A$2:$BX$2,0),0),0)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IFERROR(VLOOKUP($A$3:$A$139,'FY-(26-27)Q3'!$A$4:$ABW$115,MATCH('FY-(26-27)Q1'!$S$2:$T$2,'FY-(26-27)Q3'!$A$2:$BX$2,0),0),0)</f>
        <v>0</v>
      </c>
      <c r="T72" s="154">
        <f>IFERROR(VLOOKUP($A$3:$A$139,'FY-(26-27)Q3'!$A$4:$ABW$115,MATCH('FY-(26-27)Q1'!$S$2:$T$3,'FY-(26-27)Q3'!$A$2:$BX$2,0),0),0)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IFERROR(VLOOKUP($A$3:$A$139,'FY-(26-27)Q3'!$A$4:$ABW$115,MATCH('FY-(26-27)Q1'!$S$2:$T$2,'FY-(26-27)Q3'!$A$2:$BX$2,0),0),0)</f>
        <v>114987</v>
      </c>
      <c r="T73" s="154">
        <f>IFERROR(VLOOKUP($A$3:$A$139,'FY-(26-27)Q3'!$A$4:$ABW$115,MATCH('FY-(26-27)Q1'!$S$2:$T$3,'FY-(26-27)Q3'!$A$2:$BX$2,0),0),0)</f>
        <v>0</v>
      </c>
      <c r="U73" s="158"/>
      <c r="V73" s="45"/>
      <c r="W73" s="72"/>
      <c r="Y73" s="153">
        <f t="shared" si="24"/>
        <v>487291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IFERROR(VLOOKUP($A$3:$A$139,'FY-(26-27)Q3'!$A$4:$ABW$115,MATCH('FY-(26-27)Q1'!$S$2:$T$2,'FY-(26-27)Q3'!$A$2:$BX$2,0),0),0)</f>
        <v>0</v>
      </c>
      <c r="T74" s="154">
        <f>IFERROR(VLOOKUP($A$3:$A$139,'FY-(26-27)Q3'!$A$4:$ABW$115,MATCH('FY-(26-27)Q1'!$S$2:$T$3,'FY-(26-27)Q3'!$A$2:$BX$2,0),0),0)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IFERROR(VLOOKUP($A$3:$A$139,'FY-(26-27)Q3'!$A$4:$ABW$115,MATCH('FY-(26-27)Q1'!$S$2:$T$2,'FY-(26-27)Q3'!$A$2:$BX$2,0),0),0)</f>
        <v>0</v>
      </c>
      <c r="T75" s="154">
        <f>IFERROR(VLOOKUP($A$3:$A$139,'FY-(26-27)Q3'!$A$4:$ABW$115,MATCH('FY-(26-27)Q1'!$S$2:$T$3,'FY-(26-27)Q3'!$A$2:$BX$2,0),0),0)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IFERROR(VLOOKUP($A$3:$A$139,'FY-(26-27)Q3'!$A$4:$ABW$115,MATCH('FY-(26-27)Q1'!$S$2:$T$2,'FY-(26-27)Q3'!$A$2:$BX$2,0),0),0)</f>
        <v>368941</v>
      </c>
      <c r="T76" s="154">
        <f>IFERROR(VLOOKUP($A$3:$A$139,'FY-(26-27)Q3'!$A$4:$ABW$115,MATCH('FY-(26-27)Q1'!$S$2:$T$3,'FY-(26-27)Q3'!$A$2:$BX$2,0),0),0)</f>
        <v>0</v>
      </c>
      <c r="U76" s="158"/>
      <c r="V76" s="143"/>
      <c r="W76" s="149"/>
      <c r="Y76" s="153">
        <f t="shared" si="55"/>
        <v>859794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2649454</v>
      </c>
      <c r="T77" s="122"/>
      <c r="U77" s="122"/>
      <c r="V77" s="56"/>
      <c r="W77" s="50"/>
      <c r="Y77" s="153">
        <f>SUM(Y4:Y76)</f>
        <v>26399611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46" priority="450">
      <formula>MOD(ROW(),2)=0</formula>
    </cfRule>
  </conditionalFormatting>
  <conditionalFormatting sqref="V38:V39 V23:V24 V59 V48:V49 V56 V45:V46 V27:V29 G2:I3 V52 G4:H4">
    <cfRule type="expression" dxfId="245" priority="449">
      <formula>MOD(ROW(),2)=0</formula>
    </cfRule>
  </conditionalFormatting>
  <conditionalFormatting sqref="J2:J3">
    <cfRule type="expression" dxfId="244" priority="446">
      <formula>MOD(ROW(),2)=0</formula>
    </cfRule>
  </conditionalFormatting>
  <conditionalFormatting sqref="V80:W81">
    <cfRule type="expression" dxfId="243" priority="443">
      <formula>MOD(ROW(),2)=0</formula>
    </cfRule>
  </conditionalFormatting>
  <conditionalFormatting sqref="K2:K3">
    <cfRule type="expression" dxfId="242" priority="444">
      <formula>MOD(ROW(),2)=0</formula>
    </cfRule>
  </conditionalFormatting>
  <conditionalFormatting sqref="V60">
    <cfRule type="expression" dxfId="241" priority="434">
      <formula>MOD(ROW(),2)=0</formula>
    </cfRule>
  </conditionalFormatting>
  <conditionalFormatting sqref="V22">
    <cfRule type="expression" dxfId="240" priority="435">
      <formula>MOD(ROW(),2)=0</formula>
    </cfRule>
  </conditionalFormatting>
  <conditionalFormatting sqref="A53:C53 E53">
    <cfRule type="expression" dxfId="239" priority="424">
      <formula>MOD(ROW(),2)=0</formula>
    </cfRule>
  </conditionalFormatting>
  <conditionalFormatting sqref="V53 V55">
    <cfRule type="expression" dxfId="238" priority="422">
      <formula>MOD(ROW(),2)=0</formula>
    </cfRule>
  </conditionalFormatting>
  <conditionalFormatting sqref="E56">
    <cfRule type="expression" dxfId="237" priority="420">
      <formula>MOD(ROW(),2)=0</formula>
    </cfRule>
  </conditionalFormatting>
  <conditionalFormatting sqref="V42">
    <cfRule type="expression" dxfId="236" priority="411">
      <formula>MOD(ROW(),2)=0</formula>
    </cfRule>
  </conditionalFormatting>
  <conditionalFormatting sqref="A30:F30">
    <cfRule type="expression" dxfId="235" priority="410">
      <formula>MOD(ROW(),2)=0</formula>
    </cfRule>
  </conditionalFormatting>
  <conditionalFormatting sqref="B72:C72">
    <cfRule type="expression" dxfId="234" priority="382">
      <formula>MOD(ROW(),2)=0</formula>
    </cfRule>
  </conditionalFormatting>
  <conditionalFormatting sqref="V30">
    <cfRule type="expression" dxfId="233" priority="408">
      <formula>MOD(ROW(),2)=0</formula>
    </cfRule>
  </conditionalFormatting>
  <conditionalFormatting sqref="A26:E26">
    <cfRule type="expression" dxfId="232" priority="407">
      <formula>MOD(ROW(),2)=0</formula>
    </cfRule>
  </conditionalFormatting>
  <conditionalFormatting sqref="V26">
    <cfRule type="expression" dxfId="231" priority="405">
      <formula>MOD(ROW(),2)=0</formula>
    </cfRule>
  </conditionalFormatting>
  <conditionalFormatting sqref="A25:E25">
    <cfRule type="expression" dxfId="230" priority="404">
      <formula>MOD(ROW(),2)=0</formula>
    </cfRule>
  </conditionalFormatting>
  <conditionalFormatting sqref="V25">
    <cfRule type="expression" dxfId="229" priority="402">
      <formula>MOD(ROW(),2)=0</formula>
    </cfRule>
  </conditionalFormatting>
  <conditionalFormatting sqref="A58:C58 E58:F58">
    <cfRule type="expression" dxfId="228" priority="389">
      <formula>MOD(ROW(),2)=0</formula>
    </cfRule>
  </conditionalFormatting>
  <conditionalFormatting sqref="U4 U20:U21">
    <cfRule type="expression" dxfId="227" priority="333">
      <formula>MOD(ROW(),2)=0</formula>
    </cfRule>
  </conditionalFormatting>
  <conditionalFormatting sqref="A72">
    <cfRule type="expression" dxfId="226" priority="380">
      <formula>MOD(ROW(),2)=0</formula>
    </cfRule>
  </conditionalFormatting>
  <conditionalFormatting sqref="U4 U20:U21">
    <cfRule type="expression" dxfId="225" priority="332">
      <formula>MOD(ROW(),2)=0</formula>
    </cfRule>
  </conditionalFormatting>
  <conditionalFormatting sqref="V58">
    <cfRule type="expression" dxfId="224" priority="385">
      <formula>MOD(ROW(),2)=0</formula>
    </cfRule>
  </conditionalFormatting>
  <conditionalFormatting sqref="F25">
    <cfRule type="expression" dxfId="223" priority="351">
      <formula>MOD(ROW(),2)=0</formula>
    </cfRule>
  </conditionalFormatting>
  <conditionalFormatting sqref="M20:O21 M34:O34">
    <cfRule type="expression" dxfId="222" priority="349">
      <formula>MOD(ROW(),2)=0</formula>
    </cfRule>
  </conditionalFormatting>
  <conditionalFormatting sqref="A17:F17 A18:C18 E18:F18">
    <cfRule type="expression" dxfId="221" priority="357">
      <formula>MOD(ROW(),2)=0</formula>
    </cfRule>
  </conditionalFormatting>
  <conditionalFormatting sqref="V17:W17">
    <cfRule type="expression" dxfId="220" priority="356">
      <formula>MOD(ROW(),2)=0</formula>
    </cfRule>
  </conditionalFormatting>
  <conditionalFormatting sqref="R4 R20:R21">
    <cfRule type="expression" dxfId="219" priority="341">
      <formula>MOD(ROW(),2)=0</formula>
    </cfRule>
  </conditionalFormatting>
  <conditionalFormatting sqref="R4 R20:R21">
    <cfRule type="expression" dxfId="218" priority="340">
      <formula>MOD(ROW(),2)=0</formula>
    </cfRule>
  </conditionalFormatting>
  <conditionalFormatting sqref="V66:V68">
    <cfRule type="expression" dxfId="217" priority="371">
      <formula>MOD(ROW(),2)=0</formula>
    </cfRule>
  </conditionalFormatting>
  <conditionalFormatting sqref="W62">
    <cfRule type="expression" dxfId="216" priority="331">
      <formula>MOD(ROW(),2)=0</formula>
    </cfRule>
  </conditionalFormatting>
  <conditionalFormatting sqref="M35:O35">
    <cfRule type="expression" dxfId="215" priority="342">
      <formula>MOD(ROW(),2)=0</formula>
    </cfRule>
  </conditionalFormatting>
  <conditionalFormatting sqref="F26">
    <cfRule type="expression" dxfId="214" priority="352">
      <formula>MOD(ROW(),2)=0</formula>
    </cfRule>
  </conditionalFormatting>
  <conditionalFormatting sqref="N20:O21 N34:O34">
    <cfRule type="expression" dxfId="213" priority="350">
      <formula>MOD(ROW(),2)=0</formula>
    </cfRule>
  </conditionalFormatting>
  <conditionalFormatting sqref="N35:O35">
    <cfRule type="expression" dxfId="212" priority="343">
      <formula>MOD(ROW(),2)=0</formula>
    </cfRule>
  </conditionalFormatting>
  <conditionalFormatting sqref="V62">
    <cfRule type="expression" dxfId="211" priority="330">
      <formula>MOD(ROW(),2)=0</formula>
    </cfRule>
  </conditionalFormatting>
  <conditionalFormatting sqref="M18:O18">
    <cfRule type="expression" dxfId="210" priority="288">
      <formula>MOD(ROW(),2)=0</formula>
    </cfRule>
  </conditionalFormatting>
  <conditionalFormatting sqref="R18">
    <cfRule type="expression" dxfId="209" priority="287">
      <formula>MOD(ROW(),2)=0</formula>
    </cfRule>
  </conditionalFormatting>
  <conditionalFormatting sqref="U18">
    <cfRule type="expression" dxfId="208" priority="285">
      <formula>MOD(ROW(),2)=0</formula>
    </cfRule>
  </conditionalFormatting>
  <conditionalFormatting sqref="B31:F31 B32:C32 E32:F32">
    <cfRule type="expression" dxfId="207" priority="277">
      <formula>MOD(ROW(),2)=0</formula>
    </cfRule>
  </conditionalFormatting>
  <conditionalFormatting sqref="W31">
    <cfRule type="expression" dxfId="206" priority="276">
      <formula>MOD(ROW(),2)=0</formula>
    </cfRule>
  </conditionalFormatting>
  <conditionalFormatting sqref="V18:W18">
    <cfRule type="expression" dxfId="205" priority="290">
      <formula>MOD(ROW(),2)=0</formula>
    </cfRule>
  </conditionalFormatting>
  <conditionalFormatting sqref="N18:O18">
    <cfRule type="expression" dxfId="204" priority="289">
      <formula>MOD(ROW(),2)=0</formula>
    </cfRule>
  </conditionalFormatting>
  <conditionalFormatting sqref="R18">
    <cfRule type="expression" dxfId="203" priority="286">
      <formula>MOD(ROW(),2)=0</formula>
    </cfRule>
  </conditionalFormatting>
  <conditionalFormatting sqref="U18">
    <cfRule type="expression" dxfId="202" priority="284">
      <formula>MOD(ROW(),2)=0</formula>
    </cfRule>
  </conditionalFormatting>
  <conditionalFormatting sqref="V31">
    <cfRule type="expression" dxfId="201" priority="275">
      <formula>MOD(ROW(),2)=0</formula>
    </cfRule>
  </conditionalFormatting>
  <conditionalFormatting sqref="U31">
    <cfRule type="expression" dxfId="200" priority="269">
      <formula>MOD(ROW(),2)=0</formula>
    </cfRule>
  </conditionalFormatting>
  <conditionalFormatting sqref="N31:O31">
    <cfRule type="expression" dxfId="199" priority="274">
      <formula>MOD(ROW(),2)=0</formula>
    </cfRule>
  </conditionalFormatting>
  <conditionalFormatting sqref="M31:O31">
    <cfRule type="expression" dxfId="198" priority="273">
      <formula>MOD(ROW(),2)=0</formula>
    </cfRule>
  </conditionalFormatting>
  <conditionalFormatting sqref="U31">
    <cfRule type="expression" dxfId="197" priority="270">
      <formula>MOD(ROW(),2)=0</formula>
    </cfRule>
  </conditionalFormatting>
  <conditionalFormatting sqref="R31">
    <cfRule type="expression" dxfId="196" priority="272">
      <formula>MOD(ROW(),2)=0</formula>
    </cfRule>
  </conditionalFormatting>
  <conditionalFormatting sqref="R31">
    <cfRule type="expression" dxfId="195" priority="271">
      <formula>MOD(ROW(),2)=0</formula>
    </cfRule>
  </conditionalFormatting>
  <conditionalFormatting sqref="A11:F11 A10:C10 E10:F10 F12">
    <cfRule type="expression" dxfId="194" priority="262">
      <formula>MOD(ROW(),2)=0</formula>
    </cfRule>
  </conditionalFormatting>
  <conditionalFormatting sqref="V10:W11">
    <cfRule type="expression" dxfId="193" priority="261">
      <formula>MOD(ROW(),2)=0</formula>
    </cfRule>
  </conditionalFormatting>
  <conditionalFormatting sqref="R10:R11">
    <cfRule type="expression" dxfId="192" priority="258">
      <formula>MOD(ROW(),2)=0</formula>
    </cfRule>
  </conditionalFormatting>
  <conditionalFormatting sqref="R10:R11">
    <cfRule type="expression" dxfId="191" priority="257">
      <formula>MOD(ROW(),2)=0</formula>
    </cfRule>
  </conditionalFormatting>
  <conditionalFormatting sqref="U10:U11">
    <cfRule type="expression" dxfId="190" priority="255">
      <formula>MOD(ROW(),2)=0</formula>
    </cfRule>
  </conditionalFormatting>
  <conditionalFormatting sqref="N10:O11">
    <cfRule type="expression" dxfId="189" priority="260">
      <formula>MOD(ROW(),2)=0</formula>
    </cfRule>
  </conditionalFormatting>
  <conditionalFormatting sqref="M10:O11">
    <cfRule type="expression" dxfId="188" priority="259">
      <formula>MOD(ROW(),2)=0</formula>
    </cfRule>
  </conditionalFormatting>
  <conditionalFormatting sqref="U10:U11">
    <cfRule type="expression" dxfId="187" priority="256">
      <formula>MOD(ROW(),2)=0</formula>
    </cfRule>
  </conditionalFormatting>
  <conditionalFormatting sqref="A47:C47 E47:F47">
    <cfRule type="expression" dxfId="186" priority="248">
      <formula>MOD(ROW(),2)=0</formula>
    </cfRule>
  </conditionalFormatting>
  <conditionalFormatting sqref="W47">
    <cfRule type="expression" dxfId="185" priority="247">
      <formula>MOD(ROW(),2)=0</formula>
    </cfRule>
  </conditionalFormatting>
  <conditionalFormatting sqref="V47">
    <cfRule type="expression" dxfId="184" priority="246">
      <formula>MOD(ROW(),2)=0</formula>
    </cfRule>
  </conditionalFormatting>
  <conditionalFormatting sqref="U47">
    <cfRule type="expression" dxfId="183" priority="241">
      <formula>MOD(ROW(),2)=0</formula>
    </cfRule>
  </conditionalFormatting>
  <conditionalFormatting sqref="U47">
    <cfRule type="expression" dxfId="182" priority="240">
      <formula>MOD(ROW(),2)=0</formula>
    </cfRule>
  </conditionalFormatting>
  <conditionalFormatting sqref="M47:O47">
    <cfRule type="expression" dxfId="181" priority="244">
      <formula>MOD(ROW(),2)=0</formula>
    </cfRule>
  </conditionalFormatting>
  <conditionalFormatting sqref="R47">
    <cfRule type="expression" dxfId="180" priority="243">
      <formula>MOD(ROW(),2)=0</formula>
    </cfRule>
  </conditionalFormatting>
  <conditionalFormatting sqref="R47">
    <cfRule type="expression" dxfId="179" priority="242">
      <formula>MOD(ROW(),2)=0</formula>
    </cfRule>
  </conditionalFormatting>
  <conditionalFormatting sqref="N47:O47">
    <cfRule type="expression" dxfId="178" priority="245">
      <formula>MOD(ROW(),2)=0</formula>
    </cfRule>
  </conditionalFormatting>
  <conditionalFormatting sqref="A59:C59 E59:F59">
    <cfRule type="expression" dxfId="177" priority="233">
      <formula>MOD(ROW(),2)=0</formula>
    </cfRule>
  </conditionalFormatting>
  <conditionalFormatting sqref="A5:C5">
    <cfRule type="expression" dxfId="176" priority="229">
      <formula>MOD(ROW(),2)=0</formula>
    </cfRule>
  </conditionalFormatting>
  <conditionalFormatting sqref="V5:W5">
    <cfRule type="expression" dxfId="175" priority="228">
      <formula>MOD(ROW(),2)=0</formula>
    </cfRule>
  </conditionalFormatting>
  <conditionalFormatting sqref="U5">
    <cfRule type="expression" dxfId="174" priority="222">
      <formula>MOD(ROW(),2)=0</formula>
    </cfRule>
  </conditionalFormatting>
  <conditionalFormatting sqref="U5">
    <cfRule type="expression" dxfId="173" priority="221">
      <formula>MOD(ROW(),2)=0</formula>
    </cfRule>
  </conditionalFormatting>
  <conditionalFormatting sqref="M5:O5">
    <cfRule type="expression" dxfId="172" priority="225">
      <formula>MOD(ROW(),2)=0</formula>
    </cfRule>
  </conditionalFormatting>
  <conditionalFormatting sqref="R5">
    <cfRule type="expression" dxfId="171" priority="224">
      <formula>MOD(ROW(),2)=0</formula>
    </cfRule>
  </conditionalFormatting>
  <conditionalFormatting sqref="R5">
    <cfRule type="expression" dxfId="170" priority="223">
      <formula>MOD(ROW(),2)=0</formula>
    </cfRule>
  </conditionalFormatting>
  <conditionalFormatting sqref="N5:O5">
    <cfRule type="expression" dxfId="169" priority="226">
      <formula>MOD(ROW(),2)=0</formula>
    </cfRule>
  </conditionalFormatting>
  <conditionalFormatting sqref="A50:F51">
    <cfRule type="expression" dxfId="168" priority="210">
      <formula>MOD(ROW(),2)=0</formula>
    </cfRule>
  </conditionalFormatting>
  <conditionalFormatting sqref="W50:W51">
    <cfRule type="expression" dxfId="167" priority="209">
      <formula>MOD(ROW(),2)=0</formula>
    </cfRule>
  </conditionalFormatting>
  <conditionalFormatting sqref="V50:V51">
    <cfRule type="expression" dxfId="166" priority="208">
      <formula>MOD(ROW(),2)=0</formula>
    </cfRule>
  </conditionalFormatting>
  <conditionalFormatting sqref="W32">
    <cfRule type="expression" dxfId="165" priority="202">
      <formula>MOD(ROW(),2)=0</formula>
    </cfRule>
  </conditionalFormatting>
  <conditionalFormatting sqref="V32">
    <cfRule type="expression" dxfId="164" priority="201">
      <formula>MOD(ROW(),2)=0</formula>
    </cfRule>
  </conditionalFormatting>
  <conditionalFormatting sqref="U32">
    <cfRule type="expression" dxfId="163" priority="195">
      <formula>MOD(ROW(),2)=0</formula>
    </cfRule>
  </conditionalFormatting>
  <conditionalFormatting sqref="N32:O32">
    <cfRule type="expression" dxfId="162" priority="200">
      <formula>MOD(ROW(),2)=0</formula>
    </cfRule>
  </conditionalFormatting>
  <conditionalFormatting sqref="M32:O32">
    <cfRule type="expression" dxfId="161" priority="199">
      <formula>MOD(ROW(),2)=0</formula>
    </cfRule>
  </conditionalFormatting>
  <conditionalFormatting sqref="U32">
    <cfRule type="expression" dxfId="160" priority="196">
      <formula>MOD(ROW(),2)=0</formula>
    </cfRule>
  </conditionalFormatting>
  <conditionalFormatting sqref="R32">
    <cfRule type="expression" dxfId="159" priority="198">
      <formula>MOD(ROW(),2)=0</formula>
    </cfRule>
  </conditionalFormatting>
  <conditionalFormatting sqref="R32">
    <cfRule type="expression" dxfId="158" priority="197">
      <formula>MOD(ROW(),2)=0</formula>
    </cfRule>
  </conditionalFormatting>
  <conditionalFormatting sqref="W63">
    <cfRule type="expression" dxfId="157" priority="193">
      <formula>MOD(ROW(),2)=0</formula>
    </cfRule>
  </conditionalFormatting>
  <conditionalFormatting sqref="V63">
    <cfRule type="expression" dxfId="156" priority="192">
      <formula>MOD(ROW(),2)=0</formula>
    </cfRule>
  </conditionalFormatting>
  <conditionalFormatting sqref="A14:F14">
    <cfRule type="expression" dxfId="155" priority="179">
      <formula>MOD(ROW(),2)=0</formula>
    </cfRule>
  </conditionalFormatting>
  <conditionalFormatting sqref="W41">
    <cfRule type="expression" dxfId="154" priority="188">
      <formula>MOD(ROW(),2)=0</formula>
    </cfRule>
  </conditionalFormatting>
  <conditionalFormatting sqref="V41">
    <cfRule type="expression" dxfId="153" priority="187">
      <formula>MOD(ROW(),2)=0</formula>
    </cfRule>
  </conditionalFormatting>
  <conditionalFormatting sqref="A69:C69 E69:F69">
    <cfRule type="expression" dxfId="152" priority="177">
      <formula>MOD(ROW(),2)=0</formula>
    </cfRule>
  </conditionalFormatting>
  <conditionalFormatting sqref="W69">
    <cfRule type="expression" dxfId="151" priority="176">
      <formula>MOD(ROW(),2)=0</formula>
    </cfRule>
  </conditionalFormatting>
  <conditionalFormatting sqref="V69">
    <cfRule type="expression" dxfId="150" priority="175">
      <formula>MOD(ROW(),2)=0</formula>
    </cfRule>
  </conditionalFormatting>
  <conditionalFormatting sqref="G80:G81">
    <cfRule type="expression" dxfId="149" priority="170">
      <formula>MOD(ROW(),2)=0</formula>
    </cfRule>
  </conditionalFormatting>
  <conditionalFormatting sqref="H80">
    <cfRule type="expression" dxfId="148" priority="167">
      <formula>MOD(ROW(),2)=0</formula>
    </cfRule>
  </conditionalFormatting>
  <conditionalFormatting sqref="H81">
    <cfRule type="expression" dxfId="147" priority="166">
      <formula>MOD(ROW(),2)=0</formula>
    </cfRule>
  </conditionalFormatting>
  <conditionalFormatting sqref="L79">
    <cfRule type="expression" dxfId="146" priority="165">
      <formula>MOD(ROW(),2)=0</formula>
    </cfRule>
  </conditionalFormatting>
  <conditionalFormatting sqref="G79:I79">
    <cfRule type="expression" dxfId="145" priority="164">
      <formula>MOD(ROW(),2)=0</formula>
    </cfRule>
  </conditionalFormatting>
  <conditionalFormatting sqref="J79">
    <cfRule type="expression" dxfId="144" priority="163">
      <formula>MOD(ROW(),2)=0</formula>
    </cfRule>
  </conditionalFormatting>
  <conditionalFormatting sqref="K79">
    <cfRule type="expression" dxfId="143" priority="162">
      <formula>MOD(ROW(),2)=0</formula>
    </cfRule>
  </conditionalFormatting>
  <conditionalFormatting sqref="Y80:Z81">
    <cfRule type="expression" dxfId="142" priority="149">
      <formula>MOD(ROW(),2)=0</formula>
    </cfRule>
  </conditionalFormatting>
  <conditionalFormatting sqref="A40:F40">
    <cfRule type="expression" dxfId="141" priority="159">
      <formula>MOD(ROW(),2)=0</formula>
    </cfRule>
  </conditionalFormatting>
  <conditionalFormatting sqref="A41:F41">
    <cfRule type="expression" dxfId="140" priority="158">
      <formula>MOD(ROW(),2)=0</formula>
    </cfRule>
  </conditionalFormatting>
  <conditionalFormatting sqref="A43:F43">
    <cfRule type="expression" dxfId="139" priority="157">
      <formula>MOD(ROW(),2)=0</formula>
    </cfRule>
  </conditionalFormatting>
  <conditionalFormatting sqref="W43 G43:H43">
    <cfRule type="expression" dxfId="138" priority="156">
      <formula>MOD(ROW(),2)=0</formula>
    </cfRule>
  </conditionalFormatting>
  <conditionalFormatting sqref="V43">
    <cfRule type="expression" dxfId="137" priority="155">
      <formula>MOD(ROW(),2)=0</formula>
    </cfRule>
  </conditionalFormatting>
  <conditionalFormatting sqref="W40 G40:H40">
    <cfRule type="expression" dxfId="136" priority="154">
      <formula>MOD(ROW(),2)=0</formula>
    </cfRule>
  </conditionalFormatting>
  <conditionalFormatting sqref="V40">
    <cfRule type="expression" dxfId="135" priority="153">
      <formula>MOD(ROW(),2)=0</formula>
    </cfRule>
  </conditionalFormatting>
  <conditionalFormatting sqref="D13:E13">
    <cfRule type="expression" dxfId="134" priority="144">
      <formula>MOD(ROW(),2)=0</formula>
    </cfRule>
  </conditionalFormatting>
  <conditionalFormatting sqref="Y84:Z84">
    <cfRule type="expression" dxfId="133" priority="150">
      <formula>MOD(ROW(),2)=0</formula>
    </cfRule>
  </conditionalFormatting>
  <conditionalFormatting sqref="A15:B16">
    <cfRule type="expression" dxfId="132" priority="148">
      <formula>MOD(ROW(),2)=0</formula>
    </cfRule>
  </conditionalFormatting>
  <conditionalFormatting sqref="C15">
    <cfRule type="expression" dxfId="131" priority="147">
      <formula>MOD(ROW(),2)=0</formula>
    </cfRule>
  </conditionalFormatting>
  <conditionalFormatting sqref="F15">
    <cfRule type="expression" dxfId="130" priority="146">
      <formula>MOD(ROW(),2)=0</formula>
    </cfRule>
  </conditionalFormatting>
  <conditionalFormatting sqref="D15:E16">
    <cfRule type="expression" dxfId="129" priority="145">
      <formula>MOD(ROW(),2)=0</formula>
    </cfRule>
  </conditionalFormatting>
  <conditionalFormatting sqref="G15:H15">
    <cfRule type="expression" dxfId="128" priority="143">
      <formula>MOD(ROW(),2)=0</formula>
    </cfRule>
  </conditionalFormatting>
  <conditionalFormatting sqref="J80:J81">
    <cfRule type="expression" dxfId="127" priority="140">
      <formula>MOD(ROW(),2)=0</formula>
    </cfRule>
  </conditionalFormatting>
  <conditionalFormatting sqref="I80:J81">
    <cfRule type="expression" dxfId="126" priority="139">
      <formula>MOD(ROW(),2)=0</formula>
    </cfRule>
  </conditionalFormatting>
  <conditionalFormatting sqref="A70:C71 E70:E71">
    <cfRule type="expression" dxfId="125" priority="138">
      <formula>MOD(ROW(),2)=0</formula>
    </cfRule>
  </conditionalFormatting>
  <conditionalFormatting sqref="G70:J71 M70:O71">
    <cfRule type="expression" dxfId="124" priority="137">
      <formula>MOD(ROW(),2)=0</formula>
    </cfRule>
  </conditionalFormatting>
  <conditionalFormatting sqref="W70:W71">
    <cfRule type="expression" dxfId="123" priority="136">
      <formula>MOD(ROW(),2)=0</formula>
    </cfRule>
  </conditionalFormatting>
  <conditionalFormatting sqref="V70:V71">
    <cfRule type="expression" dxfId="122" priority="135">
      <formula>MOD(ROW(),2)=0</formula>
    </cfRule>
  </conditionalFormatting>
  <conditionalFormatting sqref="V57">
    <cfRule type="expression" dxfId="121" priority="132">
      <formula>MOD(ROW(),2)=0</formula>
    </cfRule>
  </conditionalFormatting>
  <conditionalFormatting sqref="A57:C57 E57:F57">
    <cfRule type="expression" dxfId="120" priority="134">
      <formula>MOD(ROW(),2)=0</formula>
    </cfRule>
  </conditionalFormatting>
  <conditionalFormatting sqref="W57 Y57 G57:J57">
    <cfRule type="expression" dxfId="119" priority="133">
      <formula>MOD(ROW(),2)=0</formula>
    </cfRule>
  </conditionalFormatting>
  <conditionalFormatting sqref="A64:A65">
    <cfRule type="expression" dxfId="118" priority="131">
      <formula>MOD(ROW(),2)=0</formula>
    </cfRule>
  </conditionalFormatting>
  <conditionalFormatting sqref="A63:B63">
    <cfRule type="expression" dxfId="117" priority="130">
      <formula>MOD(ROW(),2)=0</formula>
    </cfRule>
  </conditionalFormatting>
  <conditionalFormatting sqref="B64:B65">
    <cfRule type="expression" dxfId="116" priority="129">
      <formula>MOD(ROW(),2)=0</formula>
    </cfRule>
  </conditionalFormatting>
  <conditionalFormatting sqref="M64:O65 G64:J65 Y64:Y65">
    <cfRule type="expression" dxfId="115" priority="128">
      <formula>MOD(ROW(),2)=0</formula>
    </cfRule>
  </conditionalFormatting>
  <conditionalFormatting sqref="W64:W65">
    <cfRule type="expression" dxfId="114" priority="126">
      <formula>MOD(ROW(),2)=0</formula>
    </cfRule>
  </conditionalFormatting>
  <conditionalFormatting sqref="V64:V65">
    <cfRule type="expression" dxfId="113" priority="125">
      <formula>MOD(ROW(),2)=0</formula>
    </cfRule>
  </conditionalFormatting>
  <conditionalFormatting sqref="A6:C6 E6:F6">
    <cfRule type="expression" dxfId="112" priority="124">
      <formula>MOD(ROW(),2)=0</formula>
    </cfRule>
  </conditionalFormatting>
  <conditionalFormatting sqref="G6:J6 M6:O6">
    <cfRule type="expression" dxfId="111" priority="123">
      <formula>MOD(ROW(),2)=0</formula>
    </cfRule>
  </conditionalFormatting>
  <conditionalFormatting sqref="V6:W6">
    <cfRule type="expression" dxfId="110" priority="122">
      <formula>MOD(ROW(),2)=0</formula>
    </cfRule>
  </conditionalFormatting>
  <conditionalFormatting sqref="U6">
    <cfRule type="expression" dxfId="109" priority="117">
      <formula>MOD(ROW(),2)=0</formula>
    </cfRule>
  </conditionalFormatting>
  <conditionalFormatting sqref="U6">
    <cfRule type="expression" dxfId="108" priority="116">
      <formula>MOD(ROW(),2)=0</formula>
    </cfRule>
  </conditionalFormatting>
  <conditionalFormatting sqref="M6:O6">
    <cfRule type="expression" dxfId="107" priority="120">
      <formula>MOD(ROW(),2)=0</formula>
    </cfRule>
  </conditionalFormatting>
  <conditionalFormatting sqref="R6">
    <cfRule type="expression" dxfId="106" priority="119">
      <formula>MOD(ROW(),2)=0</formula>
    </cfRule>
  </conditionalFormatting>
  <conditionalFormatting sqref="R6">
    <cfRule type="expression" dxfId="105" priority="118">
      <formula>MOD(ROW(),2)=0</formula>
    </cfRule>
  </conditionalFormatting>
  <conditionalFormatting sqref="N6:O6">
    <cfRule type="expression" dxfId="104" priority="121">
      <formula>MOD(ROW(),2)=0</formula>
    </cfRule>
  </conditionalFormatting>
  <conditionalFormatting sqref="A55:C55 E55:F55">
    <cfRule type="expression" dxfId="103" priority="115">
      <formula>MOD(ROW(),2)=0</formula>
    </cfRule>
  </conditionalFormatting>
  <conditionalFormatting sqref="A82:F82">
    <cfRule type="expression" dxfId="102" priority="113">
      <formula>MOD(ROW(),2)=0</formula>
    </cfRule>
  </conditionalFormatting>
  <conditionalFormatting sqref="V82:W82">
    <cfRule type="expression" dxfId="101" priority="111">
      <formula>MOD(ROW(),2)=0</formula>
    </cfRule>
  </conditionalFormatting>
  <conditionalFormatting sqref="G82">
    <cfRule type="expression" dxfId="100" priority="110">
      <formula>MOD(ROW(),2)=0</formula>
    </cfRule>
  </conditionalFormatting>
  <conditionalFormatting sqref="H82">
    <cfRule type="expression" dxfId="99" priority="109">
      <formula>MOD(ROW(),2)=0</formula>
    </cfRule>
  </conditionalFormatting>
  <conditionalFormatting sqref="Y82:Z82">
    <cfRule type="expression" dxfId="98" priority="108">
      <formula>MOD(ROW(),2)=0</formula>
    </cfRule>
  </conditionalFormatting>
  <conditionalFormatting sqref="J82">
    <cfRule type="expression" dxfId="97" priority="107">
      <formula>MOD(ROW(),2)=0</formula>
    </cfRule>
  </conditionalFormatting>
  <conditionalFormatting sqref="I82:J82">
    <cfRule type="expression" dxfId="96" priority="106">
      <formula>MOD(ROW(),2)=0</formula>
    </cfRule>
  </conditionalFormatting>
  <conditionalFormatting sqref="K80:L82">
    <cfRule type="expression" dxfId="95" priority="104">
      <formula>MOD(ROW(),2)=0</formula>
    </cfRule>
  </conditionalFormatting>
  <conditionalFormatting sqref="U19">
    <cfRule type="expression" dxfId="94" priority="94">
      <formula>MOD(ROW(),2)=0</formula>
    </cfRule>
  </conditionalFormatting>
  <conditionalFormatting sqref="A19:F19">
    <cfRule type="expression" dxfId="93" priority="102">
      <formula>MOD(ROW(),2)=0</formula>
    </cfRule>
  </conditionalFormatting>
  <conditionalFormatting sqref="Y19:Z19 G19:O19">
    <cfRule type="expression" dxfId="92" priority="101">
      <formula>MOD(ROW(),2)=0</formula>
    </cfRule>
  </conditionalFormatting>
  <conditionalFormatting sqref="M19:O19">
    <cfRule type="expression" dxfId="91" priority="98">
      <formula>MOD(ROW(),2)=0</formula>
    </cfRule>
  </conditionalFormatting>
  <conditionalFormatting sqref="R19">
    <cfRule type="expression" dxfId="90" priority="97">
      <formula>MOD(ROW(),2)=0</formula>
    </cfRule>
  </conditionalFormatting>
  <conditionalFormatting sqref="U19">
    <cfRule type="expression" dxfId="89" priority="95">
      <formula>MOD(ROW(),2)=0</formula>
    </cfRule>
  </conditionalFormatting>
  <conditionalFormatting sqref="V19:W19">
    <cfRule type="expression" dxfId="88" priority="100">
      <formula>MOD(ROW(),2)=0</formula>
    </cfRule>
  </conditionalFormatting>
  <conditionalFormatting sqref="N19:O19">
    <cfRule type="expression" dxfId="87" priority="99">
      <formula>MOD(ROW(),2)=0</formula>
    </cfRule>
  </conditionalFormatting>
  <conditionalFormatting sqref="R19">
    <cfRule type="expression" dxfId="86" priority="96">
      <formula>MOD(ROW(),2)=0</formula>
    </cfRule>
  </conditionalFormatting>
  <conditionalFormatting sqref="E72:E73">
    <cfRule type="expression" dxfId="85" priority="93">
      <formula>MOD(ROW(),2)=0</formula>
    </cfRule>
  </conditionalFormatting>
  <conditionalFormatting sqref="F64:F65">
    <cfRule type="expression" dxfId="84" priority="92">
      <formula>MOD(ROW(),2)=0</formula>
    </cfRule>
  </conditionalFormatting>
  <conditionalFormatting sqref="F63">
    <cfRule type="expression" dxfId="83" priority="91">
      <formula>MOD(ROW(),2)=0</formula>
    </cfRule>
  </conditionalFormatting>
  <conditionalFormatting sqref="D63:E63 C64:E65">
    <cfRule type="expression" dxfId="82" priority="90">
      <formula>MOD(ROW(),2)=0</formula>
    </cfRule>
  </conditionalFormatting>
  <conditionalFormatting sqref="D10">
    <cfRule type="expression" dxfId="81" priority="89">
      <formula>MOD(ROW(),2)=0</formula>
    </cfRule>
  </conditionalFormatting>
  <conditionalFormatting sqref="D6">
    <cfRule type="expression" dxfId="80" priority="88">
      <formula>MOD(ROW(),2)=0</formula>
    </cfRule>
  </conditionalFormatting>
  <conditionalFormatting sqref="D18">
    <cfRule type="expression" dxfId="79" priority="87">
      <formula>MOD(ROW(),2)=0</formula>
    </cfRule>
  </conditionalFormatting>
  <conditionalFormatting sqref="D32">
    <cfRule type="expression" dxfId="78" priority="86">
      <formula>MOD(ROW(),2)=0</formula>
    </cfRule>
  </conditionalFormatting>
  <conditionalFormatting sqref="D70:D71">
    <cfRule type="expression" dxfId="77" priority="74">
      <formula>MOD(ROW(),2)=0</formula>
    </cfRule>
  </conditionalFormatting>
  <conditionalFormatting sqref="D47">
    <cfRule type="expression" dxfId="76" priority="84">
      <formula>MOD(ROW(),2)=0</formula>
    </cfRule>
  </conditionalFormatting>
  <conditionalFormatting sqref="D53 D55">
    <cfRule type="expression" dxfId="75" priority="83">
      <formula>MOD(ROW(),2)=0</formula>
    </cfRule>
  </conditionalFormatting>
  <conditionalFormatting sqref="D52">
    <cfRule type="expression" dxfId="74" priority="82">
      <formula>MOD(ROW(),2)=0</formula>
    </cfRule>
  </conditionalFormatting>
  <conditionalFormatting sqref="D56">
    <cfRule type="expression" dxfId="73" priority="81">
      <formula>MOD(ROW(),2)=0</formula>
    </cfRule>
  </conditionalFormatting>
  <conditionalFormatting sqref="D57">
    <cfRule type="expression" dxfId="72" priority="80">
      <formula>MOD(ROW(),2)=0</formula>
    </cfRule>
  </conditionalFormatting>
  <conditionalFormatting sqref="D58">
    <cfRule type="expression" dxfId="71" priority="79">
      <formula>MOD(ROW(),2)=0</formula>
    </cfRule>
  </conditionalFormatting>
  <conditionalFormatting sqref="D59">
    <cfRule type="expression" dxfId="70" priority="78">
      <formula>MOD(ROW(),2)=0</formula>
    </cfRule>
  </conditionalFormatting>
  <conditionalFormatting sqref="D73">
    <cfRule type="expression" dxfId="69" priority="77">
      <formula>MOD(ROW(),2)=0</formula>
    </cfRule>
  </conditionalFormatting>
  <conditionalFormatting sqref="D72">
    <cfRule type="expression" dxfId="68" priority="76">
      <formula>MOD(ROW(),2)=0</formula>
    </cfRule>
  </conditionalFormatting>
  <conditionalFormatting sqref="D69">
    <cfRule type="expression" dxfId="67" priority="75">
      <formula>MOD(ROW(),2)=0</formula>
    </cfRule>
  </conditionalFormatting>
  <conditionalFormatting sqref="A33:F33">
    <cfRule type="expression" dxfId="66" priority="73">
      <formula>MOD(ROW(),2)=0</formula>
    </cfRule>
  </conditionalFormatting>
  <conditionalFormatting sqref="G33:O33 Y33:Z33">
    <cfRule type="expression" dxfId="65" priority="72">
      <formula>MOD(ROW(),2)=0</formula>
    </cfRule>
  </conditionalFormatting>
  <conditionalFormatting sqref="W33">
    <cfRule type="expression" dxfId="64" priority="71">
      <formula>MOD(ROW(),2)=0</formula>
    </cfRule>
  </conditionalFormatting>
  <conditionalFormatting sqref="V33">
    <cfRule type="expression" dxfId="63" priority="70">
      <formula>MOD(ROW(),2)=0</formula>
    </cfRule>
  </conditionalFormatting>
  <conditionalFormatting sqref="U33">
    <cfRule type="expression" dxfId="62" priority="64">
      <formula>MOD(ROW(),2)=0</formula>
    </cfRule>
  </conditionalFormatting>
  <conditionalFormatting sqref="N33:O33">
    <cfRule type="expression" dxfId="61" priority="69">
      <formula>MOD(ROW(),2)=0</formula>
    </cfRule>
  </conditionalFormatting>
  <conditionalFormatting sqref="M33:O33">
    <cfRule type="expression" dxfId="60" priority="68">
      <formula>MOD(ROW(),2)=0</formula>
    </cfRule>
  </conditionalFormatting>
  <conditionalFormatting sqref="U33">
    <cfRule type="expression" dxfId="59" priority="65">
      <formula>MOD(ROW(),2)=0</formula>
    </cfRule>
  </conditionalFormatting>
  <conditionalFormatting sqref="R33">
    <cfRule type="expression" dxfId="58" priority="67">
      <formula>MOD(ROW(),2)=0</formula>
    </cfRule>
  </conditionalFormatting>
  <conditionalFormatting sqref="R33">
    <cfRule type="expression" dxfId="57" priority="66">
      <formula>MOD(ROW(),2)=0</formula>
    </cfRule>
  </conditionalFormatting>
  <conditionalFormatting sqref="Q38:Q53 Q55:Q60 Q62:Q76 Q4:Q11">
    <cfRule type="expression" dxfId="56" priority="61">
      <formula>MOD(ROW(),2)=0</formula>
    </cfRule>
  </conditionalFormatting>
  <conditionalFormatting sqref="P38:Q53 P55:Q60 P62:Q76 P4:Q11">
    <cfRule type="expression" dxfId="55" priority="60">
      <formula>MOD(ROW(),2)=0</formula>
    </cfRule>
  </conditionalFormatting>
  <conditionalFormatting sqref="R80:T82">
    <cfRule type="expression" dxfId="54" priority="59">
      <formula>MOD(ROW(),2)=0</formula>
    </cfRule>
  </conditionalFormatting>
  <conditionalFormatting sqref="Q80:Q82">
    <cfRule type="expression" dxfId="53" priority="58">
      <formula>MOD(ROW(),2)=0</formula>
    </cfRule>
  </conditionalFormatting>
  <conditionalFormatting sqref="P80:Q82">
    <cfRule type="expression" dxfId="52" priority="57">
      <formula>MOD(ROW(),2)=0</formula>
    </cfRule>
  </conditionalFormatting>
  <conditionalFormatting sqref="A76:F76">
    <cfRule type="expression" dxfId="51" priority="56">
      <formula>MOD(ROW(),2)=0</formula>
    </cfRule>
  </conditionalFormatting>
  <conditionalFormatting sqref="A75:F75">
    <cfRule type="expression" dxfId="50" priority="55">
      <formula>MOD(ROW(),2)=0</formula>
    </cfRule>
  </conditionalFormatting>
  <conditionalFormatting sqref="G75:O76 Y75:Z76 R75:R76 U75:W76">
    <cfRule type="expression" dxfId="49" priority="54">
      <formula>MOD(ROW(),2)=0</formula>
    </cfRule>
  </conditionalFormatting>
  <conditionalFormatting sqref="P37:Q37">
    <cfRule type="expression" dxfId="48" priority="41">
      <formula>MOD(ROW(),2)=0</formula>
    </cfRule>
  </conditionalFormatting>
  <conditionalFormatting sqref="A37:F37">
    <cfRule type="expression" dxfId="47" priority="50">
      <formula>MOD(ROW(),2)=0</formula>
    </cfRule>
  </conditionalFormatting>
  <conditionalFormatting sqref="P83:Q83">
    <cfRule type="expression" dxfId="46" priority="26">
      <formula>MOD(ROW(),2)=0</formula>
    </cfRule>
  </conditionalFormatting>
  <conditionalFormatting sqref="A61:F61">
    <cfRule type="expression" dxfId="45" priority="48">
      <formula>MOD(ROW(),2)=0</formula>
    </cfRule>
  </conditionalFormatting>
  <conditionalFormatting sqref="W61 Y61:Z61 G61:O61 R61 U61">
    <cfRule type="expression" dxfId="44" priority="47">
      <formula>MOD(ROW(),2)=0</formula>
    </cfRule>
  </conditionalFormatting>
  <conditionalFormatting sqref="V61">
    <cfRule type="expression" dxfId="43" priority="46">
      <formula>MOD(ROW(),2)=0</formula>
    </cfRule>
  </conditionalFormatting>
  <conditionalFormatting sqref="Q61">
    <cfRule type="expression" dxfId="42" priority="45">
      <formula>MOD(ROW(),2)=0</formula>
    </cfRule>
  </conditionalFormatting>
  <conditionalFormatting sqref="P61:Q61">
    <cfRule type="expression" dxfId="41" priority="44">
      <formula>MOD(ROW(),2)=0</formula>
    </cfRule>
  </conditionalFormatting>
  <conditionalFormatting sqref="Y37:Z37 G37:O37 R37 U37:W37">
    <cfRule type="expression" dxfId="40" priority="43">
      <formula>MOD(ROW(),2)=0</formula>
    </cfRule>
  </conditionalFormatting>
  <conditionalFormatting sqref="Q37">
    <cfRule type="expression" dxfId="39" priority="42">
      <formula>MOD(ROW(),2)=0</formula>
    </cfRule>
  </conditionalFormatting>
  <conditionalFormatting sqref="Q83">
    <cfRule type="expression" dxfId="38" priority="27">
      <formula>MOD(ROW(),2)=0</formula>
    </cfRule>
  </conditionalFormatting>
  <conditionalFormatting sqref="F83">
    <cfRule type="expression" dxfId="37" priority="38">
      <formula>MOD(ROW(),2)=0</formula>
    </cfRule>
  </conditionalFormatting>
  <conditionalFormatting sqref="A83:E83">
    <cfRule type="expression" dxfId="36" priority="37">
      <formula>MOD(ROW(),2)=0</formula>
    </cfRule>
  </conditionalFormatting>
  <conditionalFormatting sqref="M83:O83 U83">
    <cfRule type="expression" dxfId="35" priority="36">
      <formula>MOD(ROW(),2)=0</formula>
    </cfRule>
  </conditionalFormatting>
  <conditionalFormatting sqref="V83:W83">
    <cfRule type="expression" dxfId="34" priority="35">
      <formula>MOD(ROW(),2)=0</formula>
    </cfRule>
  </conditionalFormatting>
  <conditionalFormatting sqref="G83">
    <cfRule type="expression" dxfId="33" priority="34">
      <formula>MOD(ROW(),2)=0</formula>
    </cfRule>
  </conditionalFormatting>
  <conditionalFormatting sqref="H83">
    <cfRule type="expression" dxfId="32" priority="33">
      <formula>MOD(ROW(),2)=0</formula>
    </cfRule>
  </conditionalFormatting>
  <conditionalFormatting sqref="Y83:Z83">
    <cfRule type="expression" dxfId="31" priority="32">
      <formula>MOD(ROW(),2)=0</formula>
    </cfRule>
  </conditionalFormatting>
  <conditionalFormatting sqref="J83">
    <cfRule type="expression" dxfId="30" priority="31">
      <formula>MOD(ROW(),2)=0</formula>
    </cfRule>
  </conditionalFormatting>
  <conditionalFormatting sqref="I83:J83">
    <cfRule type="expression" dxfId="29" priority="30">
      <formula>MOD(ROW(),2)=0</formula>
    </cfRule>
  </conditionalFormatting>
  <conditionalFormatting sqref="K83:L83">
    <cfRule type="expression" dxfId="28" priority="29">
      <formula>MOD(ROW(),2)=0</formula>
    </cfRule>
  </conditionalFormatting>
  <conditionalFormatting sqref="R83:T83">
    <cfRule type="expression" dxfId="27" priority="28">
      <formula>MOD(ROW(),2)=0</formula>
    </cfRule>
  </conditionalFormatting>
  <conditionalFormatting sqref="F67:F68">
    <cfRule type="expression" dxfId="26" priority="25">
      <formula>MOD(ROW(),2)=0</formula>
    </cfRule>
  </conditionalFormatting>
  <conditionalFormatting sqref="A67:E67 A68">
    <cfRule type="expression" dxfId="25" priority="24">
      <formula>MOD(ROW(),2)=0</formula>
    </cfRule>
  </conditionalFormatting>
  <conditionalFormatting sqref="B68:E68">
    <cfRule type="expression" dxfId="24" priority="23">
      <formula>MOD(ROW(),2)=0</formula>
    </cfRule>
  </conditionalFormatting>
  <conditionalFormatting sqref="B9:E9">
    <cfRule type="expression" dxfId="23" priority="22">
      <formula>MOD(ROW(),2)=0</formula>
    </cfRule>
  </conditionalFormatting>
  <conditionalFormatting sqref="A12:B12 D12:E12">
    <cfRule type="expression" dxfId="22" priority="21">
      <formula>MOD(ROW(),2)=0</formula>
    </cfRule>
  </conditionalFormatting>
  <conditionalFormatting sqref="C12">
    <cfRule type="expression" dxfId="21" priority="20">
      <formula>MOD(ROW(),2)=0</formula>
    </cfRule>
  </conditionalFormatting>
  <conditionalFormatting sqref="Y12:Z12 G12:O12">
    <cfRule type="expression" dxfId="20" priority="19">
      <formula>MOD(ROW(),2)=0</formula>
    </cfRule>
  </conditionalFormatting>
  <conditionalFormatting sqref="V12:W12">
    <cfRule type="expression" dxfId="19" priority="18">
      <formula>MOD(ROW(),2)=0</formula>
    </cfRule>
  </conditionalFormatting>
  <conditionalFormatting sqref="R12">
    <cfRule type="expression" dxfId="18" priority="15">
      <formula>MOD(ROW(),2)=0</formula>
    </cfRule>
  </conditionalFormatting>
  <conditionalFormatting sqref="R12">
    <cfRule type="expression" dxfId="17" priority="14">
      <formula>MOD(ROW(),2)=0</formula>
    </cfRule>
  </conditionalFormatting>
  <conditionalFormatting sqref="U12">
    <cfRule type="expression" dxfId="16" priority="12">
      <formula>MOD(ROW(),2)=0</formula>
    </cfRule>
  </conditionalFormatting>
  <conditionalFormatting sqref="N12:O12">
    <cfRule type="expression" dxfId="15" priority="17">
      <formula>MOD(ROW(),2)=0</formula>
    </cfRule>
  </conditionalFormatting>
  <conditionalFormatting sqref="M12:O12">
    <cfRule type="expression" dxfId="14" priority="16">
      <formula>MOD(ROW(),2)=0</formula>
    </cfRule>
  </conditionalFormatting>
  <conditionalFormatting sqref="U12">
    <cfRule type="expression" dxfId="13" priority="13">
      <formula>MOD(ROW(),2)=0</formula>
    </cfRule>
  </conditionalFormatting>
  <conditionalFormatting sqref="Q12">
    <cfRule type="expression" dxfId="12" priority="11">
      <formula>MOD(ROW(),2)=0</formula>
    </cfRule>
  </conditionalFormatting>
  <conditionalFormatting sqref="P12:Q12">
    <cfRule type="expression" dxfId="11" priority="10">
      <formula>MOD(ROW(),2)=0</formula>
    </cfRule>
  </conditionalFormatting>
  <conditionalFormatting sqref="A54:C54 E54:F54">
    <cfRule type="expression" dxfId="10" priority="9">
      <formula>MOD(ROW(),2)=0</formula>
    </cfRule>
  </conditionalFormatting>
  <conditionalFormatting sqref="P54:Q54">
    <cfRule type="expression" dxfId="9" priority="3">
      <formula>MOD(ROW(),2)=0</formula>
    </cfRule>
  </conditionalFormatting>
  <conditionalFormatting sqref="D54">
    <cfRule type="expression" dxfId="8" priority="7">
      <formula>MOD(ROW(),2)=0</formula>
    </cfRule>
  </conditionalFormatting>
  <conditionalFormatting sqref="W54 R54 G54:O54 Y54:Z54 U54">
    <cfRule type="expression" dxfId="7" priority="6">
      <formula>MOD(ROW(),2)=0</formula>
    </cfRule>
  </conditionalFormatting>
  <conditionalFormatting sqref="V54">
    <cfRule type="expression" dxfId="6" priority="5">
      <formula>MOD(ROW(),2)=0</formula>
    </cfRule>
  </conditionalFormatting>
  <conditionalFormatting sqref="Q54">
    <cfRule type="expression" dxfId="5" priority="4">
      <formula>MOD(ROW(),2)=0</formula>
    </cfRule>
  </conditionalFormatting>
  <conditionalFormatting sqref="T4:T76">
    <cfRule type="expression" dxfId="4" priority="2">
      <formula>MOD(ROW(),2)=0</formula>
    </cfRule>
  </conditionalFormatting>
  <conditionalFormatting sqref="S4:T76">
    <cfRule type="expression" dxfId="3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2026-10-12T10:08:10Z</dcterms:modified>
</cp:coreProperties>
</file>