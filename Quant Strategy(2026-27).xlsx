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calcPr calcId="144525"/>
</workbook>
</file>

<file path=xl/calcChain.xml><?xml version="1.0" encoding="utf-8"?>
<calcChain xmlns="http://schemas.openxmlformats.org/spreadsheetml/2006/main">
  <c r="K60" i="43" l="1"/>
  <c r="K56" i="43"/>
  <c r="I71" i="41" l="1"/>
  <c r="G71" i="41"/>
  <c r="I70" i="41"/>
  <c r="J70" i="41"/>
  <c r="J69" i="41"/>
  <c r="I69" i="41"/>
  <c r="K57" i="41"/>
  <c r="L57" i="41"/>
  <c r="K62" i="41"/>
  <c r="L62" i="41"/>
  <c r="M77" i="32"/>
  <c r="J60" i="43"/>
  <c r="J56" i="43"/>
  <c r="I60" i="43" l="1"/>
  <c r="I56" i="43"/>
  <c r="J57" i="41"/>
  <c r="I57" i="41"/>
  <c r="H57" i="41"/>
  <c r="G57" i="41"/>
  <c r="L7" i="41"/>
  <c r="L15" i="41"/>
  <c r="L24" i="41"/>
  <c r="L30" i="41"/>
  <c r="L31" i="41"/>
  <c r="L32" i="41"/>
  <c r="L33" i="41"/>
  <c r="L34" i="41"/>
  <c r="L46" i="41"/>
  <c r="L53" i="41"/>
  <c r="K7" i="41"/>
  <c r="K15" i="41"/>
  <c r="K24" i="41"/>
  <c r="K30" i="41"/>
  <c r="K31" i="41"/>
  <c r="K32" i="41"/>
  <c r="K33" i="41"/>
  <c r="K34" i="41"/>
  <c r="K46" i="41"/>
  <c r="K53" i="41"/>
  <c r="M40" i="43"/>
  <c r="N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L60" i="43"/>
  <c r="H60" i="43"/>
  <c r="M59" i="43"/>
  <c r="M58" i="43"/>
  <c r="L56" i="43"/>
  <c r="H56" i="43"/>
  <c r="M55" i="43"/>
  <c r="M54" i="43"/>
  <c r="M53" i="43"/>
  <c r="M52" i="43"/>
  <c r="M51" i="43"/>
  <c r="M50" i="43"/>
  <c r="M49" i="43"/>
  <c r="N49" i="43" s="1"/>
  <c r="M48" i="43"/>
  <c r="M47" i="43"/>
  <c r="M46" i="43"/>
  <c r="M45" i="43"/>
  <c r="M44" i="43"/>
  <c r="M43" i="43"/>
  <c r="M42" i="43"/>
  <c r="M41" i="43"/>
  <c r="M39" i="43"/>
  <c r="M38" i="43"/>
  <c r="M37" i="43"/>
  <c r="M36" i="43"/>
  <c r="Q35" i="43"/>
  <c r="Q37" i="43" s="1"/>
  <c r="M35" i="43"/>
  <c r="M34" i="43"/>
  <c r="M33" i="43"/>
  <c r="M32" i="43"/>
  <c r="M31" i="43"/>
  <c r="M30" i="43"/>
  <c r="M29" i="43"/>
  <c r="M28" i="43"/>
  <c r="M27" i="43"/>
  <c r="M26" i="43"/>
  <c r="M25" i="43"/>
  <c r="M24" i="43"/>
  <c r="M23" i="43"/>
  <c r="N23" i="43" s="1"/>
  <c r="M22" i="43"/>
  <c r="M21" i="43"/>
  <c r="M20" i="43"/>
  <c r="M19" i="43"/>
  <c r="M18" i="43"/>
  <c r="Y17" i="43"/>
  <c r="W17" i="43"/>
  <c r="W18" i="43" s="1"/>
  <c r="M17" i="43"/>
  <c r="M16" i="43"/>
  <c r="M15" i="43"/>
  <c r="M14" i="43"/>
  <c r="M13" i="43"/>
  <c r="M12" i="43"/>
  <c r="M11" i="43"/>
  <c r="Q10" i="43"/>
  <c r="Q15" i="43" s="1"/>
  <c r="V15" i="43" s="1"/>
  <c r="M10" i="43"/>
  <c r="M9" i="43"/>
  <c r="M8" i="43"/>
  <c r="M7" i="43"/>
  <c r="N7" i="43" s="1"/>
  <c r="M6" i="43"/>
  <c r="M5" i="43"/>
  <c r="M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N55" i="43" l="1"/>
  <c r="L64" i="41" s="1"/>
  <c r="K64" i="41"/>
  <c r="N59" i="43"/>
  <c r="L70" i="41" s="1"/>
  <c r="K70" i="41"/>
  <c r="N58" i="43"/>
  <c r="L69" i="41" s="1"/>
  <c r="K69" i="41"/>
  <c r="N54" i="43"/>
  <c r="L63" i="41" s="1"/>
  <c r="K63" i="41"/>
  <c r="N50" i="43"/>
  <c r="L58" i="41" s="1"/>
  <c r="K58" i="41"/>
  <c r="N53" i="43"/>
  <c r="L61" i="41" s="1"/>
  <c r="K61" i="41"/>
  <c r="N52" i="43"/>
  <c r="L60" i="41" s="1"/>
  <c r="K60" i="41"/>
  <c r="N51" i="43"/>
  <c r="L59" i="41" s="1"/>
  <c r="K59" i="41"/>
  <c r="N8" i="43"/>
  <c r="L8" i="41" s="1"/>
  <c r="K8" i="41"/>
  <c r="N13" i="43"/>
  <c r="L13" i="41" s="1"/>
  <c r="K13" i="41"/>
  <c r="N16" i="43"/>
  <c r="L16" i="41" s="1"/>
  <c r="K16" i="41"/>
  <c r="N25" i="43"/>
  <c r="L26" i="41" s="1"/>
  <c r="K26" i="41"/>
  <c r="N36" i="43"/>
  <c r="L42" i="41" s="1"/>
  <c r="K42" i="41"/>
  <c r="N43" i="43"/>
  <c r="L50" i="41" s="1"/>
  <c r="K50" i="41"/>
  <c r="N48" i="43"/>
  <c r="L56" i="41" s="1"/>
  <c r="K56" i="41"/>
  <c r="N45" i="43"/>
  <c r="L54" i="41" s="1"/>
  <c r="K54" i="41"/>
  <c r="N46" i="43"/>
  <c r="L55" i="41" s="1"/>
  <c r="K55" i="41"/>
  <c r="N21" i="43"/>
  <c r="L21" i="41" s="1"/>
  <c r="K21" i="41"/>
  <c r="N44" i="43"/>
  <c r="L51" i="41" s="1"/>
  <c r="K51" i="41"/>
  <c r="N38" i="43"/>
  <c r="L44" i="41" s="1"/>
  <c r="K44" i="41"/>
  <c r="N35" i="43"/>
  <c r="L41" i="41" s="1"/>
  <c r="K41" i="41"/>
  <c r="N26" i="43"/>
  <c r="L27" i="41" s="1"/>
  <c r="K27" i="41"/>
  <c r="N24" i="43"/>
  <c r="L25" i="41" s="1"/>
  <c r="K25" i="41"/>
  <c r="N19" i="43"/>
  <c r="L23" i="41" s="1"/>
  <c r="K23" i="41"/>
  <c r="N5" i="43"/>
  <c r="L5" i="41" s="1"/>
  <c r="K5" i="41"/>
  <c r="N22" i="43"/>
  <c r="L22" i="41" s="1"/>
  <c r="K22" i="41"/>
  <c r="N30" i="43"/>
  <c r="L36" i="41" s="1"/>
  <c r="K36" i="41"/>
  <c r="N47" i="43"/>
  <c r="L52" i="41" s="1"/>
  <c r="K52" i="41"/>
  <c r="N42" i="43"/>
  <c r="L49" i="41" s="1"/>
  <c r="K49" i="41"/>
  <c r="N32" i="43"/>
  <c r="L38" i="41" s="1"/>
  <c r="K38" i="41"/>
  <c r="N41" i="43"/>
  <c r="L48" i="41" s="1"/>
  <c r="K48" i="41"/>
  <c r="N28" i="43"/>
  <c r="L29" i="41" s="1"/>
  <c r="K29" i="41"/>
  <c r="N12" i="43"/>
  <c r="L12" i="41" s="1"/>
  <c r="K12" i="41"/>
  <c r="N11" i="43"/>
  <c r="L11" i="41" s="1"/>
  <c r="K11" i="41"/>
  <c r="N6" i="43"/>
  <c r="L6" i="41" s="1"/>
  <c r="K6" i="41"/>
  <c r="N39" i="43"/>
  <c r="L47" i="41" s="1"/>
  <c r="K47" i="41"/>
  <c r="N37" i="43"/>
  <c r="L43" i="41" s="1"/>
  <c r="N43" i="41" s="1"/>
  <c r="Q54" i="32" s="1"/>
  <c r="K43" i="41"/>
  <c r="M43" i="41" s="1"/>
  <c r="P54" i="32" s="1"/>
  <c r="N34" i="43"/>
  <c r="L40" i="41" s="1"/>
  <c r="K40" i="41"/>
  <c r="N33" i="43"/>
  <c r="L39" i="41" s="1"/>
  <c r="K39" i="41"/>
  <c r="N31" i="43"/>
  <c r="L37" i="41" s="1"/>
  <c r="K37" i="41"/>
  <c r="N29" i="43"/>
  <c r="L35" i="41" s="1"/>
  <c r="K35" i="41"/>
  <c r="N27" i="43"/>
  <c r="L28" i="41" s="1"/>
  <c r="K28" i="41"/>
  <c r="N20" i="43"/>
  <c r="L20" i="41" s="1"/>
  <c r="K20" i="41"/>
  <c r="N18" i="43"/>
  <c r="L19" i="41" s="1"/>
  <c r="K19" i="41"/>
  <c r="N17" i="43"/>
  <c r="L18" i="41" s="1"/>
  <c r="K18" i="41"/>
  <c r="N15" i="43"/>
  <c r="L17" i="41" s="1"/>
  <c r="K17" i="41"/>
  <c r="N14" i="43"/>
  <c r="L14" i="41" s="1"/>
  <c r="K14" i="41"/>
  <c r="N10" i="43"/>
  <c r="L10" i="41" s="1"/>
  <c r="K10" i="41"/>
  <c r="N9" i="43"/>
  <c r="L9" i="41" s="1"/>
  <c r="K9" i="41"/>
  <c r="N4" i="43"/>
  <c r="L4" i="41" s="1"/>
  <c r="K4" i="41"/>
  <c r="N12" i="32"/>
  <c r="M60" i="43"/>
  <c r="M56" i="43"/>
  <c r="N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<sst xmlns="http://schemas.openxmlformats.org/spreadsheetml/2006/main" count="2648" uniqueCount="322">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</sst>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47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6"/>
  <sheetViews>
    <sheetView tabSelected="1" workbookViewId="0">
      <selection activeCell="Q19" sqref="Q19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1" width="13.42578125" style="133" customWidth="1" outlineLevel="1"/>
    <col min="12" max="12" width="11.28515625" style="133" customWidth="1"/>
    <col min="13" max="13" width="10.42578125" style="133" customWidth="1" outlineLevel="1"/>
    <col min="14" max="14" width="10.7109375" style="133" customWidth="1" outlineLevel="1"/>
    <col min="15" max="20" width="9.140625" style="133"/>
    <col min="21" max="21" width="14.140625" style="133" customWidth="1"/>
    <col min="22" max="22" width="12" style="133" customWidth="1"/>
    <col min="23" max="23" width="15.85546875" style="133" customWidth="1"/>
    <col min="24" max="16384" width="9.140625" style="133"/>
  </cols>
  <sheetData>
    <row r="1" spans="1:22" ht="15.75" thickBot="1" x14ac:dyDescent="0.3"/>
    <row r="2" spans="1:22" ht="15.75" thickBot="1" x14ac:dyDescent="0.3">
      <c r="G2" s="221"/>
      <c r="H2" s="222">
        <v>46266</v>
      </c>
      <c r="I2" s="256">
        <v>46267</v>
      </c>
      <c r="J2" s="256">
        <v>46268</v>
      </c>
      <c r="K2" s="256">
        <v>46269</v>
      </c>
      <c r="L2" s="183"/>
      <c r="M2" s="184" t="s">
        <v>281</v>
      </c>
      <c r="N2" s="185" t="s">
        <v>280</v>
      </c>
    </row>
    <row r="3" spans="1:22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79" t="s">
        <v>235</v>
      </c>
      <c r="L3" s="180"/>
      <c r="M3" s="189"/>
      <c r="N3" s="180"/>
      <c r="U3" s="133" t="s">
        <v>198</v>
      </c>
      <c r="V3" s="133">
        <v>13780</v>
      </c>
    </row>
    <row r="4" spans="1:22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158">
        <v>-649</v>
      </c>
      <c r="L4" s="211"/>
      <c r="M4" s="171">
        <f t="shared" ref="M4:M30" si="0">SUM(H4:L4)</f>
        <v>-12411</v>
      </c>
      <c r="N4" s="149">
        <f t="shared" ref="N4:N30" si="1">IFERROR(M4/F4*100,0)/10000000</f>
        <v>-0.24822</v>
      </c>
      <c r="U4" s="133" t="s">
        <v>170</v>
      </c>
      <c r="V4" s="133">
        <v>2865</v>
      </c>
    </row>
    <row r="5" spans="1:22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47">
        <v>73349</v>
      </c>
      <c r="L5" s="174"/>
      <c r="M5" s="171">
        <f t="shared" si="0"/>
        <v>-34831</v>
      </c>
      <c r="N5" s="149">
        <f t="shared" si="1"/>
        <v>-0.11610333333333335</v>
      </c>
    </row>
    <row r="6" spans="1:22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47">
        <v>0</v>
      </c>
      <c r="L6" s="174"/>
      <c r="M6" s="171">
        <f t="shared" si="0"/>
        <v>0</v>
      </c>
      <c r="N6" s="149">
        <f t="shared" si="1"/>
        <v>0</v>
      </c>
    </row>
    <row r="7" spans="1:22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-57700</v>
      </c>
      <c r="I7" s="147">
        <v>13000</v>
      </c>
      <c r="J7" s="147">
        <v>0</v>
      </c>
      <c r="K7" s="147">
        <v>37000</v>
      </c>
      <c r="L7" s="174"/>
      <c r="M7" s="171">
        <f t="shared" si="0"/>
        <v>-7700</v>
      </c>
      <c r="N7" s="149">
        <f t="shared" si="1"/>
        <v>-7.6999999999999999E-2</v>
      </c>
    </row>
    <row r="8" spans="1:22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47">
        <v>-46000</v>
      </c>
      <c r="L8" s="174"/>
      <c r="M8" s="171">
        <f t="shared" si="0"/>
        <v>61757</v>
      </c>
      <c r="N8" s="149">
        <f t="shared" si="1"/>
        <v>0.20585666666666669</v>
      </c>
      <c r="P8" s="5"/>
      <c r="Q8" s="134">
        <v>-7168</v>
      </c>
    </row>
    <row r="9" spans="1:22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47">
        <v>-5025</v>
      </c>
      <c r="L9" s="174"/>
      <c r="M9" s="171">
        <f t="shared" si="0"/>
        <v>76523</v>
      </c>
      <c r="N9" s="149">
        <f t="shared" si="1"/>
        <v>0.51015333333333335</v>
      </c>
      <c r="P9" s="134">
        <v>512493</v>
      </c>
      <c r="Q9" s="134"/>
    </row>
    <row r="10" spans="1:22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47">
        <v>2000</v>
      </c>
      <c r="L10" s="174"/>
      <c r="M10" s="171">
        <f t="shared" si="0"/>
        <v>10274</v>
      </c>
      <c r="N10" s="149">
        <f t="shared" si="1"/>
        <v>0.17123333333333335</v>
      </c>
      <c r="P10" s="134">
        <v>505325</v>
      </c>
      <c r="Q10" s="134">
        <f>(P10+P9)/10000000*13780</f>
        <v>1402.5532040000001</v>
      </c>
    </row>
    <row r="11" spans="1:22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47">
        <v>27700</v>
      </c>
      <c r="L11" s="174"/>
      <c r="M11" s="171">
        <f t="shared" si="0"/>
        <v>-386040</v>
      </c>
      <c r="N11" s="149">
        <f t="shared" si="1"/>
        <v>-0.25735999999999998</v>
      </c>
      <c r="P11" s="134"/>
      <c r="Q11" s="134"/>
    </row>
    <row r="12" spans="1:22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47">
        <v>0</v>
      </c>
      <c r="L12" s="174"/>
      <c r="M12" s="171">
        <f t="shared" si="0"/>
        <v>-112135</v>
      </c>
      <c r="N12" s="149">
        <f t="shared" si="1"/>
        <v>-0.18689166666666668</v>
      </c>
      <c r="P12" s="134"/>
      <c r="Q12" s="134"/>
    </row>
    <row r="13" spans="1:22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47">
        <v>1467</v>
      </c>
      <c r="L13" s="174"/>
      <c r="M13" s="171">
        <f t="shared" si="0"/>
        <v>-2640</v>
      </c>
      <c r="N13" s="149">
        <f t="shared" si="1"/>
        <v>-2.64E-2</v>
      </c>
      <c r="P13" s="134"/>
      <c r="Q13" s="134"/>
    </row>
    <row r="14" spans="1:22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47">
        <v>8298</v>
      </c>
      <c r="L14" s="174"/>
      <c r="M14" s="171">
        <f t="shared" si="0"/>
        <v>5194</v>
      </c>
      <c r="N14" s="149">
        <f t="shared" si="1"/>
        <v>2.0775999999999999E-2</v>
      </c>
      <c r="P14" s="134"/>
      <c r="Q14" s="134"/>
    </row>
    <row r="15" spans="1:22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47">
        <v>11194</v>
      </c>
      <c r="L15" s="174"/>
      <c r="M15" s="171">
        <f t="shared" si="0"/>
        <v>6197</v>
      </c>
      <c r="N15" s="149">
        <f t="shared" si="1"/>
        <v>2.8168181818181818E-2</v>
      </c>
      <c r="P15" s="134"/>
      <c r="Q15" s="193">
        <f>Q8-Q10</f>
        <v>-8570.5532039999998</v>
      </c>
      <c r="T15" s="133">
        <v>116185</v>
      </c>
      <c r="V15" s="133">
        <f>T15+Q15</f>
        <v>107614.446796</v>
      </c>
    </row>
    <row r="16" spans="1:22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47">
        <v>5065</v>
      </c>
      <c r="L16" s="174"/>
      <c r="M16" s="171">
        <f t="shared" si="0"/>
        <v>-1356</v>
      </c>
      <c r="N16" s="149">
        <f t="shared" si="1"/>
        <v>-1.3559999999999999E-2</v>
      </c>
    </row>
    <row r="17" spans="1:25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74"/>
      <c r="M17" s="171">
        <f t="shared" si="0"/>
        <v>0</v>
      </c>
      <c r="N17" s="149">
        <f t="shared" si="1"/>
        <v>0</v>
      </c>
      <c r="V17" s="133">
        <v>4000000</v>
      </c>
      <c r="W17" s="133">
        <f>V17*7/100</f>
        <v>280000</v>
      </c>
      <c r="Y17" s="133">
        <f>15*12</f>
        <v>180</v>
      </c>
    </row>
    <row r="18" spans="1:25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74"/>
      <c r="M18" s="171">
        <f t="shared" si="0"/>
        <v>0</v>
      </c>
      <c r="N18" s="149">
        <f t="shared" si="1"/>
        <v>0</v>
      </c>
      <c r="W18" s="133">
        <f>W17/12</f>
        <v>23333.333333333332</v>
      </c>
    </row>
    <row r="19" spans="1:25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47">
        <v>7586</v>
      </c>
      <c r="L19" s="174"/>
      <c r="M19" s="171">
        <f t="shared" si="0"/>
        <v>10520</v>
      </c>
      <c r="N19" s="149">
        <f t="shared" si="1"/>
        <v>7.0133333333333325E-2</v>
      </c>
    </row>
    <row r="20" spans="1:25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47">
        <v>0</v>
      </c>
      <c r="L20" s="174"/>
      <c r="M20" s="171">
        <f t="shared" si="0"/>
        <v>-2058</v>
      </c>
      <c r="N20" s="149">
        <f t="shared" si="1"/>
        <v>-1.8709090909090908E-2</v>
      </c>
    </row>
    <row r="21" spans="1:25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47">
        <v>-8570</v>
      </c>
      <c r="L21" s="174"/>
      <c r="M21" s="171">
        <f t="shared" si="0"/>
        <v>-4799</v>
      </c>
      <c r="N21" s="149">
        <f t="shared" si="1"/>
        <v>-0.19195999999999999</v>
      </c>
    </row>
    <row r="22" spans="1:2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47">
        <v>-1344</v>
      </c>
      <c r="L22" s="174"/>
      <c r="M22" s="171">
        <f t="shared" si="0"/>
        <v>7135</v>
      </c>
      <c r="N22" s="149">
        <f t="shared" si="1"/>
        <v>3.5674999999999998E-2</v>
      </c>
    </row>
    <row r="23" spans="1:25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/>
      <c r="G23" s="190"/>
      <c r="H23" s="147">
        <v>0</v>
      </c>
      <c r="I23" s="147">
        <v>0</v>
      </c>
      <c r="J23" s="147">
        <v>0</v>
      </c>
      <c r="K23" s="147">
        <v>260</v>
      </c>
      <c r="L23" s="174"/>
      <c r="M23" s="171">
        <f t="shared" si="0"/>
        <v>260</v>
      </c>
      <c r="N23" s="149">
        <f t="shared" si="1"/>
        <v>0</v>
      </c>
    </row>
    <row r="24" spans="1:25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47">
        <v>8477</v>
      </c>
      <c r="L24" s="174"/>
      <c r="M24" s="171">
        <f t="shared" si="0"/>
        <v>24445</v>
      </c>
      <c r="N24" s="149">
        <f t="shared" si="1"/>
        <v>0.22222727272727272</v>
      </c>
    </row>
    <row r="25" spans="1:25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47">
        <v>-105800</v>
      </c>
      <c r="L25" s="174"/>
      <c r="M25" s="171">
        <f t="shared" si="0"/>
        <v>-512700</v>
      </c>
      <c r="N25" s="149">
        <f t="shared" si="1"/>
        <v>-2.2291304347826091</v>
      </c>
    </row>
    <row r="26" spans="1:25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47">
        <v>-1640</v>
      </c>
      <c r="L26" s="174"/>
      <c r="M26" s="171">
        <f t="shared" si="0"/>
        <v>3420</v>
      </c>
      <c r="N26" s="149">
        <f t="shared" si="1"/>
        <v>0.17100000000000001</v>
      </c>
    </row>
    <row r="27" spans="1:25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47">
        <v>0</v>
      </c>
      <c r="L27" s="174"/>
      <c r="M27" s="171">
        <f t="shared" si="0"/>
        <v>39000</v>
      </c>
      <c r="N27" s="149">
        <f t="shared" si="1"/>
        <v>7.8E-2</v>
      </c>
    </row>
    <row r="28" spans="1:25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47">
        <v>-205430</v>
      </c>
      <c r="L28" s="174"/>
      <c r="M28" s="171">
        <f t="shared" si="0"/>
        <v>-132675</v>
      </c>
      <c r="N28" s="149">
        <f t="shared" si="1"/>
        <v>-0.13267499999999999</v>
      </c>
    </row>
    <row r="29" spans="1:25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47">
        <v>0</v>
      </c>
      <c r="L29" s="174"/>
      <c r="M29" s="171">
        <f t="shared" si="0"/>
        <v>-475000</v>
      </c>
      <c r="N29" s="149">
        <f t="shared" si="1"/>
        <v>-0.95</v>
      </c>
    </row>
    <row r="30" spans="1:25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47">
        <v>163183</v>
      </c>
      <c r="L30" s="174"/>
      <c r="M30" s="171">
        <f t="shared" si="0"/>
        <v>-9724</v>
      </c>
      <c r="N30" s="149">
        <f t="shared" si="1"/>
        <v>-1.9448E-2</v>
      </c>
    </row>
    <row r="31" spans="1:25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47">
        <v>-5269</v>
      </c>
      <c r="L31" s="174"/>
      <c r="M31" s="171">
        <f t="shared" ref="M31:M56" si="2">SUM(H31:L31)</f>
        <v>-103387</v>
      </c>
      <c r="N31" s="149">
        <f t="shared" ref="N31:N56" si="3">IFERROR(M31/F31*100,0)/10000000</f>
        <v>-2.0677400000000001</v>
      </c>
    </row>
    <row r="32" spans="1:25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47">
        <v>-9429</v>
      </c>
      <c r="L32" s="174"/>
      <c r="M32" s="171">
        <f t="shared" si="2"/>
        <v>-843</v>
      </c>
      <c r="N32" s="149">
        <f t="shared" si="3"/>
        <v>-2.1075E-2</v>
      </c>
      <c r="Q32" s="134"/>
    </row>
    <row r="33" spans="1:17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47">
        <v>0</v>
      </c>
      <c r="L33" s="174"/>
      <c r="M33" s="171">
        <f t="shared" si="2"/>
        <v>0</v>
      </c>
      <c r="N33" s="149">
        <f t="shared" si="3"/>
        <v>0</v>
      </c>
      <c r="P33" s="5"/>
      <c r="Q33" s="134">
        <v>6680</v>
      </c>
    </row>
    <row r="34" spans="1:17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47">
        <v>0</v>
      </c>
      <c r="L34" s="174"/>
      <c r="M34" s="171">
        <f t="shared" si="2"/>
        <v>0</v>
      </c>
      <c r="N34" s="149">
        <f t="shared" si="3"/>
        <v>0</v>
      </c>
      <c r="P34" s="5"/>
      <c r="Q34" s="134"/>
    </row>
    <row r="35" spans="1:17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47">
        <v>-54126</v>
      </c>
      <c r="L35" s="174"/>
      <c r="M35" s="171">
        <f t="shared" si="2"/>
        <v>-138378</v>
      </c>
      <c r="N35" s="149">
        <f t="shared" si="3"/>
        <v>-0.345945</v>
      </c>
      <c r="P35" s="134">
        <v>198924</v>
      </c>
      <c r="Q35" s="134">
        <f>(P36+P35)/10000000*13780</f>
        <v>557.61872400000004</v>
      </c>
    </row>
    <row r="36" spans="1:17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47">
        <v>3870</v>
      </c>
      <c r="L36" s="174"/>
      <c r="M36" s="171">
        <f t="shared" si="2"/>
        <v>-3547</v>
      </c>
      <c r="N36" s="149">
        <f t="shared" si="3"/>
        <v>-3.5470000000000002E-2</v>
      </c>
      <c r="P36" s="134">
        <v>205734</v>
      </c>
      <c r="Q36" s="134"/>
    </row>
    <row r="37" spans="1:17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47">
        <v>0</v>
      </c>
      <c r="L37" s="174"/>
      <c r="M37" s="171">
        <f t="shared" si="2"/>
        <v>0</v>
      </c>
      <c r="N37" s="149">
        <f t="shared" si="3"/>
        <v>0</v>
      </c>
      <c r="P37" s="134"/>
      <c r="Q37" s="134">
        <f>+Q33-Q35</f>
        <v>6122.3812760000001</v>
      </c>
    </row>
    <row r="38" spans="1:17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47">
        <v>-680</v>
      </c>
      <c r="L38" s="174"/>
      <c r="M38" s="171">
        <f t="shared" si="2"/>
        <v>-29440</v>
      </c>
      <c r="N38" s="149">
        <f t="shared" si="3"/>
        <v>-0.58879999999999999</v>
      </c>
      <c r="P38" s="134"/>
      <c r="Q38" s="134"/>
    </row>
    <row r="39" spans="1:17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74"/>
      <c r="M39" s="171">
        <f t="shared" si="2"/>
        <v>0</v>
      </c>
      <c r="N39" s="149">
        <f t="shared" si="3"/>
        <v>0</v>
      </c>
      <c r="P39" s="134"/>
      <c r="Q39" s="134"/>
    </row>
    <row r="40" spans="1:17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47">
        <v>-48027</v>
      </c>
      <c r="L40" s="174"/>
      <c r="M40" s="171">
        <f t="shared" si="2"/>
        <v>-104433</v>
      </c>
      <c r="N40" s="149">
        <f t="shared" si="3"/>
        <v>-0.34810999999999998</v>
      </c>
      <c r="P40" s="134"/>
      <c r="Q40" s="134"/>
    </row>
    <row r="41" spans="1:17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47">
        <v>14970</v>
      </c>
      <c r="L41" s="174"/>
      <c r="M41" s="171">
        <f t="shared" si="2"/>
        <v>35315</v>
      </c>
      <c r="N41" s="149">
        <f t="shared" si="3"/>
        <v>3.5314999999999999</v>
      </c>
      <c r="P41" s="134"/>
    </row>
    <row r="42" spans="1:17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47">
        <v>-1908</v>
      </c>
      <c r="L42" s="174"/>
      <c r="M42" s="171">
        <f t="shared" si="2"/>
        <v>377</v>
      </c>
      <c r="N42" s="149">
        <f t="shared" si="3"/>
        <v>7.5399999999999998E-3</v>
      </c>
    </row>
    <row r="43" spans="1:17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47">
        <v>-34150</v>
      </c>
      <c r="L43" s="174"/>
      <c r="M43" s="171">
        <f t="shared" si="2"/>
        <v>-69717</v>
      </c>
      <c r="N43" s="149">
        <f t="shared" si="3"/>
        <v>-0.69716999999999996</v>
      </c>
    </row>
    <row r="44" spans="1:17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47">
        <v>974</v>
      </c>
      <c r="L44" s="174"/>
      <c r="M44" s="171">
        <f t="shared" si="2"/>
        <v>7454</v>
      </c>
      <c r="N44" s="149">
        <f t="shared" si="3"/>
        <v>0.74539999999999995</v>
      </c>
    </row>
    <row r="45" spans="1:17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47">
        <v>0</v>
      </c>
      <c r="L45" s="174"/>
      <c r="M45" s="171">
        <f t="shared" si="2"/>
        <v>-156125</v>
      </c>
      <c r="N45" s="149">
        <f t="shared" si="3"/>
        <v>-0.39031250000000001</v>
      </c>
    </row>
    <row r="46" spans="1:17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47">
        <v>8481</v>
      </c>
      <c r="L46" s="174"/>
      <c r="M46" s="171">
        <f t="shared" si="2"/>
        <v>39740</v>
      </c>
      <c r="N46" s="149">
        <f t="shared" si="3"/>
        <v>9.9349999999999994E-2</v>
      </c>
    </row>
    <row r="47" spans="1:17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47">
        <v>-16640</v>
      </c>
      <c r="L47" s="174"/>
      <c r="M47" s="171">
        <f t="shared" si="2"/>
        <v>16024</v>
      </c>
      <c r="N47" s="149">
        <f t="shared" si="3"/>
        <v>5.3413333333333327E-2</v>
      </c>
    </row>
    <row r="48" spans="1:17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51">
        <v>86600</v>
      </c>
      <c r="L48" s="174"/>
      <c r="M48" s="171">
        <f t="shared" si="2"/>
        <v>-284900</v>
      </c>
      <c r="N48" s="149">
        <f t="shared" si="3"/>
        <v>-0.28489999999999999</v>
      </c>
    </row>
    <row r="49" spans="1:18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51">
        <v>0</v>
      </c>
      <c r="L49" s="174"/>
      <c r="M49" s="171">
        <f t="shared" si="2"/>
        <v>0</v>
      </c>
      <c r="N49" s="149">
        <f t="shared" si="3"/>
        <v>0</v>
      </c>
    </row>
    <row r="50" spans="1:18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51">
        <v>-10394</v>
      </c>
      <c r="L50" s="174"/>
      <c r="M50" s="171">
        <f t="shared" si="2"/>
        <v>4538</v>
      </c>
      <c r="N50" s="149">
        <f t="shared" si="3"/>
        <v>9.0759999999999993E-2</v>
      </c>
    </row>
    <row r="51" spans="1:18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51">
        <v>0</v>
      </c>
      <c r="L51" s="174"/>
      <c r="M51" s="171">
        <f t="shared" si="2"/>
        <v>-152273</v>
      </c>
      <c r="N51" s="149">
        <f t="shared" si="3"/>
        <v>-0.23426615384615385</v>
      </c>
    </row>
    <row r="52" spans="1:18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51">
        <v>0</v>
      </c>
      <c r="L52" s="174"/>
      <c r="M52" s="171">
        <f t="shared" si="2"/>
        <v>-157736</v>
      </c>
      <c r="N52" s="149">
        <f t="shared" si="3"/>
        <v>-1.2618879999999999</v>
      </c>
    </row>
    <row r="53" spans="1:18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51">
        <v>0</v>
      </c>
      <c r="L53" s="174"/>
      <c r="M53" s="171">
        <f t="shared" si="2"/>
        <v>-106641</v>
      </c>
      <c r="N53" s="149">
        <f t="shared" si="3"/>
        <v>-0.35547000000000001</v>
      </c>
    </row>
    <row r="54" spans="1:18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51">
        <v>0</v>
      </c>
      <c r="L54" s="174"/>
      <c r="M54" s="171">
        <f t="shared" si="2"/>
        <v>8135</v>
      </c>
      <c r="N54" s="149">
        <f t="shared" si="3"/>
        <v>5.4233333333333328E-2</v>
      </c>
    </row>
    <row r="55" spans="1:18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51">
        <v>6100</v>
      </c>
      <c r="L55" s="174"/>
      <c r="M55" s="171">
        <f t="shared" si="2"/>
        <v>48246</v>
      </c>
      <c r="N55" s="149">
        <f t="shared" si="3"/>
        <v>9.6492000000000008E-2</v>
      </c>
    </row>
    <row r="56" spans="1:18" ht="15.75" thickBot="1" x14ac:dyDescent="0.3">
      <c r="A56" s="24"/>
      <c r="B56" s="25"/>
      <c r="C56" s="26"/>
      <c r="D56" s="24"/>
      <c r="E56" s="24"/>
      <c r="F56" s="115"/>
      <c r="G56" s="16"/>
      <c r="H56" s="254">
        <f>SUM(H4:H55)</f>
        <v>-2118400</v>
      </c>
      <c r="I56" s="254">
        <f>SUM(I4:I55)</f>
        <v>-531590</v>
      </c>
      <c r="J56" s="254">
        <f>SUM(J4:J55)</f>
        <v>141562</v>
      </c>
      <c r="K56" s="254">
        <f>SUM(K4:K55)</f>
        <v>-88507</v>
      </c>
      <c r="L56" s="254">
        <f>SUM(L4:L55)</f>
        <v>0</v>
      </c>
      <c r="M56" s="254">
        <f t="shared" si="2"/>
        <v>-2596935</v>
      </c>
      <c r="N56" s="255">
        <f t="shared" si="3"/>
        <v>0</v>
      </c>
    </row>
    <row r="57" spans="1:18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0"/>
      <c r="N57" s="252"/>
    </row>
    <row r="58" spans="1:18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162">
        <v>0</v>
      </c>
      <c r="L58" s="246"/>
      <c r="M58" s="247">
        <f>SUM(H58:L58)</f>
        <v>-387560</v>
      </c>
      <c r="N58" s="248">
        <f>IFERROR(M58/F58*100,0)/10000000</f>
        <v>-1.2918666666666667</v>
      </c>
      <c r="Q58" s="134"/>
    </row>
    <row r="59" spans="1:18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62">
        <v>0</v>
      </c>
      <c r="L59" s="174"/>
      <c r="M59" s="171">
        <f>SUM(H59:L59)</f>
        <v>-246000</v>
      </c>
      <c r="N59" s="149">
        <f>IFERROR(M59/F59*100,0)/10000000</f>
        <v>0</v>
      </c>
      <c r="P59" s="134"/>
    </row>
    <row r="60" spans="1:18" ht="15.75" thickBot="1" x14ac:dyDescent="0.3">
      <c r="A60" s="200"/>
      <c r="B60" s="16"/>
      <c r="C60" s="16"/>
      <c r="D60" s="16"/>
      <c r="E60" s="16"/>
      <c r="F60" s="74"/>
      <c r="G60" s="17"/>
      <c r="H60" s="170">
        <f>SUM(H58:H59)</f>
        <v>-616080</v>
      </c>
      <c r="I60" s="170">
        <f>SUM(I58:I59)</f>
        <v>0</v>
      </c>
      <c r="J60" s="170">
        <f>SUM(J58:J59)</f>
        <v>-17480</v>
      </c>
      <c r="K60" s="170">
        <f>SUM(K58:K59)</f>
        <v>0</v>
      </c>
      <c r="L60" s="170">
        <f>SUM(L58:L59)</f>
        <v>0</v>
      </c>
      <c r="M60" s="254">
        <f>SUM(H60:L60)</f>
        <v>-633560</v>
      </c>
      <c r="N60" s="19"/>
      <c r="P60" s="5"/>
      <c r="Q60" s="134"/>
      <c r="R60" s="237"/>
    </row>
    <row r="61" spans="1:18" x14ac:dyDescent="0.25">
      <c r="P61" s="134"/>
      <c r="Q61" s="134"/>
      <c r="R61" s="237"/>
    </row>
    <row r="62" spans="1:18" x14ac:dyDescent="0.25">
      <c r="P62" s="134"/>
      <c r="Q62" s="134"/>
      <c r="R62" s="237"/>
    </row>
    <row r="63" spans="1:18" x14ac:dyDescent="0.25">
      <c r="P63" s="134"/>
      <c r="Q63" s="134"/>
      <c r="R63" s="237"/>
    </row>
    <row r="64" spans="1:18" x14ac:dyDescent="0.25">
      <c r="P64" s="134"/>
      <c r="Q64" s="134"/>
      <c r="R64" s="237"/>
    </row>
    <row r="65" spans="16:18" x14ac:dyDescent="0.25">
      <c r="P65" s="134"/>
      <c r="Q65" s="237"/>
      <c r="R65" s="237"/>
    </row>
    <row r="66" spans="16:18" x14ac:dyDescent="0.25">
      <c r="P66" s="237"/>
      <c r="Q66" s="237"/>
      <c r="R66" s="237"/>
    </row>
  </sheetData>
  <conditionalFormatting sqref="G2 A3:G3 N56:N57 M55:N55 N60 M43:N43 M5:N10 M24:N25 H2:N3 A58:N59 A37:M37 N11:N21 M11:M22 M45:N53 M27:M36 N27:N35 A4:L36 M38:M41 A38:L39 G40:L40 A41:L56 A60:L60">
    <cfRule type="expression" dxfId="446" priority="21">
      <formula>MOD(ROW(),2)=0</formula>
    </cfRule>
  </conditionalFormatting>
  <conditionalFormatting sqref="N36">
    <cfRule type="expression" dxfId="445" priority="20">
      <formula>MOD(ROW(),2)=0</formula>
    </cfRule>
  </conditionalFormatting>
  <conditionalFormatting sqref="N39:N40">
    <cfRule type="expression" dxfId="444" priority="19">
      <formula>MOD(ROW(),2)=0</formula>
    </cfRule>
  </conditionalFormatting>
  <conditionalFormatting sqref="M4:N4">
    <cfRule type="expression" dxfId="443" priority="18">
      <formula>MOD(ROW(),2)=0</formula>
    </cfRule>
  </conditionalFormatting>
  <conditionalFormatting sqref="N38">
    <cfRule type="expression" dxfId="442" priority="17">
      <formula>MOD(ROW(),2)=0</formula>
    </cfRule>
  </conditionalFormatting>
  <conditionalFormatting sqref="N22">
    <cfRule type="expression" dxfId="441" priority="14">
      <formula>MOD(ROW(),2)=0</formula>
    </cfRule>
  </conditionalFormatting>
  <conditionalFormatting sqref="M56">
    <cfRule type="expression" dxfId="440" priority="13">
      <formula>MOD(ROW(),2)=0</formula>
    </cfRule>
  </conditionalFormatting>
  <conditionalFormatting sqref="N41">
    <cfRule type="expression" dxfId="439" priority="12">
      <formula>MOD(ROW(),2)=0</formula>
    </cfRule>
  </conditionalFormatting>
  <conditionalFormatting sqref="M26:N26">
    <cfRule type="expression" dxfId="438" priority="11">
      <formula>MOD(ROW(),2)=0</formula>
    </cfRule>
  </conditionalFormatting>
  <conditionalFormatting sqref="M54:N54">
    <cfRule type="expression" dxfId="437" priority="10">
      <formula>MOD(ROW(),2)=0</formula>
    </cfRule>
  </conditionalFormatting>
  <conditionalFormatting sqref="M44:N44">
    <cfRule type="expression" dxfId="436" priority="9">
      <formula>MOD(ROW(),2)=0</formula>
    </cfRule>
  </conditionalFormatting>
  <conditionalFormatting sqref="M60">
    <cfRule type="expression" dxfId="435" priority="8">
      <formula>MOD(ROW(),2)=0</formula>
    </cfRule>
  </conditionalFormatting>
  <conditionalFormatting sqref="M42:N42">
    <cfRule type="expression" dxfId="434" priority="6">
      <formula>MOD(ROW(),2)=0</formula>
    </cfRule>
  </conditionalFormatting>
  <conditionalFormatting sqref="M23">
    <cfRule type="expression" dxfId="433" priority="5">
      <formula>MOD(ROW(),2)=0</formula>
    </cfRule>
  </conditionalFormatting>
  <conditionalFormatting sqref="N23">
    <cfRule type="expression" dxfId="432" priority="4">
      <formula>MOD(ROW(),2)=0</formula>
    </cfRule>
  </conditionalFormatting>
  <conditionalFormatting sqref="N37">
    <cfRule type="expression" dxfId="431" priority="2">
      <formula>MOD(ROW(),2)=0</formula>
    </cfRule>
  </conditionalFormatting>
  <conditionalFormatting sqref="A40:F40">
    <cfRule type="expression" dxfId="43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T77" sqref="T77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29" priority="22">
      <formula>MOD(ROW(),2)=0</formula>
    </cfRule>
  </conditionalFormatting>
  <conditionalFormatting sqref="AD43">
    <cfRule type="expression" dxfId="428" priority="21">
      <formula>MOD(ROW(),2)=0</formula>
    </cfRule>
  </conditionalFormatting>
  <conditionalFormatting sqref="AD46">
    <cfRule type="expression" dxfId="427" priority="20">
      <formula>MOD(ROW(),2)=0</formula>
    </cfRule>
  </conditionalFormatting>
  <conditionalFormatting sqref="AC4:AD4">
    <cfRule type="expression" dxfId="426" priority="19">
      <formula>MOD(ROW(),2)=0</formula>
    </cfRule>
  </conditionalFormatting>
  <conditionalFormatting sqref="AD45">
    <cfRule type="expression" dxfId="425" priority="18">
      <formula>MOD(ROW(),2)=0</formula>
    </cfRule>
  </conditionalFormatting>
  <conditionalFormatting sqref="AD20">
    <cfRule type="expression" dxfId="424" priority="17">
      <formula>MOD(ROW(),2)=0</formula>
    </cfRule>
  </conditionalFormatting>
  <conditionalFormatting sqref="AD54">
    <cfRule type="expression" dxfId="423" priority="16">
      <formula>MOD(ROW(),2)=0</formula>
    </cfRule>
  </conditionalFormatting>
  <conditionalFormatting sqref="AD24">
    <cfRule type="expression" dxfId="422" priority="15">
      <formula>MOD(ROW(),2)=0</formula>
    </cfRule>
  </conditionalFormatting>
  <conditionalFormatting sqref="AC68">
    <cfRule type="expression" dxfId="421" priority="14">
      <formula>MOD(ROW(),2)=0</formula>
    </cfRule>
  </conditionalFormatting>
  <conditionalFormatting sqref="AD49">
    <cfRule type="expression" dxfId="420" priority="13">
      <formula>MOD(ROW(),2)=0</formula>
    </cfRule>
  </conditionalFormatting>
  <conditionalFormatting sqref="AC28:AD28">
    <cfRule type="expression" dxfId="419" priority="12">
      <formula>MOD(ROW(),2)=0</formula>
    </cfRule>
  </conditionalFormatting>
  <conditionalFormatting sqref="AC65:AD65">
    <cfRule type="expression" dxfId="418" priority="11">
      <formula>MOD(ROW(),2)=0</formula>
    </cfRule>
  </conditionalFormatting>
  <conditionalFormatting sqref="AC53:AD53">
    <cfRule type="expression" dxfId="417" priority="10">
      <formula>MOD(ROW(),2)=0</formula>
    </cfRule>
  </conditionalFormatting>
  <conditionalFormatting sqref="AC73">
    <cfRule type="expression" dxfId="416" priority="9">
      <formula>MOD(ROW(),2)=0</formula>
    </cfRule>
  </conditionalFormatting>
  <conditionalFormatting sqref="H68:AB68">
    <cfRule type="expression" dxfId="415" priority="8">
      <formula>MOD(ROW(),2)=0</formula>
    </cfRule>
  </conditionalFormatting>
  <conditionalFormatting sqref="AC51:AD51">
    <cfRule type="expression" dxfId="414" priority="7">
      <formula>MOD(ROW(),2)=0</formula>
    </cfRule>
  </conditionalFormatting>
  <conditionalFormatting sqref="AC25">
    <cfRule type="expression" dxfId="413" priority="6">
      <formula>MOD(ROW(),2)=0</formula>
    </cfRule>
  </conditionalFormatting>
  <conditionalFormatting sqref="AD25">
    <cfRule type="expression" dxfId="412" priority="5">
      <formula>MOD(ROW(),2)=0</formula>
    </cfRule>
  </conditionalFormatting>
  <conditionalFormatting sqref="T44:AC44">
    <cfRule type="expression" dxfId="411" priority="4">
      <formula>MOD(ROW(),2)=0</formula>
    </cfRule>
  </conditionalFormatting>
  <conditionalFormatting sqref="AD44">
    <cfRule type="expression" dxfId="410" priority="3">
      <formula>MOD(ROW(),2)=0</formula>
    </cfRule>
  </conditionalFormatting>
  <conditionalFormatting sqref="A23:A25">
    <cfRule type="expression" dxfId="409" priority="2">
      <formula>MOD(ROW(),2)=0</formula>
    </cfRule>
  </conditionalFormatting>
  <conditionalFormatting sqref="A51">
    <cfRule type="expression" dxfId="408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34" workbookViewId="0">
      <selection activeCell="B22" sqref="B22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7" priority="20">
      <formula>MOD(ROW(),2)=0</formula>
    </cfRule>
  </conditionalFormatting>
  <conditionalFormatting sqref="AF40">
    <cfRule type="expression" dxfId="406" priority="19">
      <formula>MOD(ROW(),2)=0</formula>
    </cfRule>
  </conditionalFormatting>
  <conditionalFormatting sqref="AF42">
    <cfRule type="expression" dxfId="405" priority="18">
      <formula>MOD(ROW(),2)=0</formula>
    </cfRule>
  </conditionalFormatting>
  <conditionalFormatting sqref="AE4:AF4">
    <cfRule type="expression" dxfId="404" priority="16">
      <formula>MOD(ROW(),2)=0</formula>
    </cfRule>
  </conditionalFormatting>
  <conditionalFormatting sqref="AF41">
    <cfRule type="expression" dxfId="403" priority="14">
      <formula>MOD(ROW(),2)=0</formula>
    </cfRule>
  </conditionalFormatting>
  <conditionalFormatting sqref="AF18">
    <cfRule type="expression" dxfId="402" priority="13">
      <formula>MOD(ROW(),2)=0</formula>
    </cfRule>
  </conditionalFormatting>
  <conditionalFormatting sqref="AF49">
    <cfRule type="expression" dxfId="401" priority="12">
      <formula>MOD(ROW(),2)=0</formula>
    </cfRule>
  </conditionalFormatting>
  <conditionalFormatting sqref="AF22">
    <cfRule type="expression" dxfId="400" priority="11">
      <formula>MOD(ROW(),2)=0</formula>
    </cfRule>
  </conditionalFormatting>
  <conditionalFormatting sqref="AE62">
    <cfRule type="expression" dxfId="399" priority="10">
      <formula>MOD(ROW(),2)=0</formula>
    </cfRule>
  </conditionalFormatting>
  <conditionalFormatting sqref="AF45">
    <cfRule type="expression" dxfId="398" priority="9">
      <formula>MOD(ROW(),2)=0</formula>
    </cfRule>
  </conditionalFormatting>
  <conditionalFormatting sqref="AE25:AF25">
    <cfRule type="expression" dxfId="397" priority="6">
      <formula>MOD(ROW(),2)=0</formula>
    </cfRule>
  </conditionalFormatting>
  <conditionalFormatting sqref="AE59:AF59">
    <cfRule type="expression" dxfId="396" priority="5">
      <formula>MOD(ROW(),2)=0</formula>
    </cfRule>
  </conditionalFormatting>
  <conditionalFormatting sqref="AE48:AF48">
    <cfRule type="expression" dxfId="395" priority="4">
      <formula>MOD(ROW(),2)=0</formula>
    </cfRule>
  </conditionalFormatting>
  <conditionalFormatting sqref="AE67">
    <cfRule type="expression" dxfId="394" priority="3">
      <formula>MOD(ROW(),2)=0</formula>
    </cfRule>
  </conditionalFormatting>
  <conditionalFormatting sqref="B21">
    <cfRule type="expression" dxfId="393" priority="2">
      <formula>MOD(ROW(),2)=0</formula>
    </cfRule>
  </conditionalFormatting>
  <conditionalFormatting sqref="A21:A22">
    <cfRule type="expression" dxfId="392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40" workbookViewId="0">
      <selection activeCell="O71" sqref="O71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IFERROR(VLOOKUP($A$3:$A$126,'SEP-2026'!$A$4:$ADO$124,MATCH('FY-(26-27)Q2'!$K$2:$L$2,'SEP-2026'!$A$2:$DP$2,0),0),0)</f>
        <v>-12411</v>
      </c>
      <c r="L4" s="155">
        <f>IFERROR(VLOOKUP($A$3:$A$126,'SEP-2026'!$A$4:$ADO$124,MATCH('FY-(26-27)Q2'!$K$2:$L$2,'SEP-2026'!$A$2:$DP$2,0),0),0)</f>
        <v>-0.24822</v>
      </c>
      <c r="M4" s="71">
        <f t="shared" ref="M4:N62" si="0">G4+I4+K4</f>
        <v>-39455</v>
      </c>
      <c r="N4" s="166">
        <f t="shared" si="0"/>
        <v>-0.78910000000000002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IFERROR(VLOOKUP($A$3:$A$126,'SEP-2026'!$A$4:$ADO$124,MATCH('FY-(26-27)Q2'!$K$2:$L$2,'SEP-2026'!$A$2:$DP$2,0),0),0)</f>
        <v>-34831</v>
      </c>
      <c r="L5" s="155">
        <f>IFERROR(VLOOKUP($A$3:$A$126,'SEP-2026'!$A$4:$ADO$124,MATCH('FY-(26-27)Q2'!$K$2:$L$2,'SEP-2026'!$A$2:$DP$2,0),0),0)</f>
        <v>-0.11610333333333335</v>
      </c>
      <c r="M5" s="71">
        <f t="shared" si="0"/>
        <v>-285802</v>
      </c>
      <c r="N5" s="166">
        <f t="shared" si="0"/>
        <v>-0.95267333333333337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IFERROR(VLOOKUP($A$3:$A$126,'SEP-2026'!$A$4:$ADO$124,MATCH('FY-(26-27)Q2'!$K$2:$L$2,'SEP-2026'!$A$2:$DP$2,0),0),0)</f>
        <v>0</v>
      </c>
      <c r="L6" s="155">
        <f>IFERROR(VLOOKUP($A$3:$A$126,'SEP-2026'!$A$4:$ADO$124,MATCH('FY-(26-27)Q2'!$K$2:$L$2,'SEP-2026'!$A$2:$DP$2,0),0),0)</f>
        <v>0</v>
      </c>
      <c r="M6" s="71">
        <f t="shared" ref="M6:M7" si="1">G6+I6+K6</f>
        <v>116185</v>
      </c>
      <c r="N6" s="166">
        <f t="shared" ref="N6:N7" si="2">H6+J6+L6</f>
        <v>1.16185</v>
      </c>
    </row>
    <row r="7" spans="1:1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IFERROR(VLOOKUP($A$3:$A$126,'SEP-2026'!$A$4:$ADO$124,MATCH('FY-(26-27)Q2'!$K$2:$L$2,'SEP-2026'!$A$2:$DP$2,0),0),0)</f>
        <v>0</v>
      </c>
      <c r="L7" s="155">
        <f>IFERROR(VLOOKUP($A$3:$A$126,'SEP-2026'!$A$4:$ADO$124,MATCH('FY-(26-27)Q2'!$K$2:$L$2,'SEP-2026'!$A$2:$DP$2,0),0),0)</f>
        <v>0</v>
      </c>
      <c r="M7" s="71">
        <f t="shared" si="1"/>
        <v>0</v>
      </c>
      <c r="N7" s="166">
        <f t="shared" si="2"/>
        <v>0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IFERROR(VLOOKUP($A$3:$A$126,'SEP-2026'!$A$4:$ADO$124,MATCH('FY-(26-27)Q2'!$K$2:$L$2,'SEP-2026'!$A$2:$DP$2,0),0),0)</f>
        <v>61757</v>
      </c>
      <c r="L8" s="155">
        <f>IFERROR(VLOOKUP($A$3:$A$126,'SEP-2026'!$A$4:$ADO$124,MATCH('FY-(26-27)Q2'!$K$2:$L$2,'SEP-2026'!$A$2:$DP$2,0),0),0)</f>
        <v>0.20585666666666669</v>
      </c>
      <c r="M8" s="71">
        <f t="shared" si="0"/>
        <v>-393340</v>
      </c>
      <c r="N8" s="166">
        <f t="shared" si="0"/>
        <v>-1.3111333333333333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IFERROR(VLOOKUP($A$3:$A$126,'SEP-2026'!$A$4:$ADO$124,MATCH('FY-(26-27)Q2'!$K$2:$L$2,'SEP-2026'!$A$2:$DP$2,0),0),0)</f>
        <v>76523</v>
      </c>
      <c r="L9" s="155">
        <f>IFERROR(VLOOKUP($A$3:$A$126,'SEP-2026'!$A$4:$ADO$124,MATCH('FY-(26-27)Q2'!$K$2:$L$2,'SEP-2026'!$A$2:$DP$2,0),0),0)</f>
        <v>0.51015333333333335</v>
      </c>
      <c r="M9" s="71">
        <f t="shared" si="0"/>
        <v>-217613</v>
      </c>
      <c r="N9" s="166">
        <f t="shared" si="0"/>
        <v>-1.4507533333333336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IFERROR(VLOOKUP($A$3:$A$126,'SEP-2026'!$A$4:$ADO$124,MATCH('FY-(26-27)Q2'!$K$2:$L$2,'SEP-2026'!$A$2:$DP$2,0),0),0)</f>
        <v>10274</v>
      </c>
      <c r="L10" s="155">
        <f>IFERROR(VLOOKUP($A$3:$A$126,'SEP-2026'!$A$4:$ADO$124,MATCH('FY-(26-27)Q2'!$K$2:$L$2,'SEP-2026'!$A$2:$DP$2,0),0),0)</f>
        <v>0.17123333333333335</v>
      </c>
      <c r="M10" s="71">
        <f t="shared" ref="M10" si="3">G10+I10+K10</f>
        <v>-181975</v>
      </c>
      <c r="N10" s="166">
        <f t="shared" ref="N10" si="4">H10+J10+L10</f>
        <v>-3.0329166666666669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IFERROR(VLOOKUP($A$3:$A$126,'SEP-2026'!$A$4:$ADO$124,MATCH('FY-(26-27)Q2'!$K$2:$L$2,'SEP-2026'!$A$2:$DP$2,0),0),0)</f>
        <v>-386040</v>
      </c>
      <c r="L11" s="155">
        <f>IFERROR(VLOOKUP($A$3:$A$126,'SEP-2026'!$A$4:$ADO$124,MATCH('FY-(26-27)Q2'!$K$2:$L$2,'SEP-2026'!$A$2:$DP$2,0),0),0)</f>
        <v>-0.25735999999999998</v>
      </c>
      <c r="M11" s="71">
        <f t="shared" si="0"/>
        <v>581225</v>
      </c>
      <c r="N11" s="166">
        <f t="shared" si="0"/>
        <v>0.38748333333333346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IFERROR(VLOOKUP($A$3:$A$126,'SEP-2026'!$A$4:$ADO$124,MATCH('FY-(26-27)Q2'!$K$2:$L$2,'SEP-2026'!$A$2:$DP$2,0),0),0)</f>
        <v>-112135</v>
      </c>
      <c r="L12" s="155">
        <f>IFERROR(VLOOKUP($A$3:$A$126,'SEP-2026'!$A$4:$ADO$124,MATCH('FY-(26-27)Q2'!$K$2:$L$2,'SEP-2026'!$A$2:$DP$2,0),0),0)</f>
        <v>-0.18689166666666668</v>
      </c>
      <c r="M12" s="71">
        <f t="shared" si="0"/>
        <v>295645</v>
      </c>
      <c r="N12" s="166">
        <f t="shared" si="0"/>
        <v>0.49274166666666674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IFERROR(VLOOKUP($A$3:$A$126,'SEP-2026'!$A$4:$ADO$124,MATCH('FY-(26-27)Q2'!$K$2:$L$2,'SEP-2026'!$A$2:$DP$2,0),0),0)</f>
        <v>-2640</v>
      </c>
      <c r="L13" s="155">
        <f>IFERROR(VLOOKUP($A$3:$A$126,'SEP-2026'!$A$4:$ADO$124,MATCH('FY-(26-27)Q2'!$K$2:$L$2,'SEP-2026'!$A$2:$DP$2,0),0),0)</f>
        <v>-2.64E-2</v>
      </c>
      <c r="M13" s="71">
        <f t="shared" si="0"/>
        <v>10776</v>
      </c>
      <c r="N13" s="166">
        <f t="shared" si="0"/>
        <v>0.10775999999999999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IFERROR(VLOOKUP($A$3:$A$126,'SEP-2026'!$A$4:$ADO$124,MATCH('FY-(26-27)Q2'!$K$2:$L$2,'SEP-2026'!$A$2:$DP$2,0),0),0)</f>
        <v>5194</v>
      </c>
      <c r="L14" s="155">
        <f>IFERROR(VLOOKUP($A$3:$A$126,'SEP-2026'!$A$4:$ADO$124,MATCH('FY-(26-27)Q2'!$K$2:$L$2,'SEP-2026'!$A$2:$DP$2,0),0),0)</f>
        <v>2.0775999999999999E-2</v>
      </c>
      <c r="M14" s="71">
        <f t="shared" si="0"/>
        <v>50114</v>
      </c>
      <c r="N14" s="166">
        <f t="shared" si="0"/>
        <v>0.20045599999999994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IFERROR(VLOOKUP($A$3:$A$126,'SEP-2026'!$A$4:$ADO$124,MATCH('FY-(26-27)Q2'!$K$2:$L$2,'SEP-2026'!$A$2:$DP$2,0),0),0)</f>
        <v>0</v>
      </c>
      <c r="L15" s="155">
        <f>IFERROR(VLOOKUP($A$3:$A$126,'SEP-2026'!$A$4:$ADO$124,MATCH('FY-(26-27)Q2'!$K$2:$L$2,'SEP-2026'!$A$2:$DP$2,0),0),0)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IFERROR(VLOOKUP($A$3:$A$126,'SEP-2026'!$A$4:$ADO$124,MATCH('FY-(26-27)Q2'!$K$2:$L$2,'SEP-2026'!$A$2:$DP$2,0),0),0)</f>
        <v>-1356</v>
      </c>
      <c r="L16" s="155">
        <f>IFERROR(VLOOKUP($A$3:$A$126,'SEP-2026'!$A$4:$ADO$124,MATCH('FY-(26-27)Q2'!$K$2:$L$2,'SEP-2026'!$A$2:$DP$2,0),0),0)</f>
        <v>-1.3559999999999999E-2</v>
      </c>
      <c r="M16" s="71">
        <f t="shared" si="0"/>
        <v>72051</v>
      </c>
      <c r="N16" s="166">
        <f t="shared" si="0"/>
        <v>0.72050999999999998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IFERROR(VLOOKUP($A$3:$A$126,'SEP-2026'!$A$4:$ADO$124,MATCH('FY-(26-27)Q2'!$K$2:$L$2,'SEP-2026'!$A$2:$DP$2,0),0),0)</f>
        <v>6197</v>
      </c>
      <c r="L17" s="155">
        <f>IFERROR(VLOOKUP($A$3:$A$126,'SEP-2026'!$A$4:$ADO$124,MATCH('FY-(26-27)Q2'!$K$2:$L$2,'SEP-2026'!$A$2:$DP$2,0),0),0)</f>
        <v>2.8168181818181818E-2</v>
      </c>
      <c r="M17" s="71">
        <f t="shared" ref="M17" si="5">G17+I17+K17</f>
        <v>-81711</v>
      </c>
      <c r="N17" s="166">
        <f t="shared" ref="N17" si="6">H17+J17+L17</f>
        <v>-0.37141363636363633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IFERROR(VLOOKUP($A$3:$A$126,'SEP-2026'!$A$4:$ADO$124,MATCH('FY-(26-27)Q2'!$K$2:$L$2,'SEP-2026'!$A$2:$DP$2,0),0),0)</f>
        <v>0</v>
      </c>
      <c r="L18" s="155">
        <f>IFERROR(VLOOKUP($A$3:$A$126,'SEP-2026'!$A$4:$ADO$124,MATCH('FY-(26-27)Q2'!$K$2:$L$2,'SEP-2026'!$A$2:$DP$2,0),0),0)</f>
        <v>0</v>
      </c>
      <c r="M18" s="71">
        <f t="shared" si="0"/>
        <v>-63917</v>
      </c>
      <c r="N18" s="166">
        <f t="shared" si="0"/>
        <v>-0.25566800000000001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IFERROR(VLOOKUP($A$3:$A$126,'SEP-2026'!$A$4:$ADO$124,MATCH('FY-(26-27)Q2'!$K$2:$L$2,'SEP-2026'!$A$2:$DP$2,0),0),0)</f>
        <v>0</v>
      </c>
      <c r="L19" s="155">
        <f>IFERROR(VLOOKUP($A$3:$A$126,'SEP-2026'!$A$4:$ADO$124,MATCH('FY-(26-27)Q2'!$K$2:$L$2,'SEP-2026'!$A$2:$DP$2,0),0),0)</f>
        <v>0</v>
      </c>
      <c r="M19" s="71">
        <f t="shared" si="0"/>
        <v>267315</v>
      </c>
      <c r="N19" s="166">
        <f t="shared" si="0"/>
        <v>0.66828749999999992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IFERROR(VLOOKUP($A$3:$A$126,'SEP-2026'!$A$4:$ADO$124,MATCH('FY-(26-27)Q2'!$K$2:$L$2,'SEP-2026'!$A$2:$DP$2,0),0),0)</f>
        <v>-2058</v>
      </c>
      <c r="L20" s="155">
        <f>IFERROR(VLOOKUP($A$3:$A$126,'SEP-2026'!$A$4:$ADO$124,MATCH('FY-(26-27)Q2'!$K$2:$L$2,'SEP-2026'!$A$2:$DP$2,0),0),0)</f>
        <v>-1.8709090909090908E-2</v>
      </c>
      <c r="M20" s="71">
        <f t="shared" si="0"/>
        <v>85624</v>
      </c>
      <c r="N20" s="166">
        <f t="shared" si="0"/>
        <v>0.77839999999999987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IFERROR(VLOOKUP($A$3:$A$126,'SEP-2026'!$A$4:$ADO$124,MATCH('FY-(26-27)Q2'!$K$2:$L$2,'SEP-2026'!$A$2:$DP$2,0),0),0)</f>
        <v>-4799</v>
      </c>
      <c r="L21" s="155">
        <f>IFERROR(VLOOKUP($A$3:$A$126,'SEP-2026'!$A$4:$ADO$124,MATCH('FY-(26-27)Q2'!$K$2:$L$2,'SEP-2026'!$A$2:$DP$2,0),0),0)</f>
        <v>-0.19195999999999999</v>
      </c>
      <c r="M21" s="71">
        <f t="shared" ref="M21:M22" si="7">G21+I21+K21</f>
        <v>-48345</v>
      </c>
      <c r="N21" s="166">
        <f t="shared" ref="N21:N22" si="8">H21+J21+L21</f>
        <v>-1.9337999999999997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IFERROR(VLOOKUP($A$3:$A$126,'SEP-2026'!$A$4:$ADO$124,MATCH('FY-(26-27)Q2'!$K$2:$L$2,'SEP-2026'!$A$2:$DP$2,0),0),0)</f>
        <v>7135</v>
      </c>
      <c r="L22" s="155">
        <f>IFERROR(VLOOKUP($A$3:$A$126,'SEP-2026'!$A$4:$ADO$124,MATCH('FY-(26-27)Q2'!$K$2:$L$2,'SEP-2026'!$A$2:$DP$2,0),0),0)</f>
        <v>3.5674999999999998E-2</v>
      </c>
      <c r="M22" s="71">
        <f t="shared" si="7"/>
        <v>23267</v>
      </c>
      <c r="N22" s="166">
        <f t="shared" si="8"/>
        <v>0.11633499999999999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IFERROR(VLOOKUP($A$3:$A$126,'SEP-2026'!$A$4:$ADO$124,MATCH('FY-(26-27)Q2'!$K$2:$L$2,'SEP-2026'!$A$2:$DP$2,0),0),0)</f>
        <v>10520</v>
      </c>
      <c r="L23" s="155">
        <f>IFERROR(VLOOKUP($A$3:$A$126,'SEP-2026'!$A$4:$ADO$124,MATCH('FY-(26-27)Q2'!$K$2:$L$2,'SEP-2026'!$A$2:$DP$2,0),0),0)</f>
        <v>7.0133333333333325E-2</v>
      </c>
      <c r="M23" s="71">
        <f t="shared" si="0"/>
        <v>125533</v>
      </c>
      <c r="N23" s="166">
        <f t="shared" si="0"/>
        <v>0.83688666666666678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IFERROR(VLOOKUP($A$3:$A$126,'SEP-2026'!$A$4:$ADO$124,MATCH('FY-(26-27)Q2'!$K$2:$L$2,'SEP-2026'!$A$2:$DP$2,0),0),0)</f>
        <v>0</v>
      </c>
      <c r="L24" s="155">
        <f>IFERROR(VLOOKUP($A$3:$A$126,'SEP-2026'!$A$4:$ADO$124,MATCH('FY-(26-27)Q2'!$K$2:$L$2,'SEP-2026'!$A$2:$DP$2,0),0),0)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IFERROR(VLOOKUP($A$3:$A$126,'SEP-2026'!$A$4:$ADO$124,MATCH('FY-(26-27)Q2'!$K$2:$L$2,'SEP-2026'!$A$2:$DP$2,0),0),0)</f>
        <v>24445</v>
      </c>
      <c r="L25" s="155">
        <f>IFERROR(VLOOKUP($A$3:$A$126,'SEP-2026'!$A$4:$ADO$124,MATCH('FY-(26-27)Q2'!$K$2:$L$2,'SEP-2026'!$A$2:$DP$2,0),0),0)</f>
        <v>0.22222727272727272</v>
      </c>
      <c r="M25" s="71">
        <f t="shared" si="0"/>
        <v>229149</v>
      </c>
      <c r="N25" s="166">
        <f t="shared" si="0"/>
        <v>2.0831727272727267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IFERROR(VLOOKUP($A$3:$A$126,'SEP-2026'!$A$4:$ADO$124,MATCH('FY-(26-27)Q2'!$K$2:$L$2,'SEP-2026'!$A$2:$DP$2,0),0),0)</f>
        <v>-512700</v>
      </c>
      <c r="L26" s="155">
        <f>IFERROR(VLOOKUP($A$3:$A$126,'SEP-2026'!$A$4:$ADO$124,MATCH('FY-(26-27)Q2'!$K$2:$L$2,'SEP-2026'!$A$2:$DP$2,0),0),0)</f>
        <v>-2.2291304347826091</v>
      </c>
      <c r="M26" s="71">
        <f t="shared" si="0"/>
        <v>-158639</v>
      </c>
      <c r="N26" s="166">
        <f t="shared" si="0"/>
        <v>-0.68973478260869658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IFERROR(VLOOKUP($A$3:$A$126,'SEP-2026'!$A$4:$ADO$124,MATCH('FY-(26-27)Q2'!$K$2:$L$2,'SEP-2026'!$A$2:$DP$2,0),0),0)</f>
        <v>3420</v>
      </c>
      <c r="L27" s="155">
        <f>IFERROR(VLOOKUP($A$3:$A$126,'SEP-2026'!$A$4:$ADO$124,MATCH('FY-(26-27)Q2'!$K$2:$L$2,'SEP-2026'!$A$2:$DP$2,0),0),0)</f>
        <v>0.17100000000000001</v>
      </c>
      <c r="M27" s="71">
        <f t="shared" ref="M27" si="9">G27+I27+K27</f>
        <v>-16876</v>
      </c>
      <c r="N27" s="166">
        <f t="shared" ref="N27" si="10">H27+J27+L27</f>
        <v>-0.84379999999999988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IFERROR(VLOOKUP($A$3:$A$126,'SEP-2026'!$A$4:$ADO$124,MATCH('FY-(26-27)Q2'!$K$2:$L$2,'SEP-2026'!$A$2:$DP$2,0),0),0)</f>
        <v>39000</v>
      </c>
      <c r="L28" s="155">
        <f>IFERROR(VLOOKUP($A$3:$A$126,'SEP-2026'!$A$4:$ADO$124,MATCH('FY-(26-27)Q2'!$K$2:$L$2,'SEP-2026'!$A$2:$DP$2,0),0),0)</f>
        <v>7.8E-2</v>
      </c>
      <c r="M28" s="71">
        <f t="shared" si="0"/>
        <v>-225918</v>
      </c>
      <c r="N28" s="166">
        <f t="shared" si="0"/>
        <v>-0.45183599999999996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IFERROR(VLOOKUP($A$3:$A$126,'SEP-2026'!$A$4:$ADO$124,MATCH('FY-(26-27)Q2'!$K$2:$L$2,'SEP-2026'!$A$2:$DP$2,0),0),0)</f>
        <v>-132675</v>
      </c>
      <c r="L29" s="155">
        <f>IFERROR(VLOOKUP($A$3:$A$126,'SEP-2026'!$A$4:$ADO$124,MATCH('FY-(26-27)Q2'!$K$2:$L$2,'SEP-2026'!$A$2:$DP$2,0),0),0)</f>
        <v>-0.13267499999999999</v>
      </c>
      <c r="M29" s="71">
        <f t="shared" si="0"/>
        <v>3334737</v>
      </c>
      <c r="N29" s="166">
        <f t="shared" si="0"/>
        <v>3.3347370000000001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IFERROR(VLOOKUP($A$3:$A$126,'SEP-2026'!$A$4:$ADO$124,MATCH('FY-(26-27)Q2'!$K$2:$L$2,'SEP-2026'!$A$2:$DP$2,0),0),0)</f>
        <v>0</v>
      </c>
      <c r="L30" s="155">
        <f>IFERROR(VLOOKUP($A$3:$A$126,'SEP-2026'!$A$4:$ADO$124,MATCH('FY-(26-27)Q2'!$K$2:$L$2,'SEP-2026'!$A$2:$DP$2,0),0),0)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IFERROR(VLOOKUP($A$3:$A$126,'SEP-2026'!$A$4:$ADO$124,MATCH('FY-(26-27)Q2'!$K$2:$L$2,'SEP-2026'!$A$2:$DP$2,0),0),0)</f>
        <v>0</v>
      </c>
      <c r="L31" s="155">
        <f>IFERROR(VLOOKUP($A$3:$A$126,'SEP-2026'!$A$4:$ADO$124,MATCH('FY-(26-27)Q2'!$K$2:$L$2,'SEP-2026'!$A$2:$DP$2,0),0),0)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IFERROR(VLOOKUP($A$3:$A$126,'SEP-2026'!$A$4:$ADO$124,MATCH('FY-(26-27)Q2'!$K$2:$L$2,'SEP-2026'!$A$2:$DP$2,0),0),0)</f>
        <v>0</v>
      </c>
      <c r="L32" s="155">
        <f>IFERROR(VLOOKUP($A$3:$A$126,'SEP-2026'!$A$4:$ADO$124,MATCH('FY-(26-27)Q2'!$K$2:$L$2,'SEP-2026'!$A$2:$DP$2,0),0),0)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IFERROR(VLOOKUP($A$3:$A$126,'SEP-2026'!$A$4:$ADO$124,MATCH('FY-(26-27)Q2'!$K$2:$L$2,'SEP-2026'!$A$2:$DP$2,0),0),0)</f>
        <v>0</v>
      </c>
      <c r="L33" s="155">
        <f>IFERROR(VLOOKUP($A$3:$A$126,'SEP-2026'!$A$4:$ADO$124,MATCH('FY-(26-27)Q2'!$K$2:$L$2,'SEP-2026'!$A$2:$DP$2,0),0),0)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IFERROR(VLOOKUP($A$3:$A$126,'SEP-2026'!$A$4:$ADO$124,MATCH('FY-(26-27)Q2'!$K$2:$L$2,'SEP-2026'!$A$2:$DP$2,0),0),0)</f>
        <v>0</v>
      </c>
      <c r="L34" s="155">
        <f>IFERROR(VLOOKUP($A$3:$A$126,'SEP-2026'!$A$4:$ADO$124,MATCH('FY-(26-27)Q2'!$K$2:$L$2,'SEP-2026'!$A$2:$DP$2,0),0),0)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IFERROR(VLOOKUP($A$3:$A$126,'SEP-2026'!$A$4:$ADO$124,MATCH('FY-(26-27)Q2'!$K$2:$L$2,'SEP-2026'!$A$2:$DP$2,0),0),0)</f>
        <v>-475000</v>
      </c>
      <c r="L35" s="155">
        <f>IFERROR(VLOOKUP($A$3:$A$126,'SEP-2026'!$A$4:$ADO$124,MATCH('FY-(26-27)Q2'!$K$2:$L$2,'SEP-2026'!$A$2:$DP$2,0),0),0)</f>
        <v>-0.95</v>
      </c>
      <c r="M35" s="71">
        <f t="shared" si="0"/>
        <v>224852</v>
      </c>
      <c r="N35" s="166">
        <f t="shared" si="0"/>
        <v>0.44970399999999988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IFERROR(VLOOKUP($A$3:$A$126,'SEP-2026'!$A$4:$ADO$124,MATCH('FY-(26-27)Q2'!$K$2:$L$2,'SEP-2026'!$A$2:$DP$2,0),0),0)</f>
        <v>-9724</v>
      </c>
      <c r="L36" s="155">
        <f>IFERROR(VLOOKUP($A$3:$A$126,'SEP-2026'!$A$4:$ADO$124,MATCH('FY-(26-27)Q2'!$K$2:$L$2,'SEP-2026'!$A$2:$DP$2,0),0),0)</f>
        <v>-1.9448E-2</v>
      </c>
      <c r="M36" s="71">
        <f t="shared" si="0"/>
        <v>1017683</v>
      </c>
      <c r="N36" s="166">
        <f t="shared" si="0"/>
        <v>2.0353659999999998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IFERROR(VLOOKUP($A$3:$A$126,'SEP-2026'!$A$4:$ADO$124,MATCH('FY-(26-27)Q2'!$K$2:$L$2,'SEP-2026'!$A$2:$DP$2,0),0),0)</f>
        <v>-103387</v>
      </c>
      <c r="L37" s="155">
        <f>IFERROR(VLOOKUP($A$3:$A$126,'SEP-2026'!$A$4:$ADO$124,MATCH('FY-(26-27)Q2'!$K$2:$L$2,'SEP-2026'!$A$2:$DP$2,0),0),0)</f>
        <v>-2.0677400000000001</v>
      </c>
      <c r="M37" s="71">
        <f t="shared" si="0"/>
        <v>-182751</v>
      </c>
      <c r="N37" s="166">
        <f t="shared" si="0"/>
        <v>-3.6550200000000004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IFERROR(VLOOKUP($A$3:$A$126,'SEP-2026'!$A$4:$ADO$124,MATCH('FY-(26-27)Q2'!$K$2:$L$2,'SEP-2026'!$A$2:$DP$2,0),0),0)</f>
        <v>-843</v>
      </c>
      <c r="L38" s="155">
        <f>IFERROR(VLOOKUP($A$3:$A$126,'SEP-2026'!$A$4:$ADO$124,MATCH('FY-(26-27)Q2'!$K$2:$L$2,'SEP-2026'!$A$2:$DP$2,0),0),0)</f>
        <v>-2.1075E-2</v>
      </c>
      <c r="M38" s="71">
        <f t="shared" si="0"/>
        <v>-66368</v>
      </c>
      <c r="N38" s="166">
        <f t="shared" si="0"/>
        <v>-1.6591999999999998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IFERROR(VLOOKUP($A$3:$A$126,'SEP-2026'!$A$4:$ADO$124,MATCH('FY-(26-27)Q2'!$K$2:$L$2,'SEP-2026'!$A$2:$DP$2,0),0),0)</f>
        <v>0</v>
      </c>
      <c r="L39" s="155">
        <f>IFERROR(VLOOKUP($A$3:$A$126,'SEP-2026'!$A$4:$ADO$124,MATCH('FY-(26-27)Q2'!$K$2:$L$2,'SEP-2026'!$A$2:$DP$2,0),0),0)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IFERROR(VLOOKUP($A$3:$A$126,'SEP-2026'!$A$4:$ADO$124,MATCH('FY-(26-27)Q2'!$K$2:$L$2,'SEP-2026'!$A$2:$DP$2,0),0),0)</f>
        <v>0</v>
      </c>
      <c r="L40" s="155">
        <f>IFERROR(VLOOKUP($A$3:$A$126,'SEP-2026'!$A$4:$ADO$124,MATCH('FY-(26-27)Q2'!$K$2:$L$2,'SEP-2026'!$A$2:$DP$2,0),0),0)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IFERROR(VLOOKUP($A$3:$A$126,'SEP-2026'!$A$4:$ADO$124,MATCH('FY-(26-27)Q2'!$K$2:$L$2,'SEP-2026'!$A$2:$DP$2,0),0),0)</f>
        <v>-138378</v>
      </c>
      <c r="L41" s="155">
        <f>IFERROR(VLOOKUP($A$3:$A$126,'SEP-2026'!$A$4:$ADO$124,MATCH('FY-(26-27)Q2'!$K$2:$L$2,'SEP-2026'!$A$2:$DP$2,0),0),0)</f>
        <v>-0.345945</v>
      </c>
      <c r="M41" s="71">
        <f t="shared" si="0"/>
        <v>572558</v>
      </c>
      <c r="N41" s="166">
        <f t="shared" si="0"/>
        <v>1.4313950000000002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IFERROR(VLOOKUP($A$3:$A$126,'SEP-2026'!$A$4:$ADO$124,MATCH('FY-(26-27)Q2'!$K$2:$L$2,'SEP-2026'!$A$2:$DP$2,0),0),0)</f>
        <v>-3547</v>
      </c>
      <c r="L42" s="155">
        <f>IFERROR(VLOOKUP($A$3:$A$126,'SEP-2026'!$A$4:$ADO$124,MATCH('FY-(26-27)Q2'!$K$2:$L$2,'SEP-2026'!$A$2:$DP$2,0),0),0)</f>
        <v>-3.5470000000000002E-2</v>
      </c>
      <c r="M42" s="71">
        <f t="shared" si="0"/>
        <v>200085</v>
      </c>
      <c r="N42" s="166">
        <f t="shared" si="0"/>
        <v>2.0008499999999998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IFERROR(VLOOKUP($A$3:$A$126,'SEP-2026'!$A$4:$ADO$124,MATCH('FY-(26-27)Q2'!$K$2:$L$2,'SEP-2026'!$A$2:$DP$2,0),0),0)</f>
        <v>0</v>
      </c>
      <c r="L43" s="155">
        <f>IFERROR(VLOOKUP($A$3:$A$126,'SEP-2026'!$A$4:$ADO$124,MATCH('FY-(26-27)Q2'!$K$2:$L$2,'SEP-2026'!$A$2:$DP$2,0),0),0)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IFERROR(VLOOKUP($A$3:$A$126,'SEP-2026'!$A$4:$ADO$124,MATCH('FY-(26-27)Q2'!$K$2:$L$2,'SEP-2026'!$A$2:$DP$2,0),0),0)</f>
        <v>-29440</v>
      </c>
      <c r="L44" s="155">
        <f>IFERROR(VLOOKUP($A$3:$A$126,'SEP-2026'!$A$4:$ADO$124,MATCH('FY-(26-27)Q2'!$K$2:$L$2,'SEP-2026'!$A$2:$DP$2,0),0),0)</f>
        <v>-0.58879999999999999</v>
      </c>
      <c r="M44" s="71">
        <f t="shared" si="0"/>
        <v>-95823</v>
      </c>
      <c r="N44" s="166">
        <f t="shared" si="0"/>
        <v>-1.9164599999999998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IFERROR(VLOOKUP($A$3:$A$126,'SEP-2026'!$A$4:$ADO$124,MATCH('FY-(26-27)Q2'!$K$2:$L$2,'SEP-2026'!$A$2:$DP$2,0),0),0)</f>
        <v>-104433</v>
      </c>
      <c r="L45" s="155">
        <f>IFERROR(VLOOKUP($A$3:$A$126,'SEP-2026'!$A$4:$ADO$124,MATCH('FY-(26-27)Q2'!$K$2:$L$2,'SEP-2026'!$A$2:$DP$2,0),0),0)</f>
        <v>-0.34810999999999998</v>
      </c>
      <c r="M45" s="71">
        <f t="shared" si="0"/>
        <v>-215225</v>
      </c>
      <c r="N45" s="166">
        <f t="shared" si="0"/>
        <v>-0.71741666666666659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IFERROR(VLOOKUP($A$3:$A$126,'SEP-2026'!$A$4:$ADO$124,MATCH('FY-(26-27)Q2'!$K$2:$L$2,'SEP-2026'!$A$2:$DP$2,0),0),0)</f>
        <v>0</v>
      </c>
      <c r="L46" s="155">
        <f>IFERROR(VLOOKUP($A$3:$A$126,'SEP-2026'!$A$4:$ADO$124,MATCH('FY-(26-27)Q2'!$K$2:$L$2,'SEP-2026'!$A$2:$DP$2,0),0),0)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IFERROR(VLOOKUP($A$3:$A$126,'SEP-2026'!$A$4:$ADO$124,MATCH('FY-(26-27)Q2'!$K$2:$L$2,'SEP-2026'!$A$2:$DP$2,0),0),0)</f>
        <v>0</v>
      </c>
      <c r="L47" s="155">
        <f>IFERROR(VLOOKUP($A$3:$A$126,'SEP-2026'!$A$4:$ADO$124,MATCH('FY-(26-27)Q2'!$K$2:$L$2,'SEP-2026'!$A$2:$DP$2,0),0),0)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IFERROR(VLOOKUP($A$3:$A$126,'SEP-2026'!$A$4:$ADO$124,MATCH('FY-(26-27)Q2'!$K$2:$L$2,'SEP-2026'!$A$2:$DP$2,0),0),0)</f>
        <v>35315</v>
      </c>
      <c r="L48" s="155">
        <f>IFERROR(VLOOKUP($A$3:$A$126,'SEP-2026'!$A$4:$ADO$124,MATCH('FY-(26-27)Q2'!$K$2:$L$2,'SEP-2026'!$A$2:$DP$2,0),0),0)</f>
        <v>3.5314999999999999</v>
      </c>
      <c r="M48" s="71">
        <f t="shared" ref="M48" si="15">G48+I48+K48</f>
        <v>18383</v>
      </c>
      <c r="N48" s="166">
        <f t="shared" ref="N48" si="16">H48+J48+L48</f>
        <v>1.8382999999999998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IFERROR(VLOOKUP($A$3:$A$126,'SEP-2026'!$A$4:$ADO$124,MATCH('FY-(26-27)Q2'!$K$2:$L$2,'SEP-2026'!$A$2:$DP$2,0),0),0)</f>
        <v>377</v>
      </c>
      <c r="L49" s="155">
        <f>IFERROR(VLOOKUP($A$3:$A$126,'SEP-2026'!$A$4:$ADO$124,MATCH('FY-(26-27)Q2'!$K$2:$L$2,'SEP-2026'!$A$2:$DP$2,0),0),0)</f>
        <v>7.5399999999999998E-3</v>
      </c>
      <c r="M49" s="71">
        <f t="shared" si="0"/>
        <v>34705</v>
      </c>
      <c r="N49" s="166">
        <f t="shared" si="0"/>
        <v>0.3735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IFERROR(VLOOKUP($A$3:$A$126,'SEP-2026'!$A$4:$ADO$124,MATCH('FY-(26-27)Q2'!$K$2:$L$2,'SEP-2026'!$A$2:$DP$2,0),0),0)</f>
        <v>-69717</v>
      </c>
      <c r="L50" s="155">
        <f>IFERROR(VLOOKUP($A$3:$A$126,'SEP-2026'!$A$4:$ADO$124,MATCH('FY-(26-27)Q2'!$K$2:$L$2,'SEP-2026'!$A$2:$DP$2,0),0),0)</f>
        <v>-0.69716999999999996</v>
      </c>
      <c r="M50" s="71">
        <f t="shared" si="0"/>
        <v>817657</v>
      </c>
      <c r="N50" s="166">
        <f t="shared" si="0"/>
        <v>8.1765699999999999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IFERROR(VLOOKUP($A$3:$A$126,'SEP-2026'!$A$4:$ADO$124,MATCH('FY-(26-27)Q2'!$K$2:$L$2,'SEP-2026'!$A$2:$DP$2,0),0),0)</f>
        <v>7454</v>
      </c>
      <c r="L51" s="155">
        <f>IFERROR(VLOOKUP($A$3:$A$126,'SEP-2026'!$A$4:$ADO$124,MATCH('FY-(26-27)Q2'!$K$2:$L$2,'SEP-2026'!$A$2:$DP$2,0),0),0)</f>
        <v>0.74539999999999995</v>
      </c>
      <c r="M51" s="71">
        <f t="shared" ref="M51" si="17">G51+I51+K51</f>
        <v>3908</v>
      </c>
      <c r="N51" s="166">
        <f t="shared" ref="N51" si="18">H51+J51+L51</f>
        <v>0.39079999999999993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IFERROR(VLOOKUP($A$3:$A$126,'SEP-2026'!$A$4:$ADO$124,MATCH('FY-(26-27)Q2'!$K$2:$L$2,'SEP-2026'!$A$2:$DP$2,0),0),0)</f>
        <v>16024</v>
      </c>
      <c r="L52" s="155">
        <f>IFERROR(VLOOKUP($A$3:$A$126,'SEP-2026'!$A$4:$ADO$124,MATCH('FY-(26-27)Q2'!$K$2:$L$2,'SEP-2026'!$A$2:$DP$2,0),0),0)</f>
        <v>5.3413333333333327E-2</v>
      </c>
      <c r="M52" s="71">
        <f t="shared" si="0"/>
        <v>7291</v>
      </c>
      <c r="N52" s="166">
        <f t="shared" si="0"/>
        <v>2.4303333333333357E-2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IFERROR(VLOOKUP($A$3:$A$126,'SEP-2026'!$A$4:$ADO$124,MATCH('FY-(26-27)Q2'!$K$2:$L$2,'SEP-2026'!$A$2:$DP$2,0),0),0)</f>
        <v>0</v>
      </c>
      <c r="L53" s="155">
        <f>IFERROR(VLOOKUP($A$3:$A$126,'SEP-2026'!$A$4:$ADO$124,MATCH('FY-(26-27)Q2'!$K$2:$L$2,'SEP-2026'!$A$2:$DP$2,0),0),0)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IFERROR(VLOOKUP($A$3:$A$126,'SEP-2026'!$A$4:$ADO$124,MATCH('FY-(26-27)Q2'!$K$2:$L$2,'SEP-2026'!$A$2:$DP$2,0),0),0)</f>
        <v>-156125</v>
      </c>
      <c r="L54" s="155">
        <f>IFERROR(VLOOKUP($A$3:$A$126,'SEP-2026'!$A$4:$ADO$124,MATCH('FY-(26-27)Q2'!$K$2:$L$2,'SEP-2026'!$A$2:$DP$2,0),0),0)</f>
        <v>-0.39031250000000001</v>
      </c>
      <c r="M54" s="71">
        <f t="shared" si="0"/>
        <v>319077</v>
      </c>
      <c r="N54" s="166">
        <f t="shared" si="0"/>
        <v>0.79769249999999992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IFERROR(VLOOKUP($A$3:$A$126,'SEP-2026'!$A$4:$ADO$124,MATCH('FY-(26-27)Q2'!$K$2:$L$2,'SEP-2026'!$A$2:$DP$2,0),0),0)</f>
        <v>39740</v>
      </c>
      <c r="L55" s="155">
        <f>IFERROR(VLOOKUP($A$3:$A$126,'SEP-2026'!$A$4:$ADO$124,MATCH('FY-(26-27)Q2'!$K$2:$L$2,'SEP-2026'!$A$2:$DP$2,0),0),0)</f>
        <v>9.9349999999999994E-2</v>
      </c>
      <c r="M55" s="71">
        <f t="shared" si="0"/>
        <v>382014</v>
      </c>
      <c r="N55" s="166">
        <f t="shared" si="0"/>
        <v>0.95503499999999986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IFERROR(VLOOKUP($A$3:$A$126,'SEP-2026'!$A$4:$ADO$124,MATCH('FY-(26-27)Q2'!$K$2:$L$2,'SEP-2026'!$A$2:$DP$2,0),0),0)</f>
        <v>-284900</v>
      </c>
      <c r="L56" s="155">
        <f>IFERROR(VLOOKUP($A$3:$A$126,'SEP-2026'!$A$4:$ADO$124,MATCH('FY-(26-27)Q2'!$K$2:$L$2,'SEP-2026'!$A$2:$DP$2,0),0),0)</f>
        <v>-0.28489999999999999</v>
      </c>
      <c r="M56" s="71">
        <f t="shared" ref="M56" si="21">G56+I56+K56</f>
        <v>-1319980</v>
      </c>
      <c r="N56" s="166">
        <f t="shared" ref="N56" si="22">H56+J56+L56</f>
        <v>-1.3200799999999999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IFERROR(VLOOKUP($A$3:$A$126,'SEP-2026'!$A$4:$ADO$124,MATCH('FY-(26-27)Q2'!$K$2:$L$2,'SEP-2026'!$A$2:$DP$2,0),0),0)</f>
        <v>0</v>
      </c>
      <c r="L57" s="155">
        <f>IFERROR(VLOOKUP($A$3:$A$126,'SEP-2026'!$A$4:$ADO$124,MATCH('FY-(26-27)Q2'!$K$2:$L$2,'SEP-2026'!$A$2:$DP$2,0),0),0)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IFERROR(VLOOKUP($A$3:$A$126,'SEP-2026'!$A$4:$ADO$124,MATCH('FY-(26-27)Q2'!$K$2:$L$2,'SEP-2026'!$A$2:$DP$2,0),0),0)</f>
        <v>4538</v>
      </c>
      <c r="L58" s="155">
        <f>IFERROR(VLOOKUP($A$3:$A$126,'SEP-2026'!$A$4:$ADO$124,MATCH('FY-(26-27)Q2'!$K$2:$L$2,'SEP-2026'!$A$2:$DP$2,0),0),0)</f>
        <v>9.0759999999999993E-2</v>
      </c>
      <c r="M58" s="71">
        <f t="shared" si="0"/>
        <v>-29757</v>
      </c>
      <c r="N58" s="166">
        <f t="shared" si="0"/>
        <v>-0.59514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IFERROR(VLOOKUP($A$3:$A$126,'SEP-2026'!$A$4:$ADO$124,MATCH('FY-(26-27)Q2'!$K$2:$L$2,'SEP-2026'!$A$2:$DP$2,0),0),0)</f>
        <v>-152273</v>
      </c>
      <c r="L59" s="155">
        <f>IFERROR(VLOOKUP($A$3:$A$126,'SEP-2026'!$A$4:$ADO$124,MATCH('FY-(26-27)Q2'!$K$2:$L$2,'SEP-2026'!$A$2:$DP$2,0),0),0)</f>
        <v>-0.23426615384615385</v>
      </c>
      <c r="M59" s="71">
        <f t="shared" si="0"/>
        <v>791671</v>
      </c>
      <c r="N59" s="166">
        <f t="shared" si="0"/>
        <v>2.0613448076923078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IFERROR(VLOOKUP($A$3:$A$126,'SEP-2026'!$A$4:$ADO$124,MATCH('FY-(26-27)Q2'!$K$2:$L$2,'SEP-2026'!$A$2:$DP$2,0),0),0)</f>
        <v>-157736</v>
      </c>
      <c r="L60" s="155">
        <f>IFERROR(VLOOKUP($A$3:$A$126,'SEP-2026'!$A$4:$ADO$124,MATCH('FY-(26-27)Q2'!$K$2:$L$2,'SEP-2026'!$A$2:$DP$2,0),0),0)</f>
        <v>-1.2618879999999999</v>
      </c>
      <c r="M60" s="71">
        <f t="shared" si="0"/>
        <v>25522</v>
      </c>
      <c r="N60" s="166">
        <f t="shared" si="0"/>
        <v>0.20417600000000014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IFERROR(VLOOKUP($A$3:$A$126,'SEP-2026'!$A$4:$ADO$124,MATCH('FY-(26-27)Q2'!$K$2:$L$2,'SEP-2026'!$A$2:$DP$2,0),0),0)</f>
        <v>-106641</v>
      </c>
      <c r="L61" s="155">
        <f>IFERROR(VLOOKUP($A$3:$A$126,'SEP-2026'!$A$4:$ADO$124,MATCH('FY-(26-27)Q2'!$K$2:$L$2,'SEP-2026'!$A$2:$DP$2,0),0),0)</f>
        <v>-0.35547000000000001</v>
      </c>
      <c r="M61" s="71">
        <f t="shared" si="0"/>
        <v>597432</v>
      </c>
      <c r="N61" s="166">
        <f t="shared" si="0"/>
        <v>1.9914400000000003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IFERROR(VLOOKUP($A$3:$A$126,'SEP-2026'!$A$4:$ADO$124,MATCH('FY-(26-27)Q2'!$K$2:$L$2,'SEP-2026'!$A$2:$DP$2,0),0),0)</f>
        <v>0</v>
      </c>
      <c r="L62" s="155">
        <f>IFERROR(VLOOKUP($A$3:$A$126,'SEP-2026'!$A$4:$ADO$124,MATCH('FY-(26-27)Q2'!$K$2:$L$2,'SEP-2026'!$A$2:$DP$2,0),0),0)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IFERROR(VLOOKUP($A$3:$A$126,'SEP-2026'!$A$4:$ADO$124,MATCH('FY-(26-27)Q2'!$K$2:$L$2,'SEP-2026'!$A$2:$DP$2,0),0),0)</f>
        <v>8135</v>
      </c>
      <c r="L63" s="155">
        <f>IFERROR(VLOOKUP($A$3:$A$126,'SEP-2026'!$A$4:$ADO$124,MATCH('FY-(26-27)Q2'!$K$2:$L$2,'SEP-2026'!$A$2:$DP$2,0),0),0)</f>
        <v>5.4233333333333328E-2</v>
      </c>
      <c r="M63" s="71">
        <f t="shared" ref="M63" si="25">G63+I63+K63</f>
        <v>88300</v>
      </c>
      <c r="N63" s="166">
        <f t="shared" ref="N63" si="26">H63+J63+L63</f>
        <v>0.50513333333333332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IFERROR(VLOOKUP($A$3:$A$126,'SEP-2026'!$A$4:$ADO$124,MATCH('FY-(26-27)Q2'!$K$2:$L$2,'SEP-2026'!$A$2:$DP$2,0),0),0)</f>
        <v>48246</v>
      </c>
      <c r="L64" s="155">
        <f>IFERROR(VLOOKUP($A$3:$A$126,'SEP-2026'!$A$4:$ADO$124,MATCH('FY-(26-27)Q2'!$K$2:$L$2,'SEP-2026'!$A$2:$DP$2,0),0),0)</f>
        <v>9.6492000000000008E-2</v>
      </c>
      <c r="M64" s="71">
        <f t="shared" ref="M64" si="27">G64+I64+K64</f>
        <v>537651</v>
      </c>
      <c r="N64" s="166">
        <f t="shared" ref="N64" si="28">H64+J64+L64</f>
        <v>1.075302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-5644903</v>
      </c>
      <c r="J65" s="100"/>
      <c r="K65" s="109">
        <f>SUM(K4:K62)</f>
        <v>-2645876</v>
      </c>
      <c r="L65" s="109"/>
      <c r="M65" s="154">
        <f>SUM(M4:M62)</f>
        <v>9134161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IFERROR(VLOOKUP($A$3:$A$126,'AUG-2026'!$A$4:$ADL$124,MATCH('FY-(26-27)Q2'!$I$2:$J$2,'AUG-2026'!$A$2:$DM$2,0),0),0)</f>
        <v>71530</v>
      </c>
      <c r="J69" s="155">
        <f>IFERROR(VLOOKUP($A$3:$A$126,'AUG-2026'!$A$4:$ADL$124,MATCH('FY-(26-27)Q2'!$I$2:$J$2,'AUG-2026'!$A$2:$DM$2,0),0),0)</f>
        <v>0.2384333333333333</v>
      </c>
      <c r="K69" s="153">
        <f>IFERROR(VLOOKUP($A$3:$A$126,'SEP-2026'!$A$4:$ADO$124,MATCH('FY-(26-27)Q2'!$K$2:$L$2,'SEP-2026'!$A$2:$DP$2,0),0),0)</f>
        <v>-387560</v>
      </c>
      <c r="L69" s="155">
        <f>IFERROR(VLOOKUP($A$3:$A$126,'SEP-2026'!$A$4:$ADO$124,MATCH('FY-(26-27)Q2'!$K$2:$L$2,'SEP-2026'!$A$2:$DP$2,0),0),0)</f>
        <v>-1.2918666666666667</v>
      </c>
      <c r="M69" s="153">
        <f t="shared" ref="M69:N69" si="29">G69+I69+K69</f>
        <v>298950</v>
      </c>
      <c r="N69" s="167">
        <f t="shared" si="29"/>
        <v>0.99650000000000039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IFERROR(VLOOKUP($A$3:$A$126,'AUG-2026'!$A$4:$ADL$124,MATCH('FY-(26-27)Q2'!$I$2:$J$2,'AUG-2026'!$A$2:$DM$2,0),0),0)</f>
        <v>197439</v>
      </c>
      <c r="J70" s="155">
        <f>IFERROR(VLOOKUP($A$3:$A$126,'AUG-2026'!$A$4:$ADL$124,MATCH('FY-(26-27)Q2'!$I$2:$J$2,'AUG-2026'!$A$2:$DM$2,0),0),0)</f>
        <v>0</v>
      </c>
      <c r="K70" s="153">
        <f>IFERROR(VLOOKUP($A$3:$A$126,'SEP-2026'!$A$4:$ADO$124,MATCH('FY-(26-27)Q2'!$K$2:$L$2,'SEP-2026'!$A$2:$DP$2,0),0),0)</f>
        <v>-246000</v>
      </c>
      <c r="L70" s="155">
        <f>IFERROR(VLOOKUP($A$3:$A$126,'SEP-2026'!$A$4:$ADO$124,MATCH('FY-(26-27)Q2'!$K$2:$L$2,'SEP-2026'!$A$2:$DP$2,0),0),0)</f>
        <v>0</v>
      </c>
      <c r="M70" s="153">
        <f t="shared" ref="M70" si="30">G70+I70+K70</f>
        <v>922885</v>
      </c>
      <c r="N70" s="167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-633560</v>
      </c>
      <c r="L71" s="113"/>
      <c r="M71" s="93">
        <f>SUM(M69:M70)</f>
        <v>1221835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1" priority="229">
      <formula>MOD(ROW(),2)=0</formula>
    </cfRule>
  </conditionalFormatting>
  <conditionalFormatting sqref="G2:I3">
    <cfRule type="expression" dxfId="390" priority="228">
      <formula>MOD(ROW(),2)=0</formula>
    </cfRule>
  </conditionalFormatting>
  <conditionalFormatting sqref="J2:J3">
    <cfRule type="expression" dxfId="389" priority="227">
      <formula>MOD(ROW(),2)=0</formula>
    </cfRule>
  </conditionalFormatting>
  <conditionalFormatting sqref="K2:K3">
    <cfRule type="expression" dxfId="388" priority="226">
      <formula>MOD(ROW(),2)=0</formula>
    </cfRule>
  </conditionalFormatting>
  <conditionalFormatting sqref="A42:C42 E42 A43">
    <cfRule type="expression" dxfId="387" priority="222">
      <formula>MOD(ROW(),2)=0</formula>
    </cfRule>
  </conditionalFormatting>
  <conditionalFormatting sqref="E45">
    <cfRule type="expression" dxfId="386" priority="220">
      <formula>MOD(ROW(),2)=0</formula>
    </cfRule>
  </conditionalFormatting>
  <conditionalFormatting sqref="A20:F20">
    <cfRule type="expression" dxfId="385" priority="218">
      <formula>MOD(ROW(),2)=0</formula>
    </cfRule>
  </conditionalFormatting>
  <conditionalFormatting sqref="A47:C47 E47:F47">
    <cfRule type="expression" dxfId="384" priority="212">
      <formula>MOD(ROW(),2)=0</formula>
    </cfRule>
  </conditionalFormatting>
  <conditionalFormatting sqref="M25:N25">
    <cfRule type="expression" dxfId="383" priority="202">
      <formula>MOD(ROW(),2)=0</formula>
    </cfRule>
  </conditionalFormatting>
  <conditionalFormatting sqref="A12:C12 E12:F12">
    <cfRule type="expression" dxfId="382" priority="207">
      <formula>MOD(ROW(),2)=0</formula>
    </cfRule>
  </conditionalFormatting>
  <conditionalFormatting sqref="N25">
    <cfRule type="expression" dxfId="381" priority="203">
      <formula>MOD(ROW(),2)=0</formula>
    </cfRule>
  </conditionalFormatting>
  <conditionalFormatting sqref="M12:N12">
    <cfRule type="expression" dxfId="380" priority="188">
      <formula>MOD(ROW(),2)=0</formula>
    </cfRule>
  </conditionalFormatting>
  <conditionalFormatting sqref="B23:C23 E23:F23">
    <cfRule type="expression" dxfId="379" priority="183">
      <formula>MOD(ROW(),2)=0</formula>
    </cfRule>
  </conditionalFormatting>
  <conditionalFormatting sqref="N12">
    <cfRule type="expression" dxfId="378" priority="189">
      <formula>MOD(ROW(),2)=0</formula>
    </cfRule>
  </conditionalFormatting>
  <conditionalFormatting sqref="A8:C8 E8:F8 A9:F9 A10:B10 D10:F10">
    <cfRule type="expression" dxfId="377" priority="174">
      <formula>MOD(ROW(),2)=0</formula>
    </cfRule>
  </conditionalFormatting>
  <conditionalFormatting sqref="N8:N9">
    <cfRule type="expression" dxfId="376" priority="172">
      <formula>MOD(ROW(),2)=0</formula>
    </cfRule>
  </conditionalFormatting>
  <conditionalFormatting sqref="M8:N9">
    <cfRule type="expression" dxfId="375" priority="171">
      <formula>MOD(ROW(),2)=0</formula>
    </cfRule>
  </conditionalFormatting>
  <conditionalFormatting sqref="A37:C37 E37:F37">
    <cfRule type="expression" dxfId="374" priority="166">
      <formula>MOD(ROW(),2)=0</formula>
    </cfRule>
  </conditionalFormatting>
  <conditionalFormatting sqref="M37:N37">
    <cfRule type="expression" dxfId="373" priority="162">
      <formula>MOD(ROW(),2)=0</formula>
    </cfRule>
  </conditionalFormatting>
  <conditionalFormatting sqref="N37">
    <cfRule type="expression" dxfId="372" priority="163">
      <formula>MOD(ROW(),2)=0</formula>
    </cfRule>
  </conditionalFormatting>
  <conditionalFormatting sqref="A49:C49 E49:F49">
    <cfRule type="expression" dxfId="371" priority="157">
      <formula>MOD(ROW(),2)=0</formula>
    </cfRule>
  </conditionalFormatting>
  <conditionalFormatting sqref="N23">
    <cfRule type="expression" dxfId="370" priority="143">
      <formula>MOD(ROW(),2)=0</formula>
    </cfRule>
  </conditionalFormatting>
  <conditionalFormatting sqref="M23:N23">
    <cfRule type="expression" dxfId="369" priority="142">
      <formula>MOD(ROW(),2)=0</formula>
    </cfRule>
  </conditionalFormatting>
  <conditionalFormatting sqref="A58:C58 E58:F58">
    <cfRule type="expression" dxfId="368" priority="132">
      <formula>MOD(ROW(),2)=0</formula>
    </cfRule>
  </conditionalFormatting>
  <conditionalFormatting sqref="L67:L68">
    <cfRule type="expression" dxfId="367" priority="126">
      <formula>MOD(ROW(),2)=0</formula>
    </cfRule>
  </conditionalFormatting>
  <conditionalFormatting sqref="G67:I68">
    <cfRule type="expression" dxfId="366" priority="125">
      <formula>MOD(ROW(),2)=0</formula>
    </cfRule>
  </conditionalFormatting>
  <conditionalFormatting sqref="J67:J68">
    <cfRule type="expression" dxfId="365" priority="124">
      <formula>MOD(ROW(),2)=0</formula>
    </cfRule>
  </conditionalFormatting>
  <conditionalFormatting sqref="K67:K68">
    <cfRule type="expression" dxfId="364" priority="123">
      <formula>MOD(ROW(),2)=0</formula>
    </cfRule>
  </conditionalFormatting>
  <conditionalFormatting sqref="A30:F30">
    <cfRule type="expression" dxfId="363" priority="122">
      <formula>MOD(ROW(),2)=0</formula>
    </cfRule>
  </conditionalFormatting>
  <conditionalFormatting sqref="A31:F31">
    <cfRule type="expression" dxfId="362" priority="121">
      <formula>MOD(ROW(),2)=0</formula>
    </cfRule>
  </conditionalFormatting>
  <conditionalFormatting sqref="A33:F33">
    <cfRule type="expression" dxfId="361" priority="120">
      <formula>MOD(ROW(),2)=0</formula>
    </cfRule>
  </conditionalFormatting>
  <conditionalFormatting sqref="D11:E11">
    <cfRule type="expression" dxfId="360" priority="109">
      <formula>MOD(ROW(),2)=0</formula>
    </cfRule>
  </conditionalFormatting>
  <conditionalFormatting sqref="A59:C60 E59:E60">
    <cfRule type="expression" dxfId="359" priority="105">
      <formula>MOD(ROW(),2)=0</formula>
    </cfRule>
  </conditionalFormatting>
  <conditionalFormatting sqref="M59:N60">
    <cfRule type="expression" dxfId="358" priority="104">
      <formula>MOD(ROW(),2)=0</formula>
    </cfRule>
  </conditionalFormatting>
  <conditionalFormatting sqref="A46:C46 E46:F46">
    <cfRule type="expression" dxfId="357" priority="101">
      <formula>MOD(ROW(),2)=0</formula>
    </cfRule>
  </conditionalFormatting>
  <conditionalFormatting sqref="A54:B54">
    <cfRule type="expression" dxfId="356" priority="97">
      <formula>MOD(ROW(),2)=0</formula>
    </cfRule>
  </conditionalFormatting>
  <conditionalFormatting sqref="A4:C4 E4:F4">
    <cfRule type="expression" dxfId="355" priority="92">
      <formula>MOD(ROW(),2)=0</formula>
    </cfRule>
  </conditionalFormatting>
  <conditionalFormatting sqref="M4:N4">
    <cfRule type="expression" dxfId="354" priority="91">
      <formula>MOD(ROW(),2)=0</formula>
    </cfRule>
  </conditionalFormatting>
  <conditionalFormatting sqref="M4:N4">
    <cfRule type="expression" dxfId="353" priority="88">
      <formula>MOD(ROW(),2)=0</formula>
    </cfRule>
  </conditionalFormatting>
  <conditionalFormatting sqref="N4">
    <cfRule type="expression" dxfId="352" priority="89">
      <formula>MOD(ROW(),2)=0</formula>
    </cfRule>
  </conditionalFormatting>
  <conditionalFormatting sqref="A44:C44 E44:F44">
    <cfRule type="expression" dxfId="351" priority="83">
      <formula>MOD(ROW(),2)=0</formula>
    </cfRule>
  </conditionalFormatting>
  <conditionalFormatting sqref="A69:F69 F70">
    <cfRule type="expression" dxfId="350" priority="82">
      <formula>MOD(ROW(),2)=0</formula>
    </cfRule>
  </conditionalFormatting>
  <conditionalFormatting sqref="A13:F13">
    <cfRule type="expression" dxfId="349" priority="74">
      <formula>MOD(ROW(),2)=0</formula>
    </cfRule>
  </conditionalFormatting>
  <conditionalFormatting sqref="M13:N13">
    <cfRule type="expression" dxfId="348" priority="73">
      <formula>MOD(ROW(),2)=0</formula>
    </cfRule>
  </conditionalFormatting>
  <conditionalFormatting sqref="M13:N13">
    <cfRule type="expression" dxfId="347" priority="70">
      <formula>MOD(ROW(),2)=0</formula>
    </cfRule>
  </conditionalFormatting>
  <conditionalFormatting sqref="N13">
    <cfRule type="expression" dxfId="346" priority="71">
      <formula>MOD(ROW(),2)=0</formula>
    </cfRule>
  </conditionalFormatting>
  <conditionalFormatting sqref="F54">
    <cfRule type="expression" dxfId="345" priority="63">
      <formula>MOD(ROW(),2)=0</formula>
    </cfRule>
  </conditionalFormatting>
  <conditionalFormatting sqref="D54:E54">
    <cfRule type="expression" dxfId="344" priority="62">
      <formula>MOD(ROW(),2)=0</formula>
    </cfRule>
  </conditionalFormatting>
  <conditionalFormatting sqref="D8">
    <cfRule type="expression" dxfId="343" priority="61">
      <formula>MOD(ROW(),2)=0</formula>
    </cfRule>
  </conditionalFormatting>
  <conditionalFormatting sqref="D4">
    <cfRule type="expression" dxfId="342" priority="60">
      <formula>MOD(ROW(),2)=0</formula>
    </cfRule>
  </conditionalFormatting>
  <conditionalFormatting sqref="D12">
    <cfRule type="expression" dxfId="341" priority="59">
      <formula>MOD(ROW(),2)=0</formula>
    </cfRule>
  </conditionalFormatting>
  <conditionalFormatting sqref="D23">
    <cfRule type="expression" dxfId="340" priority="58">
      <formula>MOD(ROW(),2)=0</formula>
    </cfRule>
  </conditionalFormatting>
  <conditionalFormatting sqref="D59:D60">
    <cfRule type="expression" dxfId="339" priority="47">
      <formula>MOD(ROW(),2)=0</formula>
    </cfRule>
  </conditionalFormatting>
  <conditionalFormatting sqref="D37">
    <cfRule type="expression" dxfId="338" priority="57">
      <formula>MOD(ROW(),2)=0</formula>
    </cfRule>
  </conditionalFormatting>
  <conditionalFormatting sqref="D42 D44">
    <cfRule type="expression" dxfId="337" priority="56">
      <formula>MOD(ROW(),2)=0</formula>
    </cfRule>
  </conditionalFormatting>
  <conditionalFormatting sqref="D41">
    <cfRule type="expression" dxfId="336" priority="55">
      <formula>MOD(ROW(),2)=0</formula>
    </cfRule>
  </conditionalFormatting>
  <conditionalFormatting sqref="D45">
    <cfRule type="expression" dxfId="335" priority="54">
      <formula>MOD(ROW(),2)=0</formula>
    </cfRule>
  </conditionalFormatting>
  <conditionalFormatting sqref="D46">
    <cfRule type="expression" dxfId="334" priority="53">
      <formula>MOD(ROW(),2)=0</formula>
    </cfRule>
  </conditionalFormatting>
  <conditionalFormatting sqref="D47">
    <cfRule type="expression" dxfId="333" priority="52">
      <formula>MOD(ROW(),2)=0</formula>
    </cfRule>
  </conditionalFormatting>
  <conditionalFormatting sqref="D49">
    <cfRule type="expression" dxfId="332" priority="51">
      <formula>MOD(ROW(),2)=0</formula>
    </cfRule>
  </conditionalFormatting>
  <conditionalFormatting sqref="D61">
    <cfRule type="expression" dxfId="331" priority="50">
      <formula>MOD(ROW(),2)=0</formula>
    </cfRule>
  </conditionalFormatting>
  <conditionalFormatting sqref="D58">
    <cfRule type="expression" dxfId="330" priority="48">
      <formula>MOD(ROW(),2)=0</formula>
    </cfRule>
  </conditionalFormatting>
  <conditionalFormatting sqref="A24:F24">
    <cfRule type="expression" dxfId="329" priority="46">
      <formula>MOD(ROW(),2)=0</formula>
    </cfRule>
  </conditionalFormatting>
  <conditionalFormatting sqref="M24:N24">
    <cfRule type="expression" dxfId="328" priority="45">
      <formula>MOD(ROW(),2)=0</formula>
    </cfRule>
  </conditionalFormatting>
  <conditionalFormatting sqref="N24">
    <cfRule type="expression" dxfId="327" priority="42">
      <formula>MOD(ROW(),2)=0</formula>
    </cfRule>
  </conditionalFormatting>
  <conditionalFormatting sqref="M24:N24">
    <cfRule type="expression" dxfId="326" priority="41">
      <formula>MOD(ROW(),2)=0</formula>
    </cfRule>
  </conditionalFormatting>
  <conditionalFormatting sqref="A64:F64">
    <cfRule type="expression" dxfId="325" priority="34">
      <formula>MOD(ROW(),2)=0</formula>
    </cfRule>
  </conditionalFormatting>
  <conditionalFormatting sqref="G64:H64 M64:N64">
    <cfRule type="expression" dxfId="324" priority="33">
      <formula>MOD(ROW(),2)=0</formula>
    </cfRule>
  </conditionalFormatting>
  <conditionalFormatting sqref="A53:B53">
    <cfRule type="expression" dxfId="323" priority="32">
      <formula>MOD(ROW(),2)=0</formula>
    </cfRule>
  </conditionalFormatting>
  <conditionalFormatting sqref="G53:H53 M53:N53">
    <cfRule type="expression" dxfId="322" priority="31">
      <formula>MOD(ROW(),2)=0</formula>
    </cfRule>
  </conditionalFormatting>
  <conditionalFormatting sqref="A40:F40">
    <cfRule type="expression" dxfId="321" priority="30">
      <formula>MOD(ROW(),2)=0</formula>
    </cfRule>
  </conditionalFormatting>
  <conditionalFormatting sqref="G40:H40 M40:N40">
    <cfRule type="expression" dxfId="320" priority="29">
      <formula>MOD(ROW(),2)=0</formula>
    </cfRule>
  </conditionalFormatting>
  <conditionalFormatting sqref="A48:F48">
    <cfRule type="expression" dxfId="319" priority="28">
      <formula>MOD(ROW(),2)=0</formula>
    </cfRule>
  </conditionalFormatting>
  <conditionalFormatting sqref="A17:F17">
    <cfRule type="expression" dxfId="318" priority="27">
      <formula>MOD(ROW(),2)=0</formula>
    </cfRule>
  </conditionalFormatting>
  <conditionalFormatting sqref="G17:H17 M17:N17">
    <cfRule type="expression" dxfId="317" priority="26">
      <formula>MOD(ROW(),2)=0</formula>
    </cfRule>
  </conditionalFormatting>
  <conditionalFormatting sqref="B22:F22 C21:F21">
    <cfRule type="expression" dxfId="316" priority="25">
      <formula>MOD(ROW(),2)=0</formula>
    </cfRule>
  </conditionalFormatting>
  <conditionalFormatting sqref="G21:H22 M21:N22">
    <cfRule type="expression" dxfId="315" priority="24">
      <formula>MOD(ROW(),2)=0</formula>
    </cfRule>
  </conditionalFormatting>
  <conditionalFormatting sqref="G27:H27 M27:N27">
    <cfRule type="expression" dxfId="314" priority="20">
      <formula>MOD(ROW(),2)=0</formula>
    </cfRule>
  </conditionalFormatting>
  <conditionalFormatting sqref="A27:F27">
    <cfRule type="expression" dxfId="313" priority="23">
      <formula>MOD(ROW(),2)=0</formula>
    </cfRule>
  </conditionalFormatting>
  <conditionalFormatting sqref="A51:F51">
    <cfRule type="expression" dxfId="312" priority="22">
      <formula>MOD(ROW(),2)=0</formula>
    </cfRule>
  </conditionalFormatting>
  <conditionalFormatting sqref="A63:F63">
    <cfRule type="expression" dxfId="311" priority="21">
      <formula>MOD(ROW(),2)=0</formula>
    </cfRule>
  </conditionalFormatting>
  <conditionalFormatting sqref="A70:E70">
    <cfRule type="expression" dxfId="310" priority="19">
      <formula>MOD(ROW(),2)=0</formula>
    </cfRule>
  </conditionalFormatting>
  <conditionalFormatting sqref="A56:E56 A57">
    <cfRule type="expression" dxfId="309" priority="17">
      <formula>MOD(ROW(),2)=0</formula>
    </cfRule>
  </conditionalFormatting>
  <conditionalFormatting sqref="A6:F7">
    <cfRule type="expression" dxfId="308" priority="16">
      <formula>MOD(ROW(),2)=0</formula>
    </cfRule>
  </conditionalFormatting>
  <conditionalFormatting sqref="G6:J7">
    <cfRule type="expression" dxfId="307" priority="15">
      <formula>MOD(ROW(),2)=0</formula>
    </cfRule>
  </conditionalFormatting>
  <conditionalFormatting sqref="B57:E57">
    <cfRule type="expression" dxfId="306" priority="14">
      <formula>MOD(ROW(),2)=0</formula>
    </cfRule>
  </conditionalFormatting>
  <conditionalFormatting sqref="B5">
    <cfRule type="expression" dxfId="305" priority="13">
      <formula>MOD(ROW(),2)=0</formula>
    </cfRule>
  </conditionalFormatting>
  <conditionalFormatting sqref="C10">
    <cfRule type="expression" dxfId="304" priority="12">
      <formula>MOD(ROW(),2)=0</formula>
    </cfRule>
  </conditionalFormatting>
  <conditionalFormatting sqref="G10:J10 M10:N10">
    <cfRule type="expression" dxfId="303" priority="11">
      <formula>MOD(ROW(),2)=0</formula>
    </cfRule>
  </conditionalFormatting>
  <conditionalFormatting sqref="N10">
    <cfRule type="expression" dxfId="302" priority="10">
      <formula>MOD(ROW(),2)=0</formula>
    </cfRule>
  </conditionalFormatting>
  <conditionalFormatting sqref="M10:N10">
    <cfRule type="expression" dxfId="301" priority="9">
      <formula>MOD(ROW(),2)=0</formula>
    </cfRule>
  </conditionalFormatting>
  <conditionalFormatting sqref="B43">
    <cfRule type="expression" dxfId="300" priority="8">
      <formula>MOD(ROW(),2)=0</formula>
    </cfRule>
  </conditionalFormatting>
  <conditionalFormatting sqref="C43">
    <cfRule type="expression" dxfId="299" priority="7">
      <formula>MOD(ROW(),2)=0</formula>
    </cfRule>
  </conditionalFormatting>
  <conditionalFormatting sqref="D43:E43">
    <cfRule type="expression" dxfId="298" priority="6">
      <formula>MOD(ROW(),2)=0</formula>
    </cfRule>
  </conditionalFormatting>
  <conditionalFormatting sqref="G43:J43 M43:N43">
    <cfRule type="expression" dxfId="297" priority="5">
      <formula>MOD(ROW(),2)=0</formula>
    </cfRule>
  </conditionalFormatting>
  <conditionalFormatting sqref="B21">
    <cfRule type="expression" dxfId="296" priority="4">
      <formula>MOD(ROW(),2)=0</formula>
    </cfRule>
  </conditionalFormatting>
  <conditionalFormatting sqref="A21:A22">
    <cfRule type="expression" dxfId="295" priority="3">
      <formula>MOD(ROW(),2)=0</formula>
    </cfRule>
  </conditionalFormatting>
  <conditionalFormatting sqref="G57:J57 M57:N57">
    <cfRule type="expression" dxfId="294" priority="2">
      <formula>MOD(ROW(),2)=0</formula>
    </cfRule>
  </conditionalFormatting>
  <conditionalFormatting sqref="I69:L70">
    <cfRule type="expression" dxfId="293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2" priority="13">
      <formula>MOD(ROW(),2)=0</formula>
    </cfRule>
  </conditionalFormatting>
  <conditionalFormatting sqref="AE40">
    <cfRule type="expression" dxfId="291" priority="12">
      <formula>MOD(ROW(),2)=0</formula>
    </cfRule>
  </conditionalFormatting>
  <conditionalFormatting sqref="AE42">
    <cfRule type="expression" dxfId="290" priority="11">
      <formula>MOD(ROW(),2)=0</formula>
    </cfRule>
  </conditionalFormatting>
  <conditionalFormatting sqref="B48:B49">
    <cfRule type="expression" dxfId="289" priority="5">
      <formula>MOD(ROW(),2)=0</formula>
    </cfRule>
  </conditionalFormatting>
  <conditionalFormatting sqref="AD5:AE5">
    <cfRule type="expression" dxfId="288" priority="4">
      <formula>MOD(ROW(),2)=0</formula>
    </cfRule>
  </conditionalFormatting>
  <conditionalFormatting sqref="AD41">
    <cfRule type="expression" dxfId="287" priority="3">
      <formula>MOD(ROW(),2)=0</formula>
    </cfRule>
  </conditionalFormatting>
  <conditionalFormatting sqref="AE41">
    <cfRule type="expression" dxfId="286" priority="2">
      <formula>MOD(ROW(),2)=0</formula>
    </cfRule>
  </conditionalFormatting>
  <conditionalFormatting sqref="AD20:AE20">
    <cfRule type="expression" dxfId="285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4" priority="28">
      <formula>MOD(ROW(),2)=0</formula>
    </cfRule>
  </conditionalFormatting>
  <conditionalFormatting sqref="AC47">
    <cfRule type="expression" dxfId="283" priority="27">
      <formula>MOD(ROW(),2)=0</formula>
    </cfRule>
  </conditionalFormatting>
  <conditionalFormatting sqref="AC49">
    <cfRule type="expression" dxfId="282" priority="26">
      <formula>MOD(ROW(),2)=0</formula>
    </cfRule>
  </conditionalFormatting>
  <conditionalFormatting sqref="A30:C30 F30">
    <cfRule type="expression" dxfId="281" priority="25">
      <formula>MOD(ROW(),2)=0</formula>
    </cfRule>
  </conditionalFormatting>
  <conditionalFormatting sqref="A14:F14 A15:C15 E15:F15">
    <cfRule type="expression" dxfId="280" priority="23">
      <formula>MOD(ROW(),2)=0</formula>
    </cfRule>
  </conditionalFormatting>
  <conditionalFormatting sqref="D30:E30">
    <cfRule type="expression" dxfId="279" priority="22">
      <formula>MOD(ROW(),2)=0</formula>
    </cfRule>
  </conditionalFormatting>
  <conditionalFormatting sqref="A58:F58">
    <cfRule type="expression" dxfId="278" priority="20">
      <formula>MOD(ROW(),2)=0</formula>
    </cfRule>
  </conditionalFormatting>
  <conditionalFormatting sqref="B55:B56">
    <cfRule type="expression" dxfId="277" priority="19">
      <formula>MOD(ROW(),2)=0</formula>
    </cfRule>
  </conditionalFormatting>
  <conditionalFormatting sqref="AB6:AC6">
    <cfRule type="expression" dxfId="276" priority="15">
      <formula>MOD(ROW(),2)=0</formula>
    </cfRule>
  </conditionalFormatting>
  <conditionalFormatting sqref="AB48">
    <cfRule type="expression" dxfId="275" priority="14">
      <formula>MOD(ROW(),2)=0</formula>
    </cfRule>
  </conditionalFormatting>
  <conditionalFormatting sqref="AC48">
    <cfRule type="expression" dxfId="274" priority="13">
      <formula>MOD(ROW(),2)=0</formula>
    </cfRule>
  </conditionalFormatting>
  <conditionalFormatting sqref="D6">
    <cfRule type="expression" dxfId="273" priority="12">
      <formula>MOD(ROW(),2)=0</formula>
    </cfRule>
  </conditionalFormatting>
  <conditionalFormatting sqref="D9">
    <cfRule type="expression" dxfId="272" priority="11">
      <formula>MOD(ROW(),2)=0</formula>
    </cfRule>
  </conditionalFormatting>
  <conditionalFormatting sqref="D15">
    <cfRule type="expression" dxfId="271" priority="10">
      <formula>MOD(ROW(),2)=0</formula>
    </cfRule>
  </conditionalFormatting>
  <conditionalFormatting sqref="D28">
    <cfRule type="expression" dxfId="270" priority="9">
      <formula>MOD(ROW(),2)=0</formula>
    </cfRule>
  </conditionalFormatting>
  <conditionalFormatting sqref="D41">
    <cfRule type="expression" dxfId="269" priority="8">
      <formula>MOD(ROW(),2)=0</formula>
    </cfRule>
  </conditionalFormatting>
  <conditionalFormatting sqref="D46">
    <cfRule type="expression" dxfId="268" priority="7">
      <formula>MOD(ROW(),2)=0</formula>
    </cfRule>
  </conditionalFormatting>
  <conditionalFormatting sqref="D49">
    <cfRule type="expression" dxfId="267" priority="6">
      <formula>MOD(ROW(),2)=0</formula>
    </cfRule>
  </conditionalFormatting>
  <conditionalFormatting sqref="D60:D63">
    <cfRule type="expression" dxfId="266" priority="1">
      <formula>MOD(ROW(),2)=0</formula>
    </cfRule>
  </conditionalFormatting>
  <conditionalFormatting sqref="D50:D51">
    <cfRule type="expression" dxfId="265" priority="5">
      <formula>MOD(ROW(),2)=0</formula>
    </cfRule>
  </conditionalFormatting>
  <conditionalFormatting sqref="D52">
    <cfRule type="expression" dxfId="264" priority="4">
      <formula>MOD(ROW(),2)=0</formula>
    </cfRule>
  </conditionalFormatting>
  <conditionalFormatting sqref="D59">
    <cfRule type="expression" dxfId="263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2" priority="24">
      <formula>MOD(ROW(),2)=0</formula>
    </cfRule>
  </conditionalFormatting>
  <conditionalFormatting sqref="AC47">
    <cfRule type="expression" dxfId="261" priority="23">
      <formula>MOD(ROW(),2)=0</formula>
    </cfRule>
  </conditionalFormatting>
  <conditionalFormatting sqref="AC48">
    <cfRule type="expression" dxfId="260" priority="22">
      <formula>MOD(ROW(),2)=0</formula>
    </cfRule>
  </conditionalFormatting>
  <conditionalFormatting sqref="A29:C29 F29">
    <cfRule type="expression" dxfId="259" priority="21">
      <formula>MOD(ROW(),2)=0</formula>
    </cfRule>
  </conditionalFormatting>
  <conditionalFormatting sqref="AC59">
    <cfRule type="expression" dxfId="258" priority="20">
      <formula>MOD(ROW(),2)=0</formula>
    </cfRule>
  </conditionalFormatting>
  <conditionalFormatting sqref="A13:F13 A14:C14 E14:F14">
    <cfRule type="expression" dxfId="257" priority="19">
      <formula>MOD(ROW(),2)=0</formula>
    </cfRule>
  </conditionalFormatting>
  <conditionalFormatting sqref="D29:E29">
    <cfRule type="expression" dxfId="256" priority="18">
      <formula>MOD(ROW(),2)=0</formula>
    </cfRule>
  </conditionalFormatting>
  <conditionalFormatting sqref="A53:B53 F53">
    <cfRule type="expression" dxfId="255" priority="15">
      <formula>MOD(ROW(),2)=0</formula>
    </cfRule>
  </conditionalFormatting>
  <conditionalFormatting sqref="A57:F57">
    <cfRule type="expression" dxfId="254" priority="14">
      <formula>MOD(ROW(),2)=0</formula>
    </cfRule>
  </conditionalFormatting>
  <conditionalFormatting sqref="B54:B55">
    <cfRule type="expression" dxfId="253" priority="13">
      <formula>MOD(ROW(),2)=0</formula>
    </cfRule>
  </conditionalFormatting>
  <conditionalFormatting sqref="D53:E53 C54:E55">
    <cfRule type="expression" dxfId="252" priority="12">
      <formula>MOD(ROW(),2)=0</formula>
    </cfRule>
  </conditionalFormatting>
  <conditionalFormatting sqref="D58:D61">
    <cfRule type="expression" dxfId="251" priority="1">
      <formula>MOD(ROW(),2)=0</formula>
    </cfRule>
  </conditionalFormatting>
  <conditionalFormatting sqref="D8">
    <cfRule type="expression" dxfId="250" priority="10">
      <formula>MOD(ROW(),2)=0</formula>
    </cfRule>
  </conditionalFormatting>
  <conditionalFormatting sqref="D14">
    <cfRule type="expression" dxfId="249" priority="9">
      <formula>MOD(ROW(),2)=0</formula>
    </cfRule>
  </conditionalFormatting>
  <conditionalFormatting sqref="D27">
    <cfRule type="expression" dxfId="248" priority="8">
      <formula>MOD(ROW(),2)=0</formula>
    </cfRule>
  </conditionalFormatting>
  <conditionalFormatting sqref="D41">
    <cfRule type="expression" dxfId="247" priority="7">
      <formula>MOD(ROW(),2)=0</formula>
    </cfRule>
  </conditionalFormatting>
  <conditionalFormatting sqref="D47:D48">
    <cfRule type="expression" dxfId="246" priority="6">
      <formula>MOD(ROW(),2)=0</formula>
    </cfRule>
  </conditionalFormatting>
  <conditionalFormatting sqref="D46">
    <cfRule type="expression" dxfId="245" priority="5">
      <formula>MOD(ROW(),2)=0</formula>
    </cfRule>
  </conditionalFormatting>
  <conditionalFormatting sqref="D49">
    <cfRule type="expression" dxfId="244" priority="4">
      <formula>MOD(ROW(),2)=0</formula>
    </cfRule>
  </conditionalFormatting>
  <conditionalFormatting sqref="D50">
    <cfRule type="expression" dxfId="243" priority="3">
      <formula>MOD(ROW(),2)=0</formula>
    </cfRule>
  </conditionalFormatting>
  <conditionalFormatting sqref="D51">
    <cfRule type="expression" dxfId="242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46" zoomScaleNormal="100" workbookViewId="0">
      <selection activeCell="P77" sqref="P7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2" customWidth="1" collapsed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customWidth="1" outlineLevel="1"/>
    <col min="21" max="21" width="10.5703125" style="132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-39455</v>
      </c>
      <c r="Q6" s="155">
        <f>IFERROR(VLOOKUP($A$3:$A$139,'FY-(26-27)Q2'!$A$4:$ABW$124,MATCH('FY-(26-27)Q1'!$P$2:$Q$2,'FY-(26-27)Q2'!$A$2:$BX$2,0),0),0)</f>
        <v>-0.78910000000000002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-87791</v>
      </c>
      <c r="Z6" s="168">
        <f t="shared" si="1"/>
        <v>-1.7558199999999999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-285802</v>
      </c>
      <c r="Q7" s="155">
        <f>IFERROR(VLOOKUP($A$3:$A$139,'FY-(26-27)Q2'!$A$4:$ABW$124,MATCH('FY-(26-27)Q1'!$P$2:$Q$2,'FY-(26-27)Q2'!$A$2:$BX$2,0),0),0)</f>
        <v>-0.95267333333333337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1048472</v>
      </c>
      <c r="Z7" s="168">
        <f t="shared" si="1"/>
        <v>3.494906666666667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116185</v>
      </c>
      <c r="Q8" s="155">
        <f>IFERROR(VLOOKUP($A$3:$A$139,'FY-(26-27)Q2'!$A$4:$ABW$124,MATCH('FY-(26-27)Q1'!$P$2:$Q$2,'FY-(26-27)Q2'!$A$2:$BX$2,0),0),0)</f>
        <v>1.16185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-269242</v>
      </c>
      <c r="Z8" s="168">
        <f t="shared" si="1"/>
        <v>-2.6924200000000003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-393340</v>
      </c>
      <c r="Q10" s="155">
        <f>IFERROR(VLOOKUP($A$3:$A$139,'FY-(26-27)Q2'!$A$4:$ABW$124,MATCH('FY-(26-27)Q1'!$P$2:$Q$2,'FY-(26-27)Q2'!$A$2:$BX$2,0),0),0)</f>
        <v>-1.3111333333333333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-752249</v>
      </c>
      <c r="Z10" s="168">
        <f t="shared" si="1"/>
        <v>-3.9518133333333334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-217613</v>
      </c>
      <c r="Q11" s="155">
        <f>IFERROR(VLOOKUP($A$3:$A$139,'FY-(26-27)Q2'!$A$4:$ABW$124,MATCH('FY-(26-27)Q1'!$P$2:$Q$2,'FY-(26-27)Q2'!$A$2:$BX$2,0),0),0)</f>
        <v>-1.4507533333333336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-392575</v>
      </c>
      <c r="Z11" s="168">
        <f t="shared" si="1"/>
        <v>-2.6171666666666669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-181975</v>
      </c>
      <c r="Q12" s="155">
        <f>IFERROR(VLOOKUP($A$3:$A$139,'FY-(26-27)Q2'!$A$4:$ABW$124,MATCH('FY-(26-27)Q1'!$P$2:$Q$2,'FY-(26-27)Q2'!$A$2:$BX$2,0),0),0)</f>
        <v>-3.0329166666666669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-181975</v>
      </c>
      <c r="Z12" s="168">
        <f t="shared" ref="Z12" si="11">(N12+Q12+T12+W12)</f>
        <v>-3.0329166666666669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581225</v>
      </c>
      <c r="Q13" s="155">
        <f>IFERROR(VLOOKUP($A$3:$A$139,'FY-(26-27)Q2'!$A$4:$ABW$124,MATCH('FY-(26-27)Q1'!$P$2:$Q$2,'FY-(26-27)Q2'!$A$2:$BX$2,0),0),0)</f>
        <v>0.38748333333333346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-786974</v>
      </c>
      <c r="Z13" s="168">
        <f t="shared" si="1"/>
        <v>-0.5246493333333333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295645</v>
      </c>
      <c r="Q18" s="155">
        <f>IFERROR(VLOOKUP($A$3:$A$139,'FY-(26-27)Q2'!$A$4:$ABW$124,MATCH('FY-(26-27)Q1'!$P$2:$Q$2,'FY-(26-27)Q2'!$A$2:$BX$2,0),0),0)</f>
        <v>0.49274166666666674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100311</v>
      </c>
      <c r="Z18" s="168">
        <f t="shared" si="1"/>
        <v>-2.924878333333333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10776</v>
      </c>
      <c r="Q19" s="155">
        <f>IFERROR(VLOOKUP($A$3:$A$139,'FY-(26-27)Q2'!$A$4:$ABW$124,MATCH('FY-(26-27)Q1'!$P$2:$Q$2,'FY-(26-27)Q2'!$A$2:$BX$2,0),0),0)</f>
        <v>0.10775999999999999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14455</v>
      </c>
      <c r="Z19" s="168">
        <f t="shared" si="1"/>
        <v>0.14455000000000001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50114</v>
      </c>
      <c r="Q21" s="155">
        <f>IFERROR(VLOOKUP($A$3:$A$139,'FY-(26-27)Q2'!$A$4:$ABW$124,MATCH('FY-(26-27)Q1'!$P$2:$Q$2,'FY-(26-27)Q2'!$A$2:$BX$2,0),0),0)</f>
        <v>0.20045599999999994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-217302</v>
      </c>
      <c r="Z21" s="168">
        <f t="shared" si="1"/>
        <v>-2.4737040000000001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-81711</v>
      </c>
      <c r="Q22" s="155">
        <f>IFERROR(VLOOKUP($A$3:$A$139,'FY-(26-27)Q2'!$A$4:$ABW$124,MATCH('FY-(26-27)Q1'!$P$2:$Q$2,'FY-(26-27)Q2'!$A$2:$BX$2,0),0),0)</f>
        <v>-0.37141363636363633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-170611</v>
      </c>
      <c r="Z22" s="168">
        <f t="shared" si="1"/>
        <v>-1.2604136363636362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72051</v>
      </c>
      <c r="Q24" s="155">
        <f>IFERROR(VLOOKUP($A$3:$A$139,'FY-(26-27)Q2'!$A$4:$ABW$124,MATCH('FY-(26-27)Q1'!$P$2:$Q$2,'FY-(26-27)Q2'!$A$2:$BX$2,0),0),0)</f>
        <v>0.72050999999999998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1787396</v>
      </c>
      <c r="Z24" s="168">
        <f t="shared" si="1"/>
        <v>17.87396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-63917</v>
      </c>
      <c r="Q28" s="155">
        <f>IFERROR(VLOOKUP($A$3:$A$139,'FY-(26-27)Q2'!$A$4:$ABW$124,MATCH('FY-(26-27)Q1'!$P$2:$Q$2,'FY-(26-27)Q2'!$A$2:$BX$2,0),0),0)</f>
        <v>-0.25566800000000001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294296</v>
      </c>
      <c r="Z28" s="168">
        <f t="shared" si="1"/>
        <v>1.177184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267315</v>
      </c>
      <c r="Q29" s="155">
        <f>IFERROR(VLOOKUP($A$3:$A$139,'FY-(26-27)Q2'!$A$4:$ABW$124,MATCH('FY-(26-27)Q1'!$P$2:$Q$2,'FY-(26-27)Q2'!$A$2:$BX$2,0),0),0)</f>
        <v>0.66828749999999992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937778</v>
      </c>
      <c r="Z29" s="168">
        <f t="shared" si="1"/>
        <v>2.3444449999999999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85624</v>
      </c>
      <c r="Q30" s="155">
        <f>IFERROR(VLOOKUP($A$3:$A$139,'FY-(26-27)Q2'!$A$4:$ABW$124,MATCH('FY-(26-27)Q1'!$P$2:$Q$2,'FY-(26-27)Q2'!$A$2:$BX$2,0),0),0)</f>
        <v>0.77839999999999987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85342</v>
      </c>
      <c r="Z30" s="168">
        <f t="shared" si="1"/>
        <v>0.77583636363636355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125533</v>
      </c>
      <c r="Q32" s="155">
        <f>IFERROR(VLOOKUP($A$3:$A$139,'FY-(26-27)Q2'!$A$4:$ABW$124,MATCH('FY-(26-27)Q1'!$P$2:$Q$2,'FY-(26-27)Q2'!$A$2:$BX$2,0),0),0)</f>
        <v>0.83688666666666678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-379536</v>
      </c>
      <c r="Z32" s="168">
        <f t="shared" si="1"/>
        <v>-2.5302400000000009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229149</v>
      </c>
      <c r="Q34" s="155">
        <f>IFERROR(VLOOKUP($A$3:$A$139,'FY-(26-27)Q2'!$A$4:$ABW$124,MATCH('FY-(26-27)Q1'!$P$2:$Q$2,'FY-(26-27)Q2'!$A$2:$BX$2,0),0),0)</f>
        <v>2.0831727272727267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-89791</v>
      </c>
      <c r="Z34" s="168">
        <f t="shared" si="1"/>
        <v>-0.81628181818181833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-158639</v>
      </c>
      <c r="Q36" s="155">
        <f>IFERROR(VLOOKUP($A$3:$A$139,'FY-(26-27)Q2'!$A$4:$ABW$124,MATCH('FY-(26-27)Q1'!$P$2:$Q$2,'FY-(26-27)Q2'!$A$2:$BX$2,0),0),0)</f>
        <v>-0.68973478260869658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4002464</v>
      </c>
      <c r="Z36" s="168">
        <f t="shared" si="1"/>
        <v>17.402017391304348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-16876</v>
      </c>
      <c r="Q37" s="155">
        <f>IFERROR(VLOOKUP($A$3:$A$139,'FY-(26-27)Q2'!$A$4:$ABW$124,MATCH('FY-(26-27)Q1'!$P$2:$Q$2,'FY-(26-27)Q2'!$A$2:$BX$2,0),0),0)</f>
        <v>-0.84379999999999988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-16876</v>
      </c>
      <c r="Z37" s="168">
        <f t="shared" ref="Z37" si="21">(N37+Q37+T37+W37)</f>
        <v>-0.84379999999999988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-225918</v>
      </c>
      <c r="Q38" s="155">
        <f>IFERROR(VLOOKUP($A$3:$A$139,'FY-(26-27)Q2'!$A$4:$ABW$124,MATCH('FY-(26-27)Q1'!$P$2:$Q$2,'FY-(26-27)Q2'!$A$2:$BX$2,0),0),0)</f>
        <v>-0.45183599999999996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2840488</v>
      </c>
      <c r="Z38" s="168">
        <f t="shared" si="1"/>
        <v>5.6809759999999994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3334737</v>
      </c>
      <c r="Q39" s="155">
        <f>IFERROR(VLOOKUP($A$3:$A$139,'FY-(26-27)Q2'!$A$4:$ABW$124,MATCH('FY-(26-27)Q1'!$P$2:$Q$2,'FY-(26-27)Q2'!$A$2:$BX$2,0),0),0)</f>
        <v>3.3347370000000001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6928143</v>
      </c>
      <c r="Z39" s="168">
        <f t="shared" ref="Z39:Z74" si="23">(N39+Q39+T39+W39)</f>
        <v>6.9281430000000004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224852</v>
      </c>
      <c r="Q45" s="155">
        <f>IFERROR(VLOOKUP($A$3:$A$139,'FY-(26-27)Q2'!$A$4:$ABW$124,MATCH('FY-(26-27)Q1'!$P$2:$Q$2,'FY-(26-27)Q2'!$A$2:$BX$2,0),0),0)</f>
        <v>0.44970399999999988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1442170</v>
      </c>
      <c r="Z45" s="168">
        <f t="shared" si="23"/>
        <v>2.8843399999999999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1017683</v>
      </c>
      <c r="Q46" s="155">
        <f>IFERROR(VLOOKUP($A$3:$A$139,'FY-(26-27)Q2'!$A$4:$ABW$124,MATCH('FY-(26-27)Q1'!$P$2:$Q$2,'FY-(26-27)Q2'!$A$2:$BX$2,0),0),0)</f>
        <v>2.0353659999999998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969945</v>
      </c>
      <c r="Z46" s="168">
        <f t="shared" si="23"/>
        <v>1.9398899999999997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-182751</v>
      </c>
      <c r="Q47" s="155">
        <f>IFERROR(VLOOKUP($A$3:$A$139,'FY-(26-27)Q2'!$A$4:$ABW$124,MATCH('FY-(26-27)Q1'!$P$2:$Q$2,'FY-(26-27)Q2'!$A$2:$BX$2,0),0),0)</f>
        <v>-3.6550200000000004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-65856</v>
      </c>
      <c r="Z47" s="168">
        <f t="shared" si="23"/>
        <v>-1.3171200000000005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-66368</v>
      </c>
      <c r="Q49" s="155">
        <f>IFERROR(VLOOKUP($A$3:$A$139,'FY-(26-27)Q2'!$A$4:$ABW$124,MATCH('FY-(26-27)Q1'!$P$2:$Q$2,'FY-(26-27)Q2'!$A$2:$BX$2,0),0),0)</f>
        <v>-1.6591999999999998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-78196</v>
      </c>
      <c r="Z49" s="168">
        <f t="shared" si="23"/>
        <v>-1.9548999999999999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572558</v>
      </c>
      <c r="Q52" s="155">
        <f>IFERROR(VLOOKUP($A$3:$A$139,'FY-(26-27)Q2'!$A$4:$ABW$124,MATCH('FY-(26-27)Q1'!$P$2:$Q$2,'FY-(26-27)Q2'!$A$2:$BX$2,0),0),0)</f>
        <v>1.4313950000000002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172259</v>
      </c>
      <c r="Z52" s="168">
        <f t="shared" si="23"/>
        <v>0.43064750000000007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200085</v>
      </c>
      <c r="Q53" s="155">
        <f>IFERROR(VLOOKUP($A$3:$A$139,'FY-(26-27)Q2'!$A$4:$ABW$124,MATCH('FY-(26-27)Q1'!$P$2:$Q$2,'FY-(26-27)Q2'!$A$2:$BX$2,0),0),0)</f>
        <v>2.0008499999999998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945878</v>
      </c>
      <c r="Z53" s="168">
        <f t="shared" si="23"/>
        <v>9.4587800000000009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-95823</v>
      </c>
      <c r="Q55" s="155">
        <f>IFERROR(VLOOKUP($A$3:$A$139,'FY-(26-27)Q2'!$A$4:$ABW$124,MATCH('FY-(26-27)Q1'!$P$2:$Q$2,'FY-(26-27)Q2'!$A$2:$BX$2,0),0),0)</f>
        <v>-1.9164599999999998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-341601</v>
      </c>
      <c r="Z55" s="168">
        <f t="shared" si="23"/>
        <v>-6.83202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-215225</v>
      </c>
      <c r="Q56" s="155">
        <f>IFERROR(VLOOKUP($A$3:$A$139,'FY-(26-27)Q2'!$A$4:$ABW$124,MATCH('FY-(26-27)Q1'!$P$2:$Q$2,'FY-(26-27)Q2'!$A$2:$BX$2,0),0),0)</f>
        <v>-0.71741666666666659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-4914200</v>
      </c>
      <c r="Z56" s="168">
        <f t="shared" si="23"/>
        <v>-16.38066666666667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34705</v>
      </c>
      <c r="Q59" s="155">
        <f>IFERROR(VLOOKUP($A$3:$A$139,'FY-(26-27)Q2'!$A$4:$ABW$124,MATCH('FY-(26-27)Q1'!$P$2:$Q$2,'FY-(26-27)Q2'!$A$2:$BX$2,0),0),0)</f>
        <v>0.3735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71428</v>
      </c>
      <c r="Z59" s="168">
        <f t="shared" si="23"/>
        <v>0.70233333333333325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817657</v>
      </c>
      <c r="Q60" s="155">
        <f>IFERROR(VLOOKUP($A$3:$A$139,'FY-(26-27)Q2'!$A$4:$ABW$124,MATCH('FY-(26-27)Q1'!$P$2:$Q$2,'FY-(26-27)Q2'!$A$2:$BX$2,0),0),0)</f>
        <v>8.1765699999999999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4367726</v>
      </c>
      <c r="Z60" s="168">
        <f t="shared" si="23"/>
        <v>43.677259999999997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3908</v>
      </c>
      <c r="Q61" s="155">
        <f>IFERROR(VLOOKUP($A$3:$A$139,'FY-(26-27)Q2'!$A$4:$ABW$124,MATCH('FY-(26-27)Q1'!$P$2:$Q$2,'FY-(26-27)Q2'!$A$2:$BX$2,0),0),0)</f>
        <v>0.39079999999999993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3908</v>
      </c>
      <c r="Z61" s="168">
        <f t="shared" ref="Z61" si="38">(N61+Q61+T61+W61)</f>
        <v>0.39079999999999993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7291</v>
      </c>
      <c r="Q62" s="155">
        <f>IFERROR(VLOOKUP($A$3:$A$139,'FY-(26-27)Q2'!$A$4:$ABW$124,MATCH('FY-(26-27)Q1'!$P$2:$Q$2,'FY-(26-27)Q2'!$A$2:$BX$2,0),0),0)</f>
        <v>2.4303333333333357E-2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680140</v>
      </c>
      <c r="Z62" s="168">
        <f t="shared" si="23"/>
        <v>2.2671333333333332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319077</v>
      </c>
      <c r="Q63" s="155">
        <f>IFERROR(VLOOKUP($A$3:$A$139,'FY-(26-27)Q2'!$A$4:$ABW$124,MATCH('FY-(26-27)Q1'!$P$2:$Q$2,'FY-(26-27)Q2'!$A$2:$BX$2,0),0),0)</f>
        <v>0.79769249999999992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994077</v>
      </c>
      <c r="Z63" s="168">
        <f t="shared" si="23"/>
        <v>2.4851925000000001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382014</v>
      </c>
      <c r="Q65" s="155">
        <f>IFERROR(VLOOKUP($A$3:$A$139,'FY-(26-27)Q2'!$A$4:$ABW$124,MATCH('FY-(26-27)Q1'!$P$2:$Q$2,'FY-(26-27)Q2'!$A$2:$BX$2,0),0),0)</f>
        <v>0.95503499999999986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906426</v>
      </c>
      <c r="Z65" s="168">
        <f t="shared" si="23"/>
        <v>2.2660650000000002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-1319980</v>
      </c>
      <c r="Q67" s="155">
        <f>IFERROR(VLOOKUP($A$3:$A$139,'FY-(26-27)Q2'!$A$4:$ABW$124,MATCH('FY-(26-27)Q1'!$P$2:$Q$2,'FY-(26-27)Q2'!$A$2:$BX$2,0),0),0)</f>
        <v>-1.3200799999999999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-1319980</v>
      </c>
      <c r="Z67" s="168">
        <f t="shared" ref="Z67" si="44">(N67+Q67+T67+W67)</f>
        <v>-1.3200799999999999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-29757</v>
      </c>
      <c r="Q69" s="155">
        <f>IFERROR(VLOOKUP($A$3:$A$139,'FY-(26-27)Q2'!$A$4:$ABW$124,MATCH('FY-(26-27)Q1'!$P$2:$Q$2,'FY-(26-27)Q2'!$A$2:$BX$2,0),0),0)</f>
        <v>-0.59514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-76411</v>
      </c>
      <c r="Z69" s="168">
        <f t="shared" si="23"/>
        <v>-1.5282200000000001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791671</v>
      </c>
      <c r="Q70" s="155">
        <f>IFERROR(VLOOKUP($A$3:$A$139,'FY-(26-27)Q2'!$A$4:$ABW$124,MATCH('FY-(26-27)Q1'!$P$2:$Q$2,'FY-(26-27)Q2'!$A$2:$BX$2,0),0),0)</f>
        <v>2.0613448076923078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383719</v>
      </c>
      <c r="Z70" s="168">
        <f t="shared" si="23"/>
        <v>1.0414648076923076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25522</v>
      </c>
      <c r="Q71" s="155">
        <f>IFERROR(VLOOKUP($A$3:$A$139,'FY-(26-27)Q2'!$A$4:$ABW$124,MATCH('FY-(26-27)Q1'!$P$2:$Q$2,'FY-(26-27)Q2'!$A$2:$BX$2,0),0),0)</f>
        <v>0.20417600000000014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2240</v>
      </c>
      <c r="Z71" s="168">
        <f t="shared" si="23"/>
        <v>-2.8643999999999892E-2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597432</v>
      </c>
      <c r="Q73" s="155">
        <f>IFERROR(VLOOKUP($A$3:$A$139,'FY-(26-27)Q2'!$A$4:$ABW$124,MATCH('FY-(26-27)Q1'!$P$2:$Q$2,'FY-(26-27)Q2'!$A$2:$BX$2,0),0),0)</f>
        <v>1.9914400000000003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430050</v>
      </c>
      <c r="Z73" s="168">
        <f t="shared" si="23"/>
        <v>1.4335000000000004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88300</v>
      </c>
      <c r="Q75" s="155">
        <f>IFERROR(VLOOKUP($A$3:$A$139,'FY-(26-27)Q2'!$A$4:$ABW$124,MATCH('FY-(26-27)Q1'!$P$2:$Q$2,'FY-(26-27)Q2'!$A$2:$BX$2,0),0),0)</f>
        <v>0.50513333333333332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88300</v>
      </c>
      <c r="Z75" s="168">
        <f t="shared" ref="Z75:Z76" si="54">(N75+Q75+T75+W75)</f>
        <v>0.50513333333333332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537651</v>
      </c>
      <c r="Q76" s="155">
        <f>IFERROR(VLOOKUP($A$3:$A$139,'FY-(26-27)Q2'!$A$4:$ABW$124,MATCH('FY-(26-27)Q1'!$P$2:$Q$2,'FY-(26-27)Q2'!$A$2:$BX$2,0),0),0)</f>
        <v>1.075302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537651</v>
      </c>
      <c r="Z76" s="168">
        <f t="shared" si="54"/>
        <v>1.075302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9140856</v>
      </c>
      <c r="Q77" s="122"/>
      <c r="R77" s="122"/>
      <c r="S77" s="122"/>
      <c r="T77" s="122"/>
      <c r="U77" s="122"/>
      <c r="V77" s="56"/>
      <c r="W77" s="50"/>
      <c r="Y77" s="154">
        <f>SUM(Y4:Y76)</f>
        <v>29124342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298950</v>
      </c>
      <c r="Q82" s="155">
        <f>IFERROR(VLOOKUP($A$3:$A$139,'FY-(26-27)Q2'!$A$4:$ABW$124,MATCH('FY-(26-27)Q1'!$P$2:$Q$2,'FY-(26-27)Q2'!$A$2:$BX$2,0),0),0)</f>
        <v>0.99650000000000039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510450</v>
      </c>
      <c r="Z82" s="53">
        <f t="shared" si="56"/>
        <v>0.99650000000000039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922885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512885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1221835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84:W84 K69:O74 G69:J69 W66:W68 R62:U71 G67:O68 Y67:Z74 A9 F9 I13:O18 Y13:Z18 Y55:Z55 R55:U60 K55:O60 G55:J55 W55:W56 Y20:Z32 G20:O32 A31:A32 P13:Q36 A7:F8 G77:W78">
    <cfRule type="expression" dxfId="241" priority="448">
      <formula>MOD(ROW(),2)=0</formula>
    </cfRule>
  </conditionalFormatting>
  <conditionalFormatting sqref="V38:V39 V23:V24 V59 V48:V49 V56 V45:V46 V27:V29 G2:I3 V52 G4:H4">
    <cfRule type="expression" dxfId="240" priority="447">
      <formula>MOD(ROW(),2)=0</formula>
    </cfRule>
  </conditionalFormatting>
  <conditionalFormatting sqref="J2:J3">
    <cfRule type="expression" dxfId="239" priority="444">
      <formula>MOD(ROW(),2)=0</formula>
    </cfRule>
  </conditionalFormatting>
  <conditionalFormatting sqref="V80:W81">
    <cfRule type="expression" dxfId="238" priority="441">
      <formula>MOD(ROW(),2)=0</formula>
    </cfRule>
  </conditionalFormatting>
  <conditionalFormatting sqref="K2:K3">
    <cfRule type="expression" dxfId="237" priority="442">
      <formula>MOD(ROW(),2)=0</formula>
    </cfRule>
  </conditionalFormatting>
  <conditionalFormatting sqref="V60">
    <cfRule type="expression" dxfId="236" priority="432">
      <formula>MOD(ROW(),2)=0</formula>
    </cfRule>
  </conditionalFormatting>
  <conditionalFormatting sqref="V22">
    <cfRule type="expression" dxfId="235" priority="433">
      <formula>MOD(ROW(),2)=0</formula>
    </cfRule>
  </conditionalFormatting>
  <conditionalFormatting sqref="A53:C53 E53">
    <cfRule type="expression" dxfId="234" priority="422">
      <formula>MOD(ROW(),2)=0</formula>
    </cfRule>
  </conditionalFormatting>
  <conditionalFormatting sqref="V53 V55">
    <cfRule type="expression" dxfId="233" priority="420">
      <formula>MOD(ROW(),2)=0</formula>
    </cfRule>
  </conditionalFormatting>
  <conditionalFormatting sqref="E56">
    <cfRule type="expression" dxfId="232" priority="418">
      <formula>MOD(ROW(),2)=0</formula>
    </cfRule>
  </conditionalFormatting>
  <conditionalFormatting sqref="V42">
    <cfRule type="expression" dxfId="231" priority="409">
      <formula>MOD(ROW(),2)=0</formula>
    </cfRule>
  </conditionalFormatting>
  <conditionalFormatting sqref="A30:F30">
    <cfRule type="expression" dxfId="230" priority="408">
      <formula>MOD(ROW(),2)=0</formula>
    </cfRule>
  </conditionalFormatting>
  <conditionalFormatting sqref="B72:C72">
    <cfRule type="expression" dxfId="229" priority="380">
      <formula>MOD(ROW(),2)=0</formula>
    </cfRule>
  </conditionalFormatting>
  <conditionalFormatting sqref="V30">
    <cfRule type="expression" dxfId="228" priority="406">
      <formula>MOD(ROW(),2)=0</formula>
    </cfRule>
  </conditionalFormatting>
  <conditionalFormatting sqref="A26:E26">
    <cfRule type="expression" dxfId="227" priority="405">
      <formula>MOD(ROW(),2)=0</formula>
    </cfRule>
  </conditionalFormatting>
  <conditionalFormatting sqref="V26">
    <cfRule type="expression" dxfId="226" priority="403">
      <formula>MOD(ROW(),2)=0</formula>
    </cfRule>
  </conditionalFormatting>
  <conditionalFormatting sqref="A25:E25">
    <cfRule type="expression" dxfId="225" priority="402">
      <formula>MOD(ROW(),2)=0</formula>
    </cfRule>
  </conditionalFormatting>
  <conditionalFormatting sqref="V25">
    <cfRule type="expression" dxfId="224" priority="400">
      <formula>MOD(ROW(),2)=0</formula>
    </cfRule>
  </conditionalFormatting>
  <conditionalFormatting sqref="A58:C58 E58:F58">
    <cfRule type="expression" dxfId="223" priority="387">
      <formula>MOD(ROW(),2)=0</formula>
    </cfRule>
  </conditionalFormatting>
  <conditionalFormatting sqref="T4:U4 T20:U21">
    <cfRule type="expression" dxfId="222" priority="331">
      <formula>MOD(ROW(),2)=0</formula>
    </cfRule>
  </conditionalFormatting>
  <conditionalFormatting sqref="A72">
    <cfRule type="expression" dxfId="221" priority="378">
      <formula>MOD(ROW(),2)=0</formula>
    </cfRule>
  </conditionalFormatting>
  <conditionalFormatting sqref="S4:U4 S20:U21">
    <cfRule type="expression" dxfId="220" priority="330">
      <formula>MOD(ROW(),2)=0</formula>
    </cfRule>
  </conditionalFormatting>
  <conditionalFormatting sqref="V58">
    <cfRule type="expression" dxfId="219" priority="383">
      <formula>MOD(ROW(),2)=0</formula>
    </cfRule>
  </conditionalFormatting>
  <conditionalFormatting sqref="F25">
    <cfRule type="expression" dxfId="218" priority="349">
      <formula>MOD(ROW(),2)=0</formula>
    </cfRule>
  </conditionalFormatting>
  <conditionalFormatting sqref="M20:O21 M34:O34">
    <cfRule type="expression" dxfId="217" priority="347">
      <formula>MOD(ROW(),2)=0</formula>
    </cfRule>
  </conditionalFormatting>
  <conditionalFormatting sqref="A17:F17 A18:C18 E18:F18">
    <cfRule type="expression" dxfId="216" priority="355">
      <formula>MOD(ROW(),2)=0</formula>
    </cfRule>
  </conditionalFormatting>
  <conditionalFormatting sqref="V17:W17">
    <cfRule type="expression" dxfId="215" priority="354">
      <formula>MOD(ROW(),2)=0</formula>
    </cfRule>
  </conditionalFormatting>
  <conditionalFormatting sqref="R4 R20:R21">
    <cfRule type="expression" dxfId="214" priority="339">
      <formula>MOD(ROW(),2)=0</formula>
    </cfRule>
  </conditionalFormatting>
  <conditionalFormatting sqref="R4 R20:R21">
    <cfRule type="expression" dxfId="213" priority="338">
      <formula>MOD(ROW(),2)=0</formula>
    </cfRule>
  </conditionalFormatting>
  <conditionalFormatting sqref="V66:V68">
    <cfRule type="expression" dxfId="212" priority="369">
      <formula>MOD(ROW(),2)=0</formula>
    </cfRule>
  </conditionalFormatting>
  <conditionalFormatting sqref="W62">
    <cfRule type="expression" dxfId="211" priority="329">
      <formula>MOD(ROW(),2)=0</formula>
    </cfRule>
  </conditionalFormatting>
  <conditionalFormatting sqref="M35:O35">
    <cfRule type="expression" dxfId="210" priority="340">
      <formula>MOD(ROW(),2)=0</formula>
    </cfRule>
  </conditionalFormatting>
  <conditionalFormatting sqref="F26">
    <cfRule type="expression" dxfId="209" priority="350">
      <formula>MOD(ROW(),2)=0</formula>
    </cfRule>
  </conditionalFormatting>
  <conditionalFormatting sqref="N20:O21 N34:O34">
    <cfRule type="expression" dxfId="208" priority="348">
      <formula>MOD(ROW(),2)=0</formula>
    </cfRule>
  </conditionalFormatting>
  <conditionalFormatting sqref="N35:O35">
    <cfRule type="expression" dxfId="207" priority="341">
      <formula>MOD(ROW(),2)=0</formula>
    </cfRule>
  </conditionalFormatting>
  <conditionalFormatting sqref="V62">
    <cfRule type="expression" dxfId="206" priority="328">
      <formula>MOD(ROW(),2)=0</formula>
    </cfRule>
  </conditionalFormatting>
  <conditionalFormatting sqref="M18:O18">
    <cfRule type="expression" dxfId="205" priority="286">
      <formula>MOD(ROW(),2)=0</formula>
    </cfRule>
  </conditionalFormatting>
  <conditionalFormatting sqref="R18">
    <cfRule type="expression" dxfId="204" priority="285">
      <formula>MOD(ROW(),2)=0</formula>
    </cfRule>
  </conditionalFormatting>
  <conditionalFormatting sqref="T18:U18">
    <cfRule type="expression" dxfId="203" priority="283">
      <formula>MOD(ROW(),2)=0</formula>
    </cfRule>
  </conditionalFormatting>
  <conditionalFormatting sqref="B31:F31 B32:C32 E32:F32">
    <cfRule type="expression" dxfId="202" priority="275">
      <formula>MOD(ROW(),2)=0</formula>
    </cfRule>
  </conditionalFormatting>
  <conditionalFormatting sqref="W31">
    <cfRule type="expression" dxfId="201" priority="274">
      <formula>MOD(ROW(),2)=0</formula>
    </cfRule>
  </conditionalFormatting>
  <conditionalFormatting sqref="V18:W18">
    <cfRule type="expression" dxfId="200" priority="288">
      <formula>MOD(ROW(),2)=0</formula>
    </cfRule>
  </conditionalFormatting>
  <conditionalFormatting sqref="N18:O18">
    <cfRule type="expression" dxfId="199" priority="287">
      <formula>MOD(ROW(),2)=0</formula>
    </cfRule>
  </conditionalFormatting>
  <conditionalFormatting sqref="R18">
    <cfRule type="expression" dxfId="198" priority="284">
      <formula>MOD(ROW(),2)=0</formula>
    </cfRule>
  </conditionalFormatting>
  <conditionalFormatting sqref="S18:U18">
    <cfRule type="expression" dxfId="197" priority="282">
      <formula>MOD(ROW(),2)=0</formula>
    </cfRule>
  </conditionalFormatting>
  <conditionalFormatting sqref="V31">
    <cfRule type="expression" dxfId="196" priority="273">
      <formula>MOD(ROW(),2)=0</formula>
    </cfRule>
  </conditionalFormatting>
  <conditionalFormatting sqref="S31:U31">
    <cfRule type="expression" dxfId="195" priority="267">
      <formula>MOD(ROW(),2)=0</formula>
    </cfRule>
  </conditionalFormatting>
  <conditionalFormatting sqref="N31:O31">
    <cfRule type="expression" dxfId="194" priority="272">
      <formula>MOD(ROW(),2)=0</formula>
    </cfRule>
  </conditionalFormatting>
  <conditionalFormatting sqref="M31:O31">
    <cfRule type="expression" dxfId="193" priority="271">
      <formula>MOD(ROW(),2)=0</formula>
    </cfRule>
  </conditionalFormatting>
  <conditionalFormatting sqref="T31:U31">
    <cfRule type="expression" dxfId="192" priority="268">
      <formula>MOD(ROW(),2)=0</formula>
    </cfRule>
  </conditionalFormatting>
  <conditionalFormatting sqref="R31">
    <cfRule type="expression" dxfId="191" priority="270">
      <formula>MOD(ROW(),2)=0</formula>
    </cfRule>
  </conditionalFormatting>
  <conditionalFormatting sqref="R31">
    <cfRule type="expression" dxfId="190" priority="269">
      <formula>MOD(ROW(),2)=0</formula>
    </cfRule>
  </conditionalFormatting>
  <conditionalFormatting sqref="A11:F11 A10:C10 E10:F10 F12">
    <cfRule type="expression" dxfId="189" priority="260">
      <formula>MOD(ROW(),2)=0</formula>
    </cfRule>
  </conditionalFormatting>
  <conditionalFormatting sqref="V10:W11">
    <cfRule type="expression" dxfId="188" priority="259">
      <formula>MOD(ROW(),2)=0</formula>
    </cfRule>
  </conditionalFormatting>
  <conditionalFormatting sqref="R10:R11">
    <cfRule type="expression" dxfId="187" priority="256">
      <formula>MOD(ROW(),2)=0</formula>
    </cfRule>
  </conditionalFormatting>
  <conditionalFormatting sqref="R10:R11">
    <cfRule type="expression" dxfId="186" priority="255">
      <formula>MOD(ROW(),2)=0</formula>
    </cfRule>
  </conditionalFormatting>
  <conditionalFormatting sqref="S10:U11">
    <cfRule type="expression" dxfId="185" priority="253">
      <formula>MOD(ROW(),2)=0</formula>
    </cfRule>
  </conditionalFormatting>
  <conditionalFormatting sqref="N10:O11">
    <cfRule type="expression" dxfId="184" priority="258">
      <formula>MOD(ROW(),2)=0</formula>
    </cfRule>
  </conditionalFormatting>
  <conditionalFormatting sqref="M10:O11">
    <cfRule type="expression" dxfId="183" priority="257">
      <formula>MOD(ROW(),2)=0</formula>
    </cfRule>
  </conditionalFormatting>
  <conditionalFormatting sqref="T10:U11">
    <cfRule type="expression" dxfId="182" priority="254">
      <formula>MOD(ROW(),2)=0</formula>
    </cfRule>
  </conditionalFormatting>
  <conditionalFormatting sqref="A47:C47 E47:F47">
    <cfRule type="expression" dxfId="181" priority="246">
      <formula>MOD(ROW(),2)=0</formula>
    </cfRule>
  </conditionalFormatting>
  <conditionalFormatting sqref="W47">
    <cfRule type="expression" dxfId="180" priority="245">
      <formula>MOD(ROW(),2)=0</formula>
    </cfRule>
  </conditionalFormatting>
  <conditionalFormatting sqref="V47">
    <cfRule type="expression" dxfId="179" priority="244">
      <formula>MOD(ROW(),2)=0</formula>
    </cfRule>
  </conditionalFormatting>
  <conditionalFormatting sqref="T47:U47">
    <cfRule type="expression" dxfId="178" priority="239">
      <formula>MOD(ROW(),2)=0</formula>
    </cfRule>
  </conditionalFormatting>
  <conditionalFormatting sqref="S47:U47">
    <cfRule type="expression" dxfId="177" priority="238">
      <formula>MOD(ROW(),2)=0</formula>
    </cfRule>
  </conditionalFormatting>
  <conditionalFormatting sqref="M47:O47">
    <cfRule type="expression" dxfId="176" priority="242">
      <formula>MOD(ROW(),2)=0</formula>
    </cfRule>
  </conditionalFormatting>
  <conditionalFormatting sqref="R47">
    <cfRule type="expression" dxfId="175" priority="241">
      <formula>MOD(ROW(),2)=0</formula>
    </cfRule>
  </conditionalFormatting>
  <conditionalFormatting sqref="R47">
    <cfRule type="expression" dxfId="174" priority="240">
      <formula>MOD(ROW(),2)=0</formula>
    </cfRule>
  </conditionalFormatting>
  <conditionalFormatting sqref="N47:O47">
    <cfRule type="expression" dxfId="173" priority="243">
      <formula>MOD(ROW(),2)=0</formula>
    </cfRule>
  </conditionalFormatting>
  <conditionalFormatting sqref="A59:C59 E59:F59">
    <cfRule type="expression" dxfId="172" priority="231">
      <formula>MOD(ROW(),2)=0</formula>
    </cfRule>
  </conditionalFormatting>
  <conditionalFormatting sqref="A5:C5">
    <cfRule type="expression" dxfId="171" priority="227">
      <formula>MOD(ROW(),2)=0</formula>
    </cfRule>
  </conditionalFormatting>
  <conditionalFormatting sqref="V5:W5">
    <cfRule type="expression" dxfId="170" priority="226">
      <formula>MOD(ROW(),2)=0</formula>
    </cfRule>
  </conditionalFormatting>
  <conditionalFormatting sqref="T5:U5">
    <cfRule type="expression" dxfId="169" priority="220">
      <formula>MOD(ROW(),2)=0</formula>
    </cfRule>
  </conditionalFormatting>
  <conditionalFormatting sqref="S5:U5">
    <cfRule type="expression" dxfId="168" priority="219">
      <formula>MOD(ROW(),2)=0</formula>
    </cfRule>
  </conditionalFormatting>
  <conditionalFormatting sqref="M5:O5">
    <cfRule type="expression" dxfId="167" priority="223">
      <formula>MOD(ROW(),2)=0</formula>
    </cfRule>
  </conditionalFormatting>
  <conditionalFormatting sqref="R5">
    <cfRule type="expression" dxfId="166" priority="222">
      <formula>MOD(ROW(),2)=0</formula>
    </cfRule>
  </conditionalFormatting>
  <conditionalFormatting sqref="R5">
    <cfRule type="expression" dxfId="165" priority="221">
      <formula>MOD(ROW(),2)=0</formula>
    </cfRule>
  </conditionalFormatting>
  <conditionalFormatting sqref="N5:O5">
    <cfRule type="expression" dxfId="164" priority="224">
      <formula>MOD(ROW(),2)=0</formula>
    </cfRule>
  </conditionalFormatting>
  <conditionalFormatting sqref="A50:F51">
    <cfRule type="expression" dxfId="163" priority="208">
      <formula>MOD(ROW(),2)=0</formula>
    </cfRule>
  </conditionalFormatting>
  <conditionalFormatting sqref="W50:W51">
    <cfRule type="expression" dxfId="162" priority="207">
      <formula>MOD(ROW(),2)=0</formula>
    </cfRule>
  </conditionalFormatting>
  <conditionalFormatting sqref="V50:V51">
    <cfRule type="expression" dxfId="161" priority="206">
      <formula>MOD(ROW(),2)=0</formula>
    </cfRule>
  </conditionalFormatting>
  <conditionalFormatting sqref="W32">
    <cfRule type="expression" dxfId="160" priority="200">
      <formula>MOD(ROW(),2)=0</formula>
    </cfRule>
  </conditionalFormatting>
  <conditionalFormatting sqref="V32">
    <cfRule type="expression" dxfId="159" priority="199">
      <formula>MOD(ROW(),2)=0</formula>
    </cfRule>
  </conditionalFormatting>
  <conditionalFormatting sqref="S32:U32">
    <cfRule type="expression" dxfId="158" priority="193">
      <formula>MOD(ROW(),2)=0</formula>
    </cfRule>
  </conditionalFormatting>
  <conditionalFormatting sqref="N32:O32">
    <cfRule type="expression" dxfId="157" priority="198">
      <formula>MOD(ROW(),2)=0</formula>
    </cfRule>
  </conditionalFormatting>
  <conditionalFormatting sqref="M32:O32">
    <cfRule type="expression" dxfId="156" priority="197">
      <formula>MOD(ROW(),2)=0</formula>
    </cfRule>
  </conditionalFormatting>
  <conditionalFormatting sqref="T32:U32">
    <cfRule type="expression" dxfId="155" priority="194">
      <formula>MOD(ROW(),2)=0</formula>
    </cfRule>
  </conditionalFormatting>
  <conditionalFormatting sqref="R32">
    <cfRule type="expression" dxfId="154" priority="196">
      <formula>MOD(ROW(),2)=0</formula>
    </cfRule>
  </conditionalFormatting>
  <conditionalFormatting sqref="R32">
    <cfRule type="expression" dxfId="153" priority="195">
      <formula>MOD(ROW(),2)=0</formula>
    </cfRule>
  </conditionalFormatting>
  <conditionalFormatting sqref="W63">
    <cfRule type="expression" dxfId="152" priority="191">
      <formula>MOD(ROW(),2)=0</formula>
    </cfRule>
  </conditionalFormatting>
  <conditionalFormatting sqref="V63">
    <cfRule type="expression" dxfId="151" priority="190">
      <formula>MOD(ROW(),2)=0</formula>
    </cfRule>
  </conditionalFormatting>
  <conditionalFormatting sqref="A14:F14">
    <cfRule type="expression" dxfId="150" priority="177">
      <formula>MOD(ROW(),2)=0</formula>
    </cfRule>
  </conditionalFormatting>
  <conditionalFormatting sqref="W41">
    <cfRule type="expression" dxfId="149" priority="186">
      <formula>MOD(ROW(),2)=0</formula>
    </cfRule>
  </conditionalFormatting>
  <conditionalFormatting sqref="V41">
    <cfRule type="expression" dxfId="148" priority="185">
      <formula>MOD(ROW(),2)=0</formula>
    </cfRule>
  </conditionalFormatting>
  <conditionalFormatting sqref="A69:C69 E69:F69">
    <cfRule type="expression" dxfId="147" priority="175">
      <formula>MOD(ROW(),2)=0</formula>
    </cfRule>
  </conditionalFormatting>
  <conditionalFormatting sqref="W69">
    <cfRule type="expression" dxfId="146" priority="174">
      <formula>MOD(ROW(),2)=0</formula>
    </cfRule>
  </conditionalFormatting>
  <conditionalFormatting sqref="V69">
    <cfRule type="expression" dxfId="145" priority="173">
      <formula>MOD(ROW(),2)=0</formula>
    </cfRule>
  </conditionalFormatting>
  <conditionalFormatting sqref="G80:G81">
    <cfRule type="expression" dxfId="144" priority="168">
      <formula>MOD(ROW(),2)=0</formula>
    </cfRule>
  </conditionalFormatting>
  <conditionalFormatting sqref="H80">
    <cfRule type="expression" dxfId="143" priority="165">
      <formula>MOD(ROW(),2)=0</formula>
    </cfRule>
  </conditionalFormatting>
  <conditionalFormatting sqref="H81">
    <cfRule type="expression" dxfId="142" priority="164">
      <formula>MOD(ROW(),2)=0</formula>
    </cfRule>
  </conditionalFormatting>
  <conditionalFormatting sqref="L79">
    <cfRule type="expression" dxfId="141" priority="163">
      <formula>MOD(ROW(),2)=0</formula>
    </cfRule>
  </conditionalFormatting>
  <conditionalFormatting sqref="G79:I79">
    <cfRule type="expression" dxfId="140" priority="162">
      <formula>MOD(ROW(),2)=0</formula>
    </cfRule>
  </conditionalFormatting>
  <conditionalFormatting sqref="J79">
    <cfRule type="expression" dxfId="139" priority="161">
      <formula>MOD(ROW(),2)=0</formula>
    </cfRule>
  </conditionalFormatting>
  <conditionalFormatting sqref="K79">
    <cfRule type="expression" dxfId="138" priority="160">
      <formula>MOD(ROW(),2)=0</formula>
    </cfRule>
  </conditionalFormatting>
  <conditionalFormatting sqref="Y80:Z81">
    <cfRule type="expression" dxfId="137" priority="147">
      <formula>MOD(ROW(),2)=0</formula>
    </cfRule>
  </conditionalFormatting>
  <conditionalFormatting sqref="A40:F40">
    <cfRule type="expression" dxfId="136" priority="157">
      <formula>MOD(ROW(),2)=0</formula>
    </cfRule>
  </conditionalFormatting>
  <conditionalFormatting sqref="A41:F41">
    <cfRule type="expression" dxfId="135" priority="156">
      <formula>MOD(ROW(),2)=0</formula>
    </cfRule>
  </conditionalFormatting>
  <conditionalFormatting sqref="A43:F43">
    <cfRule type="expression" dxfId="134" priority="155">
      <formula>MOD(ROW(),2)=0</formula>
    </cfRule>
  </conditionalFormatting>
  <conditionalFormatting sqref="W43 G43:H43">
    <cfRule type="expression" dxfId="133" priority="154">
      <formula>MOD(ROW(),2)=0</formula>
    </cfRule>
  </conditionalFormatting>
  <conditionalFormatting sqref="V43">
    <cfRule type="expression" dxfId="132" priority="153">
      <formula>MOD(ROW(),2)=0</formula>
    </cfRule>
  </conditionalFormatting>
  <conditionalFormatting sqref="W40 G40:H40">
    <cfRule type="expression" dxfId="131" priority="152">
      <formula>MOD(ROW(),2)=0</formula>
    </cfRule>
  </conditionalFormatting>
  <conditionalFormatting sqref="V40">
    <cfRule type="expression" dxfId="130" priority="151">
      <formula>MOD(ROW(),2)=0</formula>
    </cfRule>
  </conditionalFormatting>
  <conditionalFormatting sqref="D13:E13">
    <cfRule type="expression" dxfId="129" priority="142">
      <formula>MOD(ROW(),2)=0</formula>
    </cfRule>
  </conditionalFormatting>
  <conditionalFormatting sqref="Y84:Z84">
    <cfRule type="expression" dxfId="128" priority="148">
      <formula>MOD(ROW(),2)=0</formula>
    </cfRule>
  </conditionalFormatting>
  <conditionalFormatting sqref="A15:B16">
    <cfRule type="expression" dxfId="127" priority="146">
      <formula>MOD(ROW(),2)=0</formula>
    </cfRule>
  </conditionalFormatting>
  <conditionalFormatting sqref="C15">
    <cfRule type="expression" dxfId="126" priority="145">
      <formula>MOD(ROW(),2)=0</formula>
    </cfRule>
  </conditionalFormatting>
  <conditionalFormatting sqref="F15">
    <cfRule type="expression" dxfId="125" priority="144">
      <formula>MOD(ROW(),2)=0</formula>
    </cfRule>
  </conditionalFormatting>
  <conditionalFormatting sqref="D15:E16">
    <cfRule type="expression" dxfId="124" priority="143">
      <formula>MOD(ROW(),2)=0</formula>
    </cfRule>
  </conditionalFormatting>
  <conditionalFormatting sqref="G15:H15">
    <cfRule type="expression" dxfId="123" priority="141">
      <formula>MOD(ROW(),2)=0</formula>
    </cfRule>
  </conditionalFormatting>
  <conditionalFormatting sqref="J80:J81">
    <cfRule type="expression" dxfId="122" priority="138">
      <formula>MOD(ROW(),2)=0</formula>
    </cfRule>
  </conditionalFormatting>
  <conditionalFormatting sqref="I80:J81">
    <cfRule type="expression" dxfId="121" priority="137">
      <formula>MOD(ROW(),2)=0</formula>
    </cfRule>
  </conditionalFormatting>
  <conditionalFormatting sqref="A70:C71 E70:E71">
    <cfRule type="expression" dxfId="120" priority="136">
      <formula>MOD(ROW(),2)=0</formula>
    </cfRule>
  </conditionalFormatting>
  <conditionalFormatting sqref="G70:J71 M70:O71">
    <cfRule type="expression" dxfId="119" priority="135">
      <formula>MOD(ROW(),2)=0</formula>
    </cfRule>
  </conditionalFormatting>
  <conditionalFormatting sqref="W70:W71">
    <cfRule type="expression" dxfId="118" priority="134">
      <formula>MOD(ROW(),2)=0</formula>
    </cfRule>
  </conditionalFormatting>
  <conditionalFormatting sqref="V70:V71">
    <cfRule type="expression" dxfId="117" priority="133">
      <formula>MOD(ROW(),2)=0</formula>
    </cfRule>
  </conditionalFormatting>
  <conditionalFormatting sqref="V57">
    <cfRule type="expression" dxfId="116" priority="130">
      <formula>MOD(ROW(),2)=0</formula>
    </cfRule>
  </conditionalFormatting>
  <conditionalFormatting sqref="A57:C57 E57:F57">
    <cfRule type="expression" dxfId="115" priority="132">
      <formula>MOD(ROW(),2)=0</formula>
    </cfRule>
  </conditionalFormatting>
  <conditionalFormatting sqref="W57 Y57 G57:J57">
    <cfRule type="expression" dxfId="114" priority="131">
      <formula>MOD(ROW(),2)=0</formula>
    </cfRule>
  </conditionalFormatting>
  <conditionalFormatting sqref="A64:A65">
    <cfRule type="expression" dxfId="113" priority="129">
      <formula>MOD(ROW(),2)=0</formula>
    </cfRule>
  </conditionalFormatting>
  <conditionalFormatting sqref="A63:B63">
    <cfRule type="expression" dxfId="112" priority="128">
      <formula>MOD(ROW(),2)=0</formula>
    </cfRule>
  </conditionalFormatting>
  <conditionalFormatting sqref="B64:B65">
    <cfRule type="expression" dxfId="111" priority="127">
      <formula>MOD(ROW(),2)=0</formula>
    </cfRule>
  </conditionalFormatting>
  <conditionalFormatting sqref="M64:O65 G64:J65 Y64:Y65">
    <cfRule type="expression" dxfId="110" priority="126">
      <formula>MOD(ROW(),2)=0</formula>
    </cfRule>
  </conditionalFormatting>
  <conditionalFormatting sqref="W64:W65">
    <cfRule type="expression" dxfId="109" priority="124">
      <formula>MOD(ROW(),2)=0</formula>
    </cfRule>
  </conditionalFormatting>
  <conditionalFormatting sqref="V64:V65">
    <cfRule type="expression" dxfId="108" priority="123">
      <formula>MOD(ROW(),2)=0</formula>
    </cfRule>
  </conditionalFormatting>
  <conditionalFormatting sqref="A6:C6 E6:F6">
    <cfRule type="expression" dxfId="107" priority="122">
      <formula>MOD(ROW(),2)=0</formula>
    </cfRule>
  </conditionalFormatting>
  <conditionalFormatting sqref="G6:J6 M6:O6">
    <cfRule type="expression" dxfId="106" priority="121">
      <formula>MOD(ROW(),2)=0</formula>
    </cfRule>
  </conditionalFormatting>
  <conditionalFormatting sqref="V6:W6">
    <cfRule type="expression" dxfId="105" priority="120">
      <formula>MOD(ROW(),2)=0</formula>
    </cfRule>
  </conditionalFormatting>
  <conditionalFormatting sqref="T6:U6">
    <cfRule type="expression" dxfId="104" priority="115">
      <formula>MOD(ROW(),2)=0</formula>
    </cfRule>
  </conditionalFormatting>
  <conditionalFormatting sqref="S6:U6">
    <cfRule type="expression" dxfId="103" priority="114">
      <formula>MOD(ROW(),2)=0</formula>
    </cfRule>
  </conditionalFormatting>
  <conditionalFormatting sqref="M6:O6">
    <cfRule type="expression" dxfId="102" priority="118">
      <formula>MOD(ROW(),2)=0</formula>
    </cfRule>
  </conditionalFormatting>
  <conditionalFormatting sqref="R6">
    <cfRule type="expression" dxfId="101" priority="117">
      <formula>MOD(ROW(),2)=0</formula>
    </cfRule>
  </conditionalFormatting>
  <conditionalFormatting sqref="R6">
    <cfRule type="expression" dxfId="100" priority="116">
      <formula>MOD(ROW(),2)=0</formula>
    </cfRule>
  </conditionalFormatting>
  <conditionalFormatting sqref="N6:O6">
    <cfRule type="expression" dxfId="99" priority="119">
      <formula>MOD(ROW(),2)=0</formula>
    </cfRule>
  </conditionalFormatting>
  <conditionalFormatting sqref="A55:C55 E55:F55">
    <cfRule type="expression" dxfId="98" priority="113">
      <formula>MOD(ROW(),2)=0</formula>
    </cfRule>
  </conditionalFormatting>
  <conditionalFormatting sqref="A82:F82">
    <cfRule type="expression" dxfId="97" priority="111">
      <formula>MOD(ROW(),2)=0</formula>
    </cfRule>
  </conditionalFormatting>
  <conditionalFormatting sqref="V82:W82">
    <cfRule type="expression" dxfId="96" priority="109">
      <formula>MOD(ROW(),2)=0</formula>
    </cfRule>
  </conditionalFormatting>
  <conditionalFormatting sqref="G82">
    <cfRule type="expression" dxfId="95" priority="108">
      <formula>MOD(ROW(),2)=0</formula>
    </cfRule>
  </conditionalFormatting>
  <conditionalFormatting sqref="H82">
    <cfRule type="expression" dxfId="94" priority="107">
      <formula>MOD(ROW(),2)=0</formula>
    </cfRule>
  </conditionalFormatting>
  <conditionalFormatting sqref="Y82:Z82">
    <cfRule type="expression" dxfId="93" priority="106">
      <formula>MOD(ROW(),2)=0</formula>
    </cfRule>
  </conditionalFormatting>
  <conditionalFormatting sqref="J82">
    <cfRule type="expression" dxfId="92" priority="105">
      <formula>MOD(ROW(),2)=0</formula>
    </cfRule>
  </conditionalFormatting>
  <conditionalFormatting sqref="I82:J82">
    <cfRule type="expression" dxfId="91" priority="104">
      <formula>MOD(ROW(),2)=0</formula>
    </cfRule>
  </conditionalFormatting>
  <conditionalFormatting sqref="K80:L82">
    <cfRule type="expression" dxfId="90" priority="102">
      <formula>MOD(ROW(),2)=0</formula>
    </cfRule>
  </conditionalFormatting>
  <conditionalFormatting sqref="S19:U19">
    <cfRule type="expression" dxfId="89" priority="92">
      <formula>MOD(ROW(),2)=0</formula>
    </cfRule>
  </conditionalFormatting>
  <conditionalFormatting sqref="A19:F19">
    <cfRule type="expression" dxfId="88" priority="100">
      <formula>MOD(ROW(),2)=0</formula>
    </cfRule>
  </conditionalFormatting>
  <conditionalFormatting sqref="Y19:Z19 G19:O19">
    <cfRule type="expression" dxfId="87" priority="99">
      <formula>MOD(ROW(),2)=0</formula>
    </cfRule>
  </conditionalFormatting>
  <conditionalFormatting sqref="M19:O19">
    <cfRule type="expression" dxfId="86" priority="96">
      <formula>MOD(ROW(),2)=0</formula>
    </cfRule>
  </conditionalFormatting>
  <conditionalFormatting sqref="R19">
    <cfRule type="expression" dxfId="85" priority="95">
      <formula>MOD(ROW(),2)=0</formula>
    </cfRule>
  </conditionalFormatting>
  <conditionalFormatting sqref="T19:U19">
    <cfRule type="expression" dxfId="84" priority="93">
      <formula>MOD(ROW(),2)=0</formula>
    </cfRule>
  </conditionalFormatting>
  <conditionalFormatting sqref="V19:W19">
    <cfRule type="expression" dxfId="83" priority="98">
      <formula>MOD(ROW(),2)=0</formula>
    </cfRule>
  </conditionalFormatting>
  <conditionalFormatting sqref="N19:O19">
    <cfRule type="expression" dxfId="82" priority="97">
      <formula>MOD(ROW(),2)=0</formula>
    </cfRule>
  </conditionalFormatting>
  <conditionalFormatting sqref="R19">
    <cfRule type="expression" dxfId="81" priority="94">
      <formula>MOD(ROW(),2)=0</formula>
    </cfRule>
  </conditionalFormatting>
  <conditionalFormatting sqref="E72:E73">
    <cfRule type="expression" dxfId="80" priority="91">
      <formula>MOD(ROW(),2)=0</formula>
    </cfRule>
  </conditionalFormatting>
  <conditionalFormatting sqref="F64:F65">
    <cfRule type="expression" dxfId="79" priority="90">
      <formula>MOD(ROW(),2)=0</formula>
    </cfRule>
  </conditionalFormatting>
  <conditionalFormatting sqref="F63">
    <cfRule type="expression" dxfId="78" priority="89">
      <formula>MOD(ROW(),2)=0</formula>
    </cfRule>
  </conditionalFormatting>
  <conditionalFormatting sqref="D63:E63 C64:E65">
    <cfRule type="expression" dxfId="77" priority="88">
      <formula>MOD(ROW(),2)=0</formula>
    </cfRule>
  </conditionalFormatting>
  <conditionalFormatting sqref="D10">
    <cfRule type="expression" dxfId="76" priority="87">
      <formula>MOD(ROW(),2)=0</formula>
    </cfRule>
  </conditionalFormatting>
  <conditionalFormatting sqref="D6">
    <cfRule type="expression" dxfId="75" priority="86">
      <formula>MOD(ROW(),2)=0</formula>
    </cfRule>
  </conditionalFormatting>
  <conditionalFormatting sqref="D18">
    <cfRule type="expression" dxfId="74" priority="85">
      <formula>MOD(ROW(),2)=0</formula>
    </cfRule>
  </conditionalFormatting>
  <conditionalFormatting sqref="D32">
    <cfRule type="expression" dxfId="73" priority="84">
      <formula>MOD(ROW(),2)=0</formula>
    </cfRule>
  </conditionalFormatting>
  <conditionalFormatting sqref="D70:D71">
    <cfRule type="expression" dxfId="72" priority="72">
      <formula>MOD(ROW(),2)=0</formula>
    </cfRule>
  </conditionalFormatting>
  <conditionalFormatting sqref="D47">
    <cfRule type="expression" dxfId="71" priority="82">
      <formula>MOD(ROW(),2)=0</formula>
    </cfRule>
  </conditionalFormatting>
  <conditionalFormatting sqref="D53 D55">
    <cfRule type="expression" dxfId="70" priority="81">
      <formula>MOD(ROW(),2)=0</formula>
    </cfRule>
  </conditionalFormatting>
  <conditionalFormatting sqref="D52">
    <cfRule type="expression" dxfId="69" priority="80">
      <formula>MOD(ROW(),2)=0</formula>
    </cfRule>
  </conditionalFormatting>
  <conditionalFormatting sqref="D56">
    <cfRule type="expression" dxfId="68" priority="79">
      <formula>MOD(ROW(),2)=0</formula>
    </cfRule>
  </conditionalFormatting>
  <conditionalFormatting sqref="D57">
    <cfRule type="expression" dxfId="67" priority="78">
      <formula>MOD(ROW(),2)=0</formula>
    </cfRule>
  </conditionalFormatting>
  <conditionalFormatting sqref="D58">
    <cfRule type="expression" dxfId="66" priority="77">
      <formula>MOD(ROW(),2)=0</formula>
    </cfRule>
  </conditionalFormatting>
  <conditionalFormatting sqref="D59">
    <cfRule type="expression" dxfId="65" priority="76">
      <formula>MOD(ROW(),2)=0</formula>
    </cfRule>
  </conditionalFormatting>
  <conditionalFormatting sqref="D73">
    <cfRule type="expression" dxfId="64" priority="75">
      <formula>MOD(ROW(),2)=0</formula>
    </cfRule>
  </conditionalFormatting>
  <conditionalFormatting sqref="D72">
    <cfRule type="expression" dxfId="63" priority="74">
      <formula>MOD(ROW(),2)=0</formula>
    </cfRule>
  </conditionalFormatting>
  <conditionalFormatting sqref="D69">
    <cfRule type="expression" dxfId="62" priority="73">
      <formula>MOD(ROW(),2)=0</formula>
    </cfRule>
  </conditionalFormatting>
  <conditionalFormatting sqref="A33:F33">
    <cfRule type="expression" dxfId="61" priority="71">
      <formula>MOD(ROW(),2)=0</formula>
    </cfRule>
  </conditionalFormatting>
  <conditionalFormatting sqref="G33:O33 Y33:Z33">
    <cfRule type="expression" dxfId="60" priority="70">
      <formula>MOD(ROW(),2)=0</formula>
    </cfRule>
  </conditionalFormatting>
  <conditionalFormatting sqref="W33">
    <cfRule type="expression" dxfId="59" priority="69">
      <formula>MOD(ROW(),2)=0</formula>
    </cfRule>
  </conditionalFormatting>
  <conditionalFormatting sqref="V33">
    <cfRule type="expression" dxfId="58" priority="68">
      <formula>MOD(ROW(),2)=0</formula>
    </cfRule>
  </conditionalFormatting>
  <conditionalFormatting sqref="S33:U33">
    <cfRule type="expression" dxfId="57" priority="62">
      <formula>MOD(ROW(),2)=0</formula>
    </cfRule>
  </conditionalFormatting>
  <conditionalFormatting sqref="N33:O33">
    <cfRule type="expression" dxfId="56" priority="67">
      <formula>MOD(ROW(),2)=0</formula>
    </cfRule>
  </conditionalFormatting>
  <conditionalFormatting sqref="M33:O33">
    <cfRule type="expression" dxfId="55" priority="66">
      <formula>MOD(ROW(),2)=0</formula>
    </cfRule>
  </conditionalFormatting>
  <conditionalFormatting sqref="T33:U33">
    <cfRule type="expression" dxfId="54" priority="63">
      <formula>MOD(ROW(),2)=0</formula>
    </cfRule>
  </conditionalFormatting>
  <conditionalFormatting sqref="R33">
    <cfRule type="expression" dxfId="53" priority="65">
      <formula>MOD(ROW(),2)=0</formula>
    </cfRule>
  </conditionalFormatting>
  <conditionalFormatting sqref="R33">
    <cfRule type="expression" dxfId="52" priority="64">
      <formula>MOD(ROW(),2)=0</formula>
    </cfRule>
  </conditionalFormatting>
  <conditionalFormatting sqref="Q4:Q11 Q38:Q53 Q55:Q60 Q62:Q76">
    <cfRule type="expression" dxfId="51" priority="59">
      <formula>MOD(ROW(),2)=0</formula>
    </cfRule>
  </conditionalFormatting>
  <conditionalFormatting sqref="P4:Q11 P38:Q53 P55:Q60 P62:Q76">
    <cfRule type="expression" dxfId="50" priority="58">
      <formula>MOD(ROW(),2)=0</formula>
    </cfRule>
  </conditionalFormatting>
  <conditionalFormatting sqref="R80:T82">
    <cfRule type="expression" dxfId="49" priority="57">
      <formula>MOD(ROW(),2)=0</formula>
    </cfRule>
  </conditionalFormatting>
  <conditionalFormatting sqref="Q80:Q82">
    <cfRule type="expression" dxfId="48" priority="56">
      <formula>MOD(ROW(),2)=0</formula>
    </cfRule>
  </conditionalFormatting>
  <conditionalFormatting sqref="P80:Q82">
    <cfRule type="expression" dxfId="47" priority="55">
      <formula>MOD(ROW(),2)=0</formula>
    </cfRule>
  </conditionalFormatting>
  <conditionalFormatting sqref="A76:F76">
    <cfRule type="expression" dxfId="46" priority="54">
      <formula>MOD(ROW(),2)=0</formula>
    </cfRule>
  </conditionalFormatting>
  <conditionalFormatting sqref="A75:F75">
    <cfRule type="expression" dxfId="45" priority="53">
      <formula>MOD(ROW(),2)=0</formula>
    </cfRule>
  </conditionalFormatting>
  <conditionalFormatting sqref="G75:O76 Y75:Z76 R75:W76">
    <cfRule type="expression" dxfId="44" priority="52">
      <formula>MOD(ROW(),2)=0</formula>
    </cfRule>
  </conditionalFormatting>
  <conditionalFormatting sqref="P37:Q37">
    <cfRule type="expression" dxfId="43" priority="39">
      <formula>MOD(ROW(),2)=0</formula>
    </cfRule>
  </conditionalFormatting>
  <conditionalFormatting sqref="A37:F37">
    <cfRule type="expression" dxfId="42" priority="48">
      <formula>MOD(ROW(),2)=0</formula>
    </cfRule>
  </conditionalFormatting>
  <conditionalFormatting sqref="P83:Q83">
    <cfRule type="expression" dxfId="41" priority="24">
      <formula>MOD(ROW(),2)=0</formula>
    </cfRule>
  </conditionalFormatting>
  <conditionalFormatting sqref="A61:F61">
    <cfRule type="expression" dxfId="40" priority="46">
      <formula>MOD(ROW(),2)=0</formula>
    </cfRule>
  </conditionalFormatting>
  <conditionalFormatting sqref="W61 Y61:Z61 G61:O61 R61:U61">
    <cfRule type="expression" dxfId="39" priority="45">
      <formula>MOD(ROW(),2)=0</formula>
    </cfRule>
  </conditionalFormatting>
  <conditionalFormatting sqref="V61">
    <cfRule type="expression" dxfId="38" priority="44">
      <formula>MOD(ROW(),2)=0</formula>
    </cfRule>
  </conditionalFormatting>
  <conditionalFormatting sqref="Q61">
    <cfRule type="expression" dxfId="37" priority="43">
      <formula>MOD(ROW(),2)=0</formula>
    </cfRule>
  </conditionalFormatting>
  <conditionalFormatting sqref="P61:Q61">
    <cfRule type="expression" dxfId="36" priority="42">
      <formula>MOD(ROW(),2)=0</formula>
    </cfRule>
  </conditionalFormatting>
  <conditionalFormatting sqref="Y37:Z37 G37:O37 R37:W37">
    <cfRule type="expression" dxfId="35" priority="41">
      <formula>MOD(ROW(),2)=0</formula>
    </cfRule>
  </conditionalFormatting>
  <conditionalFormatting sqref="Q37">
    <cfRule type="expression" dxfId="34" priority="40">
      <formula>MOD(ROW(),2)=0</formula>
    </cfRule>
  </conditionalFormatting>
  <conditionalFormatting sqref="Q83">
    <cfRule type="expression" dxfId="33" priority="25">
      <formula>MOD(ROW(),2)=0</formula>
    </cfRule>
  </conditionalFormatting>
  <conditionalFormatting sqref="F83">
    <cfRule type="expression" dxfId="32" priority="36">
      <formula>MOD(ROW(),2)=0</formula>
    </cfRule>
  </conditionalFormatting>
  <conditionalFormatting sqref="A83:E83">
    <cfRule type="expression" dxfId="31" priority="35">
      <formula>MOD(ROW(),2)=0</formula>
    </cfRule>
  </conditionalFormatting>
  <conditionalFormatting sqref="M83:O83 U83">
    <cfRule type="expression" dxfId="30" priority="34">
      <formula>MOD(ROW(),2)=0</formula>
    </cfRule>
  </conditionalFormatting>
  <conditionalFormatting sqref="V83:W83">
    <cfRule type="expression" dxfId="29" priority="33">
      <formula>MOD(ROW(),2)=0</formula>
    </cfRule>
  </conditionalFormatting>
  <conditionalFormatting sqref="G83">
    <cfRule type="expression" dxfId="28" priority="32">
      <formula>MOD(ROW(),2)=0</formula>
    </cfRule>
  </conditionalFormatting>
  <conditionalFormatting sqref="H83">
    <cfRule type="expression" dxfId="27" priority="31">
      <formula>MOD(ROW(),2)=0</formula>
    </cfRule>
  </conditionalFormatting>
  <conditionalFormatting sqref="Y83:Z83">
    <cfRule type="expression" dxfId="26" priority="30">
      <formula>MOD(ROW(),2)=0</formula>
    </cfRule>
  </conditionalFormatting>
  <conditionalFormatting sqref="J83">
    <cfRule type="expression" dxfId="25" priority="29">
      <formula>MOD(ROW(),2)=0</formula>
    </cfRule>
  </conditionalFormatting>
  <conditionalFormatting sqref="I83:J83">
    <cfRule type="expression" dxfId="24" priority="28">
      <formula>MOD(ROW(),2)=0</formula>
    </cfRule>
  </conditionalFormatting>
  <conditionalFormatting sqref="K83:L83">
    <cfRule type="expression" dxfId="23" priority="27">
      <formula>MOD(ROW(),2)=0</formula>
    </cfRule>
  </conditionalFormatting>
  <conditionalFormatting sqref="R83:T83">
    <cfRule type="expression" dxfId="22" priority="26">
      <formula>MOD(ROW(),2)=0</formula>
    </cfRule>
  </conditionalFormatting>
  <conditionalFormatting sqref="F67:F68">
    <cfRule type="expression" dxfId="21" priority="23">
      <formula>MOD(ROW(),2)=0</formula>
    </cfRule>
  </conditionalFormatting>
  <conditionalFormatting sqref="A67:E67 A68">
    <cfRule type="expression" dxfId="20" priority="22">
      <formula>MOD(ROW(),2)=0</formula>
    </cfRule>
  </conditionalFormatting>
  <conditionalFormatting sqref="B68:E68">
    <cfRule type="expression" dxfId="19" priority="21">
      <formula>MOD(ROW(),2)=0</formula>
    </cfRule>
  </conditionalFormatting>
  <conditionalFormatting sqref="B9:E9">
    <cfRule type="expression" dxfId="18" priority="20">
      <formula>MOD(ROW(),2)=0</formula>
    </cfRule>
  </conditionalFormatting>
  <conditionalFormatting sqref="A12:B12 D12:E12">
    <cfRule type="expression" dxfId="17" priority="19">
      <formula>MOD(ROW(),2)=0</formula>
    </cfRule>
  </conditionalFormatting>
  <conditionalFormatting sqref="C12">
    <cfRule type="expression" dxfId="16" priority="18">
      <formula>MOD(ROW(),2)=0</formula>
    </cfRule>
  </conditionalFormatting>
  <conditionalFormatting sqref="Y12:Z12 G12:O12">
    <cfRule type="expression" dxfId="15" priority="17">
      <formula>MOD(ROW(),2)=0</formula>
    </cfRule>
  </conditionalFormatting>
  <conditionalFormatting sqref="V12:W12">
    <cfRule type="expression" dxfId="14" priority="16">
      <formula>MOD(ROW(),2)=0</formula>
    </cfRule>
  </conditionalFormatting>
  <conditionalFormatting sqref="R12">
    <cfRule type="expression" dxfId="13" priority="13">
      <formula>MOD(ROW(),2)=0</formula>
    </cfRule>
  </conditionalFormatting>
  <conditionalFormatting sqref="R12">
    <cfRule type="expression" dxfId="12" priority="12">
      <formula>MOD(ROW(),2)=0</formula>
    </cfRule>
  </conditionalFormatting>
  <conditionalFormatting sqref="S12:U12">
    <cfRule type="expression" dxfId="11" priority="10">
      <formula>MOD(ROW(),2)=0</formula>
    </cfRule>
  </conditionalFormatting>
  <conditionalFormatting sqref="N12:O12">
    <cfRule type="expression" dxfId="10" priority="15">
      <formula>MOD(ROW(),2)=0</formula>
    </cfRule>
  </conditionalFormatting>
  <conditionalFormatting sqref="M12:O12">
    <cfRule type="expression" dxfId="9" priority="14">
      <formula>MOD(ROW(),2)=0</formula>
    </cfRule>
  </conditionalFormatting>
  <conditionalFormatting sqref="T12:U12">
    <cfRule type="expression" dxfId="8" priority="11">
      <formula>MOD(ROW(),2)=0</formula>
    </cfRule>
  </conditionalFormatting>
  <conditionalFormatting sqref="Q12">
    <cfRule type="expression" dxfId="7" priority="9">
      <formula>MOD(ROW(),2)=0</formula>
    </cfRule>
  </conditionalFormatting>
  <conditionalFormatting sqref="P12:Q12">
    <cfRule type="expression" dxfId="6" priority="8">
      <formula>MOD(ROW(),2)=0</formula>
    </cfRule>
  </conditionalFormatting>
  <conditionalFormatting sqref="A54:C54 E54:F54">
    <cfRule type="expression" dxfId="5" priority="7">
      <formula>MOD(ROW(),2)=0</formula>
    </cfRule>
  </conditionalFormatting>
  <conditionalFormatting sqref="P54:Q54">
    <cfRule type="expression" dxfId="4" priority="1">
      <formula>MOD(ROW(),2)=0</formula>
    </cfRule>
  </conditionalFormatting>
  <conditionalFormatting sqref="D54">
    <cfRule type="expression" dxfId="3" priority="5">
      <formula>MOD(ROW(),2)=0</formula>
    </cfRule>
  </conditionalFormatting>
  <conditionalFormatting sqref="W54 R54:U54 G54:O54 Y54:Z54">
    <cfRule type="expression" dxfId="2" priority="4">
      <formula>MOD(ROW(),2)=0</formula>
    </cfRule>
  </conditionalFormatting>
  <conditionalFormatting sqref="V54">
    <cfRule type="expression" dxfId="1" priority="3">
      <formula>MOD(ROW(),2)=0</formula>
    </cfRule>
  </conditionalFormatting>
  <conditionalFormatting sqref="Q54">
    <cfRule type="expression" dxfId="0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2026-09-04T10:21:10Z</dcterms:modified>
</cp:coreProperties>
</file>