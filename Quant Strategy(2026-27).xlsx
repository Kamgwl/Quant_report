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SEP-2026" sheetId="43" r:id="rId1"/>
    <sheet name="AUG-2026" sheetId="42" r:id="rId2"/>
    <sheet name="JULY-2026" sheetId="39" r:id="rId3"/>
    <sheet name="FY-(26-27)Q2" sheetId="41" r:id="rId4"/>
    <sheet name="JUNE-2026" sheetId="38" r:id="rId5"/>
    <sheet name="MAY-2026" sheetId="37" r:id="rId6"/>
    <sheet name="APR-2026" sheetId="36" r:id="rId7"/>
    <sheet name="FY-(26-27)Q1" sheetId="32" r:id="rId8"/>
  </sheets>
  <externalReferences>
    <externalReference r:id="rId9"/>
    <externalReference r:id="rId10"/>
  </externalReferences>
  <calcPr calcId="144525"/>
</workbook>
</file>

<file path=xl/calcChain.xml><?xml version="1.0" encoding="utf-8"?>
<calcChain xmlns="http://schemas.openxmlformats.org/spreadsheetml/2006/main">
  <c r="J60" i="43" l="1"/>
  <c r="J56" i="43"/>
  <c r="I60" i="43" l="1"/>
  <c r="I56" i="43"/>
  <c r="L57" i="41"/>
  <c r="K57" i="41"/>
  <c r="J57" i="41"/>
  <c r="I57" i="41"/>
  <c r="H57" i="41"/>
  <c r="G57" i="41"/>
  <c r="L7" i="41"/>
  <c r="L15" i="41"/>
  <c r="L24" i="41"/>
  <c r="L30" i="41"/>
  <c r="L31" i="41"/>
  <c r="L32" i="41"/>
  <c r="L33" i="41"/>
  <c r="L34" i="41"/>
  <c r="L46" i="41"/>
  <c r="L53" i="41"/>
  <c r="K7" i="41"/>
  <c r="K15" i="41"/>
  <c r="K24" i="41"/>
  <c r="K30" i="41"/>
  <c r="K31" i="41"/>
  <c r="K32" i="41"/>
  <c r="K33" i="41"/>
  <c r="K34" i="41"/>
  <c r="K46" i="41"/>
  <c r="K53" i="41"/>
  <c r="L40" i="43"/>
  <c r="M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K60" i="43"/>
  <c r="H60" i="43"/>
  <c r="L59" i="43"/>
  <c r="M59" i="43" s="1"/>
  <c r="L58" i="43"/>
  <c r="M58" i="43" s="1"/>
  <c r="K56" i="43"/>
  <c r="H56" i="43"/>
  <c r="L55" i="43"/>
  <c r="M55" i="43" s="1"/>
  <c r="L54" i="43"/>
  <c r="M54" i="43" s="1"/>
  <c r="L53" i="43"/>
  <c r="M53" i="43" s="1"/>
  <c r="L52" i="43"/>
  <c r="M52" i="43" s="1"/>
  <c r="L51" i="43"/>
  <c r="M51" i="43" s="1"/>
  <c r="L50" i="43"/>
  <c r="M50" i="43" s="1"/>
  <c r="L49" i="43"/>
  <c r="M49" i="43" s="1"/>
  <c r="L48" i="43"/>
  <c r="L47" i="43"/>
  <c r="L46" i="43"/>
  <c r="L45" i="43"/>
  <c r="L44" i="43"/>
  <c r="L43" i="43"/>
  <c r="L42" i="43"/>
  <c r="L41" i="43"/>
  <c r="L39" i="43"/>
  <c r="L38" i="43"/>
  <c r="L37" i="43"/>
  <c r="L36" i="43"/>
  <c r="P35" i="43"/>
  <c r="P37" i="43" s="1"/>
  <c r="L35" i="43"/>
  <c r="L34" i="43"/>
  <c r="L33" i="43"/>
  <c r="L32" i="43"/>
  <c r="L31" i="43"/>
  <c r="L30" i="43"/>
  <c r="L29" i="43"/>
  <c r="L28" i="43"/>
  <c r="L27" i="43"/>
  <c r="L26" i="43"/>
  <c r="L25" i="43"/>
  <c r="L24" i="43"/>
  <c r="L23" i="43"/>
  <c r="M23" i="43" s="1"/>
  <c r="L22" i="43"/>
  <c r="L21" i="43"/>
  <c r="L20" i="43"/>
  <c r="L19" i="43"/>
  <c r="L18" i="43"/>
  <c r="X17" i="43"/>
  <c r="V17" i="43"/>
  <c r="V18" i="43" s="1"/>
  <c r="L17" i="43"/>
  <c r="L16" i="43"/>
  <c r="L15" i="43"/>
  <c r="L14" i="43"/>
  <c r="L13" i="43"/>
  <c r="L12" i="43"/>
  <c r="L11" i="43"/>
  <c r="P10" i="43"/>
  <c r="P15" i="43" s="1"/>
  <c r="U15" i="43" s="1"/>
  <c r="L10" i="43"/>
  <c r="L9" i="43"/>
  <c r="L8" i="43"/>
  <c r="L7" i="43"/>
  <c r="M7" i="43" s="1"/>
  <c r="L6" i="43"/>
  <c r="L5" i="43"/>
  <c r="L4" i="43"/>
  <c r="Z73" i="42"/>
  <c r="Z68" i="42"/>
  <c r="T54" i="32"/>
  <c r="S54" i="3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T12" i="32"/>
  <c r="S12" i="32"/>
  <c r="L12" i="32"/>
  <c r="K12" i="32"/>
  <c r="J12" i="32"/>
  <c r="I12" i="32"/>
  <c r="H12" i="32"/>
  <c r="G12" i="32"/>
  <c r="H10" i="41"/>
  <c r="G10" i="41"/>
  <c r="Y73" i="42"/>
  <c r="Y68" i="42"/>
  <c r="M8" i="43" l="1"/>
  <c r="L8" i="41" s="1"/>
  <c r="K8" i="41"/>
  <c r="M13" i="43"/>
  <c r="L13" i="41" s="1"/>
  <c r="K13" i="41"/>
  <c r="M16" i="43"/>
  <c r="L16" i="41" s="1"/>
  <c r="K16" i="41"/>
  <c r="M25" i="43"/>
  <c r="L26" i="41" s="1"/>
  <c r="K26" i="41"/>
  <c r="M36" i="43"/>
  <c r="L42" i="41" s="1"/>
  <c r="K42" i="41"/>
  <c r="M43" i="43"/>
  <c r="L50" i="41" s="1"/>
  <c r="K50" i="41"/>
  <c r="M48" i="43"/>
  <c r="L56" i="41" s="1"/>
  <c r="K56" i="41"/>
  <c r="M45" i="43"/>
  <c r="L54" i="41" s="1"/>
  <c r="K54" i="41"/>
  <c r="M46" i="43"/>
  <c r="L55" i="41" s="1"/>
  <c r="K55" i="41"/>
  <c r="M21" i="43"/>
  <c r="L21" i="41" s="1"/>
  <c r="K21" i="41"/>
  <c r="M44" i="43"/>
  <c r="L51" i="41" s="1"/>
  <c r="K51" i="41"/>
  <c r="M38" i="43"/>
  <c r="L44" i="41" s="1"/>
  <c r="K44" i="41"/>
  <c r="M35" i="43"/>
  <c r="L41" i="41" s="1"/>
  <c r="K41" i="41"/>
  <c r="M26" i="43"/>
  <c r="L27" i="41" s="1"/>
  <c r="K27" i="41"/>
  <c r="M24" i="43"/>
  <c r="L25" i="41" s="1"/>
  <c r="K25" i="41"/>
  <c r="M19" i="43"/>
  <c r="L23" i="41" s="1"/>
  <c r="K23" i="41"/>
  <c r="M5" i="43"/>
  <c r="L5" i="41" s="1"/>
  <c r="K5" i="41"/>
  <c r="M22" i="43"/>
  <c r="L22" i="41" s="1"/>
  <c r="K22" i="41"/>
  <c r="M30" i="43"/>
  <c r="L36" i="41" s="1"/>
  <c r="K36" i="41"/>
  <c r="M47" i="43"/>
  <c r="L52" i="41" s="1"/>
  <c r="K52" i="41"/>
  <c r="M42" i="43"/>
  <c r="L49" i="41" s="1"/>
  <c r="K49" i="41"/>
  <c r="M32" i="43"/>
  <c r="L38" i="41" s="1"/>
  <c r="K38" i="41"/>
  <c r="M41" i="43"/>
  <c r="L48" i="41" s="1"/>
  <c r="K48" i="41"/>
  <c r="M28" i="43"/>
  <c r="L29" i="41" s="1"/>
  <c r="K29" i="41"/>
  <c r="M12" i="43"/>
  <c r="L12" i="41" s="1"/>
  <c r="K12" i="41"/>
  <c r="M11" i="43"/>
  <c r="L11" i="41" s="1"/>
  <c r="K11" i="41"/>
  <c r="M6" i="43"/>
  <c r="L6" i="41" s="1"/>
  <c r="K6" i="41"/>
  <c r="M39" i="43"/>
  <c r="L47" i="41" s="1"/>
  <c r="K47" i="41"/>
  <c r="M37" i="43"/>
  <c r="L43" i="41" s="1"/>
  <c r="N43" i="41" s="1"/>
  <c r="Q54" i="32" s="1"/>
  <c r="K43" i="41"/>
  <c r="M43" i="41" s="1"/>
  <c r="P54" i="32" s="1"/>
  <c r="M34" i="43"/>
  <c r="L40" i="41" s="1"/>
  <c r="K40" i="41"/>
  <c r="M33" i="43"/>
  <c r="L39" i="41" s="1"/>
  <c r="K39" i="41"/>
  <c r="M31" i="43"/>
  <c r="L37" i="41" s="1"/>
  <c r="K37" i="41"/>
  <c r="M29" i="43"/>
  <c r="L35" i="41" s="1"/>
  <c r="K35" i="41"/>
  <c r="M27" i="43"/>
  <c r="L28" i="41" s="1"/>
  <c r="K28" i="41"/>
  <c r="M20" i="43"/>
  <c r="L20" i="41" s="1"/>
  <c r="K20" i="41"/>
  <c r="M18" i="43"/>
  <c r="L19" i="41" s="1"/>
  <c r="K19" i="41"/>
  <c r="M17" i="43"/>
  <c r="L18" i="41" s="1"/>
  <c r="K18" i="41"/>
  <c r="M15" i="43"/>
  <c r="L17" i="41" s="1"/>
  <c r="K17" i="41"/>
  <c r="M14" i="43"/>
  <c r="L14" i="41" s="1"/>
  <c r="K14" i="41"/>
  <c r="M10" i="43"/>
  <c r="L10" i="41" s="1"/>
  <c r="K10" i="41"/>
  <c r="M9" i="43"/>
  <c r="L9" i="41" s="1"/>
  <c r="K9" i="41"/>
  <c r="M4" i="43"/>
  <c r="L4" i="41" s="1"/>
  <c r="K4" i="41"/>
  <c r="N12" i="32"/>
  <c r="L60" i="43"/>
  <c r="L56" i="43"/>
  <c r="M56" i="43" s="1"/>
  <c r="M54" i="32"/>
  <c r="M12" i="32"/>
  <c r="N54" i="32"/>
  <c r="AC25" i="42"/>
  <c r="AD25" i="42" s="1"/>
  <c r="M68" i="32"/>
  <c r="N68" i="32"/>
  <c r="P68" i="32"/>
  <c r="Q68" i="32"/>
  <c r="S68" i="32"/>
  <c r="T68" i="32"/>
  <c r="AC59" i="42"/>
  <c r="AD59" i="42" s="1"/>
  <c r="J7" i="41"/>
  <c r="I7" i="41"/>
  <c r="H7" i="41"/>
  <c r="G7" i="41"/>
  <c r="H6" i="41"/>
  <c r="G6" i="41"/>
  <c r="Y54" i="32" l="1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S67" i="32"/>
  <c r="T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70" i="41"/>
  <c r="K70" i="41"/>
  <c r="J70" i="41"/>
  <c r="I70" i="41"/>
  <c r="T37" i="32"/>
  <c r="S37" i="32"/>
  <c r="L37" i="32"/>
  <c r="K37" i="32"/>
  <c r="J37" i="32"/>
  <c r="I37" i="32"/>
  <c r="H37" i="32"/>
  <c r="G37" i="32"/>
  <c r="T61" i="32"/>
  <c r="S61" i="32"/>
  <c r="L61" i="32"/>
  <c r="K61" i="32"/>
  <c r="J61" i="32"/>
  <c r="I61" i="32"/>
  <c r="H61" i="32"/>
  <c r="G61" i="32"/>
  <c r="T76" i="32"/>
  <c r="S76" i="32"/>
  <c r="L76" i="32"/>
  <c r="K76" i="32"/>
  <c r="J76" i="32"/>
  <c r="I76" i="32"/>
  <c r="H76" i="32"/>
  <c r="G76" i="32"/>
  <c r="T75" i="32"/>
  <c r="S75" i="32"/>
  <c r="L75" i="32"/>
  <c r="K75" i="32"/>
  <c r="J75" i="32"/>
  <c r="I75" i="32"/>
  <c r="H75" i="32"/>
  <c r="G75" i="32"/>
  <c r="L63" i="41"/>
  <c r="K63" i="41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L64" i="41"/>
  <c r="K64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P76" i="32" s="1"/>
  <c r="Y76" i="32" s="1"/>
  <c r="N64" i="41"/>
  <c r="Q76" i="32" s="1"/>
  <c r="Z76" i="32" s="1"/>
  <c r="L67" i="39"/>
  <c r="K67" i="39" l="1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I69" i="41"/>
  <c r="J69" i="41"/>
  <c r="K69" i="41"/>
  <c r="L69" i="41"/>
  <c r="K58" i="41"/>
  <c r="L58" i="41"/>
  <c r="K59" i="41"/>
  <c r="L59" i="41"/>
  <c r="K60" i="41"/>
  <c r="L60" i="41"/>
  <c r="K61" i="41"/>
  <c r="L61" i="41"/>
  <c r="K62" i="41"/>
  <c r="L62" i="41"/>
  <c r="G35" i="41"/>
  <c r="S4" i="32"/>
  <c r="T4" i="32"/>
  <c r="S5" i="32"/>
  <c r="T5" i="32"/>
  <c r="S6" i="32"/>
  <c r="T6" i="32"/>
  <c r="S7" i="32"/>
  <c r="T7" i="32"/>
  <c r="S8" i="32"/>
  <c r="T8" i="32"/>
  <c r="S10" i="32"/>
  <c r="T10" i="32"/>
  <c r="S11" i="32"/>
  <c r="T11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0" i="32"/>
  <c r="T30" i="32"/>
  <c r="S31" i="32"/>
  <c r="T31" i="32"/>
  <c r="S32" i="32"/>
  <c r="T32" i="32"/>
  <c r="S33" i="32"/>
  <c r="T33" i="32"/>
  <c r="S34" i="32"/>
  <c r="T34" i="32"/>
  <c r="S35" i="32"/>
  <c r="T35" i="32"/>
  <c r="S36" i="32"/>
  <c r="T36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5" i="32"/>
  <c r="T55" i="32"/>
  <c r="S56" i="32"/>
  <c r="T56" i="32"/>
  <c r="S57" i="32"/>
  <c r="T57" i="32"/>
  <c r="S58" i="32"/>
  <c r="T58" i="32"/>
  <c r="S59" i="32"/>
  <c r="T59" i="32"/>
  <c r="S60" i="32"/>
  <c r="T60" i="32"/>
  <c r="S62" i="32"/>
  <c r="T62" i="32"/>
  <c r="S63" i="32"/>
  <c r="T63" i="32"/>
  <c r="S64" i="32"/>
  <c r="T64" i="32"/>
  <c r="S65" i="32"/>
  <c r="T65" i="32"/>
  <c r="S66" i="32"/>
  <c r="T66" i="32"/>
  <c r="S69" i="32"/>
  <c r="T69" i="32"/>
  <c r="S70" i="32"/>
  <c r="T70" i="32"/>
  <c r="S71" i="32"/>
  <c r="T71" i="32"/>
  <c r="S72" i="32"/>
  <c r="T72" i="32"/>
  <c r="S73" i="32"/>
  <c r="T73" i="32"/>
  <c r="S74" i="32"/>
  <c r="T74" i="32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<sst xmlns="http://schemas.openxmlformats.org/spreadsheetml/2006/main" count="2647" uniqueCount="322">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</sst>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450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P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AUG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P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G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6"/>
  <sheetViews>
    <sheetView tabSelected="1" workbookViewId="0">
      <selection activeCell="O22" sqref="O22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42578125" style="133" customWidth="1"/>
    <col min="6" max="6" width="6.5703125" style="133" customWidth="1"/>
    <col min="7" max="7" width="1.7109375" style="133" customWidth="1"/>
    <col min="8" max="10" width="13.42578125" style="133" customWidth="1" outlineLevel="1"/>
    <col min="11" max="11" width="11.28515625" style="133" customWidth="1"/>
    <col min="12" max="12" width="10.42578125" style="133" customWidth="1" outlineLevel="1"/>
    <col min="13" max="13" width="10.7109375" style="133" customWidth="1" outlineLevel="1"/>
    <col min="14" max="19" width="9.140625" style="133"/>
    <col min="20" max="20" width="14.140625" style="133" customWidth="1"/>
    <col min="21" max="21" width="12" style="133" customWidth="1"/>
    <col min="22" max="22" width="15.85546875" style="133" customWidth="1"/>
    <col min="23" max="16384" width="9.140625" style="133"/>
  </cols>
  <sheetData>
    <row r="1" spans="1:21" ht="15.75" thickBot="1" x14ac:dyDescent="0.3"/>
    <row r="2" spans="1:21" ht="15.75" thickBot="1" x14ac:dyDescent="0.3">
      <c r="G2" s="221"/>
      <c r="H2" s="222">
        <v>46266</v>
      </c>
      <c r="I2" s="256">
        <v>46267</v>
      </c>
      <c r="J2" s="256">
        <v>46268</v>
      </c>
      <c r="K2" s="183"/>
      <c r="L2" s="184" t="s">
        <v>281</v>
      </c>
      <c r="M2" s="185" t="s">
        <v>280</v>
      </c>
    </row>
    <row r="3" spans="1:21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233</v>
      </c>
      <c r="I3" s="179" t="s">
        <v>237</v>
      </c>
      <c r="J3" s="179" t="s">
        <v>236</v>
      </c>
      <c r="K3" s="180"/>
      <c r="L3" s="189"/>
      <c r="M3" s="180"/>
      <c r="T3" s="133" t="s">
        <v>198</v>
      </c>
      <c r="U3" s="133">
        <v>13780</v>
      </c>
    </row>
    <row r="4" spans="1:21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0</v>
      </c>
      <c r="I4" s="158">
        <v>-13362</v>
      </c>
      <c r="J4" s="158">
        <v>1600</v>
      </c>
      <c r="K4" s="211"/>
      <c r="L4" s="171">
        <f t="shared" ref="L4:L30" si="0">SUM(H4:K4)</f>
        <v>-11762</v>
      </c>
      <c r="M4" s="149">
        <f t="shared" ref="M4:M30" si="1">IFERROR(L4/F4*100,0)/10000000</f>
        <v>-0.23524</v>
      </c>
      <c r="T4" s="133" t="s">
        <v>170</v>
      </c>
      <c r="U4" s="133">
        <v>2865</v>
      </c>
    </row>
    <row r="5" spans="1:21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-170827</v>
      </c>
      <c r="I5" s="147">
        <v>31407</v>
      </c>
      <c r="J5" s="147">
        <v>31240</v>
      </c>
      <c r="K5" s="174"/>
      <c r="L5" s="171">
        <f t="shared" si="0"/>
        <v>-108180</v>
      </c>
      <c r="M5" s="149">
        <f t="shared" si="1"/>
        <v>-0.36059999999999998</v>
      </c>
    </row>
    <row r="6" spans="1:21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>
        <v>0</v>
      </c>
      <c r="I6" s="147">
        <v>0</v>
      </c>
      <c r="J6" s="147">
        <v>0</v>
      </c>
      <c r="K6" s="174"/>
      <c r="L6" s="171">
        <f t="shared" si="0"/>
        <v>0</v>
      </c>
      <c r="M6" s="149">
        <f t="shared" si="1"/>
        <v>0</v>
      </c>
    </row>
    <row r="7" spans="1:21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91"/>
      <c r="H7" s="147">
        <v>-57700</v>
      </c>
      <c r="I7" s="147">
        <v>13000</v>
      </c>
      <c r="J7" s="147">
        <v>0</v>
      </c>
      <c r="K7" s="174"/>
      <c r="L7" s="171">
        <f t="shared" si="0"/>
        <v>-44700</v>
      </c>
      <c r="M7" s="149">
        <f t="shared" si="1"/>
        <v>-0.44700000000000001</v>
      </c>
    </row>
    <row r="8" spans="1:21" ht="15.75" customHeight="1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179600</v>
      </c>
      <c r="I8" s="147">
        <v>-26565</v>
      </c>
      <c r="J8" s="147">
        <v>-45278</v>
      </c>
      <c r="K8" s="174"/>
      <c r="L8" s="171">
        <f t="shared" si="0"/>
        <v>107757</v>
      </c>
      <c r="M8" s="149">
        <f t="shared" si="1"/>
        <v>0.35919000000000001</v>
      </c>
      <c r="O8" s="5"/>
      <c r="P8" s="134">
        <v>-153157</v>
      </c>
    </row>
    <row r="9" spans="1:21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59398</v>
      </c>
      <c r="I9" s="147">
        <v>-14500</v>
      </c>
      <c r="J9" s="147">
        <v>36650</v>
      </c>
      <c r="K9" s="174"/>
      <c r="L9" s="171">
        <f t="shared" si="0"/>
        <v>81548</v>
      </c>
      <c r="M9" s="149">
        <f t="shared" si="1"/>
        <v>0.54365333333333343</v>
      </c>
      <c r="O9" s="134">
        <v>2843927</v>
      </c>
      <c r="P9" s="134"/>
    </row>
    <row r="10" spans="1:21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8234</v>
      </c>
      <c r="I10" s="147">
        <v>-21600</v>
      </c>
      <c r="J10" s="147">
        <v>21640</v>
      </c>
      <c r="K10" s="174"/>
      <c r="L10" s="171">
        <f t="shared" si="0"/>
        <v>8274</v>
      </c>
      <c r="M10" s="149">
        <f t="shared" si="1"/>
        <v>0.13789999999999999</v>
      </c>
      <c r="O10" s="134">
        <v>2690770</v>
      </c>
      <c r="P10" s="134">
        <f>(O10+O9)/10000000*13780</f>
        <v>7626.8124659999994</v>
      </c>
    </row>
    <row r="11" spans="1:21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-413740</v>
      </c>
      <c r="I11" s="147">
        <v>0</v>
      </c>
      <c r="J11" s="147">
        <v>0</v>
      </c>
      <c r="K11" s="174"/>
      <c r="L11" s="171">
        <f t="shared" si="0"/>
        <v>-413740</v>
      </c>
      <c r="M11" s="149">
        <f t="shared" si="1"/>
        <v>-0.27582666666666672</v>
      </c>
      <c r="O11" s="134"/>
      <c r="P11" s="134"/>
    </row>
    <row r="12" spans="1:21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-61243</v>
      </c>
      <c r="I12" s="147">
        <v>50</v>
      </c>
      <c r="J12" s="147">
        <v>-50942</v>
      </c>
      <c r="K12" s="174"/>
      <c r="L12" s="171">
        <f t="shared" si="0"/>
        <v>-112135</v>
      </c>
      <c r="M12" s="149">
        <f t="shared" si="1"/>
        <v>-0.18689166666666668</v>
      </c>
      <c r="O12" s="134"/>
      <c r="P12" s="134"/>
    </row>
    <row r="13" spans="1:21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-4458</v>
      </c>
      <c r="I13" s="147">
        <v>-2649</v>
      </c>
      <c r="J13" s="147">
        <v>3000</v>
      </c>
      <c r="K13" s="174"/>
      <c r="L13" s="171">
        <f t="shared" si="0"/>
        <v>-4107</v>
      </c>
      <c r="M13" s="149">
        <f t="shared" si="1"/>
        <v>-4.1070000000000002E-2</v>
      </c>
      <c r="O13" s="134"/>
      <c r="P13" s="134"/>
    </row>
    <row r="14" spans="1:21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724</v>
      </c>
      <c r="I14" s="147">
        <v>0</v>
      </c>
      <c r="J14" s="147">
        <v>-3828</v>
      </c>
      <c r="K14" s="174"/>
      <c r="L14" s="171">
        <f t="shared" si="0"/>
        <v>-3104</v>
      </c>
      <c r="M14" s="149">
        <f t="shared" si="1"/>
        <v>-1.2415999999999998E-2</v>
      </c>
      <c r="O14" s="134"/>
      <c r="P14" s="134"/>
    </row>
    <row r="15" spans="1:21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-4897</v>
      </c>
      <c r="I15" s="147">
        <v>0</v>
      </c>
      <c r="J15" s="147">
        <v>-100</v>
      </c>
      <c r="K15" s="174"/>
      <c r="L15" s="171">
        <f t="shared" si="0"/>
        <v>-4997</v>
      </c>
      <c r="M15" s="149">
        <f t="shared" si="1"/>
        <v>-2.2713636363636359E-2</v>
      </c>
      <c r="O15" s="134"/>
      <c r="P15" s="193">
        <f>P8-P10</f>
        <v>-160783.812466</v>
      </c>
      <c r="S15" s="133">
        <v>116185</v>
      </c>
      <c r="U15" s="133">
        <f>S15+P15</f>
        <v>-44598.812466000003</v>
      </c>
    </row>
    <row r="16" spans="1:21" x14ac:dyDescent="0.25">
      <c r="A16" s="142" t="s">
        <v>43</v>
      </c>
      <c r="B16" s="141" t="s">
        <v>84</v>
      </c>
      <c r="C16" s="141" t="s">
        <v>85</v>
      </c>
      <c r="D16" s="142" t="s">
        <v>106</v>
      </c>
      <c r="E16" s="142" t="s">
        <v>107</v>
      </c>
      <c r="F16" s="157">
        <v>1</v>
      </c>
      <c r="G16" s="190"/>
      <c r="H16" s="147">
        <v>-11113</v>
      </c>
      <c r="I16" s="147">
        <v>-3245</v>
      </c>
      <c r="J16" s="147">
        <v>7937</v>
      </c>
      <c r="K16" s="174"/>
      <c r="L16" s="171">
        <f t="shared" si="0"/>
        <v>-6421</v>
      </c>
      <c r="M16" s="149">
        <f t="shared" si="1"/>
        <v>-6.4210000000000003E-2</v>
      </c>
    </row>
    <row r="17" spans="1:24" x14ac:dyDescent="0.25">
      <c r="A17" s="142" t="s">
        <v>24</v>
      </c>
      <c r="B17" s="141" t="s">
        <v>73</v>
      </c>
      <c r="C17" s="141" t="s">
        <v>58</v>
      </c>
      <c r="D17" s="142" t="s">
        <v>20</v>
      </c>
      <c r="E17" s="142" t="s">
        <v>256</v>
      </c>
      <c r="F17" s="156">
        <v>2.5</v>
      </c>
      <c r="G17" s="190"/>
      <c r="H17" s="147">
        <v>0</v>
      </c>
      <c r="I17" s="147">
        <v>0</v>
      </c>
      <c r="J17" s="147">
        <v>0</v>
      </c>
      <c r="K17" s="174"/>
      <c r="L17" s="171">
        <f t="shared" si="0"/>
        <v>0</v>
      </c>
      <c r="M17" s="149">
        <f t="shared" si="1"/>
        <v>0</v>
      </c>
      <c r="U17" s="133">
        <v>4000000</v>
      </c>
      <c r="V17" s="133">
        <f>U17*7/100</f>
        <v>280000</v>
      </c>
      <c r="X17" s="133">
        <f>15*12</f>
        <v>180</v>
      </c>
    </row>
    <row r="18" spans="1:24" x14ac:dyDescent="0.25">
      <c r="A18" s="142" t="s">
        <v>23</v>
      </c>
      <c r="B18" s="141" t="s">
        <v>74</v>
      </c>
      <c r="C18" s="141" t="s">
        <v>59</v>
      </c>
      <c r="D18" s="142" t="s">
        <v>3</v>
      </c>
      <c r="E18" s="142" t="s">
        <v>256</v>
      </c>
      <c r="F18" s="156">
        <v>4</v>
      </c>
      <c r="G18" s="190"/>
      <c r="H18" s="147">
        <v>0</v>
      </c>
      <c r="I18" s="147">
        <v>0</v>
      </c>
      <c r="J18" s="147">
        <v>0</v>
      </c>
      <c r="K18" s="174"/>
      <c r="L18" s="171">
        <f t="shared" si="0"/>
        <v>0</v>
      </c>
      <c r="M18" s="149">
        <f t="shared" si="1"/>
        <v>0</v>
      </c>
      <c r="V18" s="133">
        <f>V17/12</f>
        <v>23333.333333333332</v>
      </c>
    </row>
    <row r="19" spans="1:24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17500</v>
      </c>
      <c r="I19" s="147">
        <v>-31966</v>
      </c>
      <c r="J19" s="147">
        <v>17400</v>
      </c>
      <c r="K19" s="174"/>
      <c r="L19" s="171">
        <f t="shared" si="0"/>
        <v>2934</v>
      </c>
      <c r="M19" s="149">
        <f t="shared" si="1"/>
        <v>1.9560000000000001E-2</v>
      </c>
    </row>
    <row r="20" spans="1:24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9433</v>
      </c>
      <c r="I20" s="147">
        <v>0</v>
      </c>
      <c r="J20" s="147">
        <v>-11491</v>
      </c>
      <c r="K20" s="174"/>
      <c r="L20" s="171">
        <f t="shared" si="0"/>
        <v>-2058</v>
      </c>
      <c r="M20" s="149">
        <f t="shared" si="1"/>
        <v>-1.8709090909090908E-2</v>
      </c>
    </row>
    <row r="21" spans="1:24" x14ac:dyDescent="0.25">
      <c r="A21" s="142" t="s">
        <v>319</v>
      </c>
      <c r="B21" s="141" t="s">
        <v>318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4737</v>
      </c>
      <c r="I21" s="147">
        <v>-3466</v>
      </c>
      <c r="J21" s="147">
        <v>2500</v>
      </c>
      <c r="K21" s="174"/>
      <c r="L21" s="171">
        <f t="shared" si="0"/>
        <v>3771</v>
      </c>
      <c r="M21" s="149">
        <f t="shared" si="1"/>
        <v>0.15084</v>
      </c>
    </row>
    <row r="22" spans="1:24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-1048</v>
      </c>
      <c r="I22" s="147">
        <v>6953</v>
      </c>
      <c r="J22" s="147">
        <v>2574</v>
      </c>
      <c r="K22" s="174"/>
      <c r="L22" s="171">
        <f t="shared" si="0"/>
        <v>8479</v>
      </c>
      <c r="M22" s="149">
        <f t="shared" si="1"/>
        <v>4.2395000000000002E-2</v>
      </c>
    </row>
    <row r="23" spans="1:24" x14ac:dyDescent="0.25">
      <c r="A23" s="142" t="s">
        <v>317</v>
      </c>
      <c r="B23" s="141" t="s">
        <v>282</v>
      </c>
      <c r="C23" s="141" t="s">
        <v>17</v>
      </c>
      <c r="D23" s="142" t="s">
        <v>152</v>
      </c>
      <c r="E23" s="142" t="s">
        <v>256</v>
      </c>
      <c r="F23" s="156"/>
      <c r="G23" s="190"/>
      <c r="H23" s="147">
        <v>0</v>
      </c>
      <c r="I23" s="147">
        <v>0</v>
      </c>
      <c r="J23" s="147">
        <v>0</v>
      </c>
      <c r="K23" s="174"/>
      <c r="L23" s="171">
        <f t="shared" si="0"/>
        <v>0</v>
      </c>
      <c r="M23" s="149">
        <f t="shared" si="1"/>
        <v>0</v>
      </c>
    </row>
    <row r="24" spans="1:24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9208</v>
      </c>
      <c r="I24" s="147">
        <v>700</v>
      </c>
      <c r="J24" s="147">
        <v>6060</v>
      </c>
      <c r="K24" s="174"/>
      <c r="L24" s="171">
        <f t="shared" si="0"/>
        <v>15968</v>
      </c>
      <c r="M24" s="149">
        <f t="shared" si="1"/>
        <v>0.14516363636363636</v>
      </c>
    </row>
    <row r="25" spans="1:24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-244000</v>
      </c>
      <c r="I25" s="147">
        <v>-162700</v>
      </c>
      <c r="J25" s="147">
        <v>-200</v>
      </c>
      <c r="K25" s="174"/>
      <c r="L25" s="171">
        <f t="shared" si="0"/>
        <v>-406900</v>
      </c>
      <c r="M25" s="149">
        <f t="shared" si="1"/>
        <v>-1.7691304347826089</v>
      </c>
    </row>
    <row r="26" spans="1:24" x14ac:dyDescent="0.25">
      <c r="A26" s="142" t="s">
        <v>302</v>
      </c>
      <c r="B26" s="141" t="s">
        <v>297</v>
      </c>
      <c r="C26" s="141" t="s">
        <v>298</v>
      </c>
      <c r="D26" s="142"/>
      <c r="E26" s="142" t="s">
        <v>256</v>
      </c>
      <c r="F26" s="156">
        <v>0.2</v>
      </c>
      <c r="G26" s="191"/>
      <c r="H26" s="147">
        <v>1765</v>
      </c>
      <c r="I26" s="147">
        <v>2038</v>
      </c>
      <c r="J26" s="147">
        <v>1257</v>
      </c>
      <c r="K26" s="174"/>
      <c r="L26" s="171">
        <f t="shared" si="0"/>
        <v>5060</v>
      </c>
      <c r="M26" s="149">
        <f t="shared" si="1"/>
        <v>0.253</v>
      </c>
    </row>
    <row r="27" spans="1:24" x14ac:dyDescent="0.25">
      <c r="A27" s="142" t="s">
        <v>29</v>
      </c>
      <c r="B27" s="141" t="s">
        <v>22</v>
      </c>
      <c r="C27" s="141" t="s">
        <v>151</v>
      </c>
      <c r="D27" s="142" t="s">
        <v>5</v>
      </c>
      <c r="E27" s="142" t="s">
        <v>256</v>
      </c>
      <c r="F27" s="156">
        <v>5</v>
      </c>
      <c r="G27" s="191"/>
      <c r="H27" s="147">
        <v>39000</v>
      </c>
      <c r="I27" s="147">
        <v>0</v>
      </c>
      <c r="J27" s="147">
        <v>0</v>
      </c>
      <c r="K27" s="174"/>
      <c r="L27" s="171">
        <f t="shared" si="0"/>
        <v>39000</v>
      </c>
      <c r="M27" s="149">
        <f t="shared" si="1"/>
        <v>7.8E-2</v>
      </c>
    </row>
    <row r="28" spans="1:24" x14ac:dyDescent="0.25">
      <c r="A28" s="142" t="s">
        <v>28</v>
      </c>
      <c r="B28" s="141" t="s">
        <v>155</v>
      </c>
      <c r="C28" s="141" t="s">
        <v>121</v>
      </c>
      <c r="D28" s="142" t="s">
        <v>91</v>
      </c>
      <c r="E28" s="142" t="s">
        <v>256</v>
      </c>
      <c r="F28" s="156">
        <v>10</v>
      </c>
      <c r="G28" s="191"/>
      <c r="H28" s="147">
        <v>-9140</v>
      </c>
      <c r="I28" s="147">
        <v>-102505</v>
      </c>
      <c r="J28" s="147">
        <v>184400</v>
      </c>
      <c r="K28" s="174"/>
      <c r="L28" s="171">
        <f t="shared" si="0"/>
        <v>72755</v>
      </c>
      <c r="M28" s="149">
        <f t="shared" si="1"/>
        <v>7.2755E-2</v>
      </c>
    </row>
    <row r="29" spans="1:24" x14ac:dyDescent="0.25">
      <c r="A29" s="142" t="s">
        <v>65</v>
      </c>
      <c r="B29" s="141" t="s">
        <v>64</v>
      </c>
      <c r="C29" s="141" t="s">
        <v>7</v>
      </c>
      <c r="D29" s="142" t="s">
        <v>152</v>
      </c>
      <c r="E29" s="142" t="s">
        <v>256</v>
      </c>
      <c r="F29" s="156">
        <v>5</v>
      </c>
      <c r="G29" s="190"/>
      <c r="H29" s="147">
        <v>-455000</v>
      </c>
      <c r="I29" s="147">
        <v>0</v>
      </c>
      <c r="J29" s="147">
        <v>-20000</v>
      </c>
      <c r="K29" s="174"/>
      <c r="L29" s="171">
        <f t="shared" si="0"/>
        <v>-475000</v>
      </c>
      <c r="M29" s="149">
        <f t="shared" si="1"/>
        <v>-0.95</v>
      </c>
    </row>
    <row r="30" spans="1:24" x14ac:dyDescent="0.25">
      <c r="A30" s="141" t="s">
        <v>34</v>
      </c>
      <c r="B30" s="143" t="s">
        <v>18</v>
      </c>
      <c r="C30" s="141" t="s">
        <v>10</v>
      </c>
      <c r="D30" s="142" t="s">
        <v>152</v>
      </c>
      <c r="E30" s="142" t="s">
        <v>256</v>
      </c>
      <c r="F30" s="118">
        <v>5</v>
      </c>
      <c r="G30" s="197"/>
      <c r="H30" s="147">
        <v>-176663</v>
      </c>
      <c r="I30" s="147">
        <v>3891</v>
      </c>
      <c r="J30" s="147">
        <v>-135</v>
      </c>
      <c r="K30" s="174"/>
      <c r="L30" s="171">
        <f t="shared" si="0"/>
        <v>-172907</v>
      </c>
      <c r="M30" s="149">
        <f t="shared" si="1"/>
        <v>-0.34581400000000001</v>
      </c>
    </row>
    <row r="31" spans="1:24" x14ac:dyDescent="0.25">
      <c r="A31" s="141" t="s">
        <v>131</v>
      </c>
      <c r="B31" s="143" t="s">
        <v>130</v>
      </c>
      <c r="C31" s="141" t="s">
        <v>16</v>
      </c>
      <c r="D31" s="142" t="s">
        <v>262</v>
      </c>
      <c r="E31" s="142" t="s">
        <v>256</v>
      </c>
      <c r="F31" s="118">
        <v>0.5</v>
      </c>
      <c r="G31" s="197"/>
      <c r="H31" s="147">
        <v>-37540</v>
      </c>
      <c r="I31" s="147">
        <v>-42207</v>
      </c>
      <c r="J31" s="147">
        <v>-18371</v>
      </c>
      <c r="K31" s="174"/>
      <c r="L31" s="171">
        <f t="shared" ref="L31:L56" si="2">SUM(H31:K31)</f>
        <v>-98118</v>
      </c>
      <c r="M31" s="149">
        <f t="shared" ref="M31:M56" si="3">IFERROR(L31/F31*100,0)/10000000</f>
        <v>-1.9623600000000001</v>
      </c>
    </row>
    <row r="32" spans="1:24" x14ac:dyDescent="0.25">
      <c r="A32" s="43" t="s">
        <v>67</v>
      </c>
      <c r="B32" s="141" t="s">
        <v>154</v>
      </c>
      <c r="C32" s="141" t="s">
        <v>60</v>
      </c>
      <c r="D32" s="142" t="s">
        <v>4</v>
      </c>
      <c r="E32" s="142" t="s">
        <v>256</v>
      </c>
      <c r="F32" s="156">
        <v>0.4</v>
      </c>
      <c r="G32" s="191"/>
      <c r="H32" s="147">
        <v>0</v>
      </c>
      <c r="I32" s="147">
        <v>9510</v>
      </c>
      <c r="J32" s="147">
        <v>-924</v>
      </c>
      <c r="K32" s="174"/>
      <c r="L32" s="171">
        <f t="shared" si="2"/>
        <v>8586</v>
      </c>
      <c r="M32" s="149">
        <f t="shared" si="3"/>
        <v>0.21465000000000001</v>
      </c>
      <c r="P32" s="134"/>
    </row>
    <row r="33" spans="1:16" x14ac:dyDescent="0.25">
      <c r="A33" s="43" t="s">
        <v>143</v>
      </c>
      <c r="B33" s="141" t="s">
        <v>19</v>
      </c>
      <c r="C33" s="142" t="s">
        <v>251</v>
      </c>
      <c r="D33" s="142" t="s">
        <v>256</v>
      </c>
      <c r="E33" s="142" t="s">
        <v>284</v>
      </c>
      <c r="F33" s="156">
        <v>0.5</v>
      </c>
      <c r="G33" s="191"/>
      <c r="H33" s="147">
        <v>0</v>
      </c>
      <c r="I33" s="147">
        <v>0</v>
      </c>
      <c r="J33" s="147">
        <v>0</v>
      </c>
      <c r="K33" s="174"/>
      <c r="L33" s="171">
        <f t="shared" si="2"/>
        <v>0</v>
      </c>
      <c r="M33" s="149">
        <f t="shared" si="3"/>
        <v>0</v>
      </c>
      <c r="O33" s="5"/>
      <c r="P33" s="134">
        <v>6971</v>
      </c>
    </row>
    <row r="34" spans="1:16" x14ac:dyDescent="0.25">
      <c r="A34" s="43" t="s">
        <v>144</v>
      </c>
      <c r="B34" s="141" t="s">
        <v>19</v>
      </c>
      <c r="C34" s="142" t="s">
        <v>250</v>
      </c>
      <c r="D34" s="142" t="s">
        <v>256</v>
      </c>
      <c r="E34" s="142" t="s">
        <v>256</v>
      </c>
      <c r="F34" s="156">
        <v>0.5</v>
      </c>
      <c r="G34" s="191"/>
      <c r="H34" s="147">
        <v>0</v>
      </c>
      <c r="I34" s="147">
        <v>0</v>
      </c>
      <c r="J34" s="147">
        <v>0</v>
      </c>
      <c r="K34" s="174"/>
      <c r="L34" s="171">
        <f t="shared" si="2"/>
        <v>0</v>
      </c>
      <c r="M34" s="149">
        <f t="shared" si="3"/>
        <v>0</v>
      </c>
      <c r="O34" s="5"/>
      <c r="P34" s="134"/>
    </row>
    <row r="35" spans="1:16" x14ac:dyDescent="0.25">
      <c r="A35" s="142" t="s">
        <v>31</v>
      </c>
      <c r="B35" s="143" t="s">
        <v>153</v>
      </c>
      <c r="C35" s="142" t="s">
        <v>222</v>
      </c>
      <c r="D35" s="142" t="s">
        <v>263</v>
      </c>
      <c r="E35" s="142" t="s">
        <v>256</v>
      </c>
      <c r="F35" s="156">
        <v>4</v>
      </c>
      <c r="G35" s="191"/>
      <c r="H35" s="147">
        <v>-45755</v>
      </c>
      <c r="I35" s="147">
        <v>-88146</v>
      </c>
      <c r="J35" s="147">
        <v>49649</v>
      </c>
      <c r="K35" s="174"/>
      <c r="L35" s="171">
        <f t="shared" si="2"/>
        <v>-84252</v>
      </c>
      <c r="M35" s="149">
        <f t="shared" si="3"/>
        <v>-0.21063000000000001</v>
      </c>
      <c r="O35" s="134">
        <v>327210</v>
      </c>
      <c r="P35" s="134">
        <f>(O36+O35)/10000000*13780</f>
        <v>911.3967980000001</v>
      </c>
    </row>
    <row r="36" spans="1:16" x14ac:dyDescent="0.25">
      <c r="A36" s="142" t="s">
        <v>104</v>
      </c>
      <c r="B36" s="143" t="s">
        <v>105</v>
      </c>
      <c r="C36" s="142" t="s">
        <v>315</v>
      </c>
      <c r="D36" s="142" t="s">
        <v>106</v>
      </c>
      <c r="E36" s="142" t="s">
        <v>106</v>
      </c>
      <c r="F36" s="156">
        <v>1</v>
      </c>
      <c r="G36" s="191"/>
      <c r="H36" s="147">
        <v>-30970</v>
      </c>
      <c r="I36" s="147">
        <v>-23605</v>
      </c>
      <c r="J36" s="147">
        <v>47158</v>
      </c>
      <c r="K36" s="174"/>
      <c r="L36" s="171">
        <f t="shared" si="2"/>
        <v>-7417</v>
      </c>
      <c r="M36" s="149">
        <f t="shared" si="3"/>
        <v>-7.417E-2</v>
      </c>
      <c r="O36" s="134">
        <v>334181</v>
      </c>
      <c r="P36" s="134"/>
    </row>
    <row r="37" spans="1:16" x14ac:dyDescent="0.25">
      <c r="A37" s="142" t="s">
        <v>314</v>
      </c>
      <c r="B37" s="143" t="s">
        <v>105</v>
      </c>
      <c r="C37" s="142" t="s">
        <v>15</v>
      </c>
      <c r="D37" s="142" t="s">
        <v>256</v>
      </c>
      <c r="E37" s="142" t="s">
        <v>256</v>
      </c>
      <c r="F37" s="156"/>
      <c r="G37" s="191"/>
      <c r="H37" s="147">
        <v>0</v>
      </c>
      <c r="I37" s="147">
        <v>0</v>
      </c>
      <c r="J37" s="147">
        <v>0</v>
      </c>
      <c r="K37" s="174"/>
      <c r="L37" s="171">
        <f t="shared" si="2"/>
        <v>0</v>
      </c>
      <c r="M37" s="149">
        <f t="shared" si="3"/>
        <v>0</v>
      </c>
      <c r="O37" s="134"/>
      <c r="P37" s="134">
        <f>+P33-P35</f>
        <v>6059.6032020000002</v>
      </c>
    </row>
    <row r="38" spans="1:16" x14ac:dyDescent="0.25">
      <c r="A38" s="142" t="s">
        <v>229</v>
      </c>
      <c r="B38" s="143" t="s">
        <v>105</v>
      </c>
      <c r="C38" s="142" t="s">
        <v>218</v>
      </c>
      <c r="D38" s="142" t="s">
        <v>264</v>
      </c>
      <c r="E38" s="142" t="s">
        <v>256</v>
      </c>
      <c r="F38" s="156">
        <v>0.5</v>
      </c>
      <c r="G38" s="191"/>
      <c r="H38" s="147">
        <v>0</v>
      </c>
      <c r="I38" s="147">
        <v>-13160</v>
      </c>
      <c r="J38" s="147">
        <v>-15600</v>
      </c>
      <c r="K38" s="174"/>
      <c r="L38" s="171">
        <f t="shared" si="2"/>
        <v>-28760</v>
      </c>
      <c r="M38" s="149">
        <f t="shared" si="3"/>
        <v>-0.57520000000000004</v>
      </c>
      <c r="O38" s="134"/>
      <c r="P38" s="134"/>
    </row>
    <row r="39" spans="1:16" x14ac:dyDescent="0.25">
      <c r="A39" s="142" t="s">
        <v>52</v>
      </c>
      <c r="B39" s="143" t="s">
        <v>115</v>
      </c>
      <c r="C39" s="142" t="s">
        <v>219</v>
      </c>
      <c r="D39" s="142" t="s">
        <v>265</v>
      </c>
      <c r="E39" s="142" t="s">
        <v>256</v>
      </c>
      <c r="F39" s="156">
        <v>3</v>
      </c>
      <c r="G39" s="191"/>
      <c r="H39" s="147">
        <v>0</v>
      </c>
      <c r="I39" s="147">
        <v>0</v>
      </c>
      <c r="J39" s="147">
        <v>0</v>
      </c>
      <c r="K39" s="174"/>
      <c r="L39" s="171">
        <f t="shared" si="2"/>
        <v>0</v>
      </c>
      <c r="M39" s="149">
        <f t="shared" si="3"/>
        <v>0</v>
      </c>
      <c r="O39" s="134"/>
      <c r="P39" s="134"/>
    </row>
    <row r="40" spans="1:16" ht="16.5" customHeight="1" x14ac:dyDescent="0.25">
      <c r="A40" s="142" t="s">
        <v>45</v>
      </c>
      <c r="B40" s="143" t="s">
        <v>98</v>
      </c>
      <c r="C40" s="142" t="s">
        <v>220</v>
      </c>
      <c r="D40" s="142" t="s">
        <v>266</v>
      </c>
      <c r="E40" s="142" t="s">
        <v>256</v>
      </c>
      <c r="F40" s="156">
        <v>3</v>
      </c>
      <c r="G40" s="191"/>
      <c r="H40" s="147">
        <v>-71306</v>
      </c>
      <c r="I40" s="147">
        <v>12600</v>
      </c>
      <c r="J40" s="147">
        <v>2300</v>
      </c>
      <c r="K40" s="174"/>
      <c r="L40" s="171">
        <f t="shared" si="2"/>
        <v>-56406</v>
      </c>
      <c r="M40" s="149">
        <f t="shared" si="3"/>
        <v>-0.18801999999999999</v>
      </c>
      <c r="O40" s="134"/>
      <c r="P40" s="134"/>
    </row>
    <row r="41" spans="1:16" x14ac:dyDescent="0.25">
      <c r="A41" s="142" t="s">
        <v>292</v>
      </c>
      <c r="B41" s="143" t="s">
        <v>291</v>
      </c>
      <c r="C41" s="142" t="s">
        <v>293</v>
      </c>
      <c r="D41" s="142"/>
      <c r="E41" s="142" t="s">
        <v>256</v>
      </c>
      <c r="F41" s="156">
        <v>0.1</v>
      </c>
      <c r="G41" s="191"/>
      <c r="H41" s="147">
        <v>30690</v>
      </c>
      <c r="I41" s="147">
        <v>-9266</v>
      </c>
      <c r="J41" s="147">
        <v>-1079</v>
      </c>
      <c r="K41" s="174"/>
      <c r="L41" s="171">
        <f t="shared" si="2"/>
        <v>20345</v>
      </c>
      <c r="M41" s="149">
        <f t="shared" si="3"/>
        <v>2.0345</v>
      </c>
      <c r="O41" s="134"/>
    </row>
    <row r="42" spans="1:16" x14ac:dyDescent="0.25">
      <c r="A42" s="142" t="s">
        <v>132</v>
      </c>
      <c r="B42" s="143" t="s">
        <v>129</v>
      </c>
      <c r="C42" s="142" t="s">
        <v>307</v>
      </c>
      <c r="D42" s="142" t="s">
        <v>267</v>
      </c>
      <c r="E42" s="142" t="s">
        <v>256</v>
      </c>
      <c r="F42" s="156">
        <v>0.5</v>
      </c>
      <c r="G42" s="191"/>
      <c r="H42" s="147">
        <v>0</v>
      </c>
      <c r="I42" s="147">
        <v>-3990</v>
      </c>
      <c r="J42" s="147">
        <v>6275</v>
      </c>
      <c r="K42" s="174"/>
      <c r="L42" s="171">
        <f t="shared" si="2"/>
        <v>2285</v>
      </c>
      <c r="M42" s="149">
        <f t="shared" si="3"/>
        <v>4.5699999999999998E-2</v>
      </c>
    </row>
    <row r="43" spans="1:16" x14ac:dyDescent="0.25">
      <c r="A43" s="142" t="s">
        <v>48</v>
      </c>
      <c r="B43" s="141" t="s">
        <v>95</v>
      </c>
      <c r="C43" s="142" t="s">
        <v>228</v>
      </c>
      <c r="D43" s="142" t="s">
        <v>107</v>
      </c>
      <c r="E43" s="142" t="s">
        <v>107</v>
      </c>
      <c r="F43" s="156">
        <v>1</v>
      </c>
      <c r="G43" s="191"/>
      <c r="H43" s="147">
        <v>-49700</v>
      </c>
      <c r="I43" s="147">
        <v>-66367</v>
      </c>
      <c r="J43" s="147">
        <v>80500</v>
      </c>
      <c r="K43" s="174"/>
      <c r="L43" s="171">
        <f t="shared" si="2"/>
        <v>-35567</v>
      </c>
      <c r="M43" s="149">
        <f t="shared" si="3"/>
        <v>-0.35566999999999999</v>
      </c>
    </row>
    <row r="44" spans="1:16" x14ac:dyDescent="0.25">
      <c r="A44" s="142" t="s">
        <v>301</v>
      </c>
      <c r="B44" s="141" t="s">
        <v>295</v>
      </c>
      <c r="C44" s="163" t="s">
        <v>296</v>
      </c>
      <c r="D44" s="163"/>
      <c r="E44" s="163" t="s">
        <v>256</v>
      </c>
      <c r="F44" s="164">
        <v>0.1</v>
      </c>
      <c r="G44" s="191"/>
      <c r="H44" s="147">
        <v>7256</v>
      </c>
      <c r="I44" s="147">
        <v>-4040</v>
      </c>
      <c r="J44" s="147">
        <v>3264</v>
      </c>
      <c r="K44" s="174"/>
      <c r="L44" s="171">
        <f t="shared" si="2"/>
        <v>6480</v>
      </c>
      <c r="M44" s="149">
        <f t="shared" si="3"/>
        <v>0.64800000000000002</v>
      </c>
    </row>
    <row r="45" spans="1:16" x14ac:dyDescent="0.25">
      <c r="A45" s="143" t="s">
        <v>168</v>
      </c>
      <c r="B45" s="141" t="s">
        <v>169</v>
      </c>
      <c r="C45" s="59" t="s">
        <v>252</v>
      </c>
      <c r="D45" s="163" t="s">
        <v>253</v>
      </c>
      <c r="E45" s="163" t="s">
        <v>253</v>
      </c>
      <c r="F45" s="114">
        <v>4</v>
      </c>
      <c r="G45" s="191"/>
      <c r="H45" s="147">
        <v>0</v>
      </c>
      <c r="I45" s="147">
        <v>5133</v>
      </c>
      <c r="J45" s="147">
        <v>-161258</v>
      </c>
      <c r="K45" s="174"/>
      <c r="L45" s="171">
        <f t="shared" si="2"/>
        <v>-156125</v>
      </c>
      <c r="M45" s="149">
        <f t="shared" si="3"/>
        <v>-0.39031250000000001</v>
      </c>
    </row>
    <row r="46" spans="1:16" x14ac:dyDescent="0.25">
      <c r="A46" s="143" t="s">
        <v>202</v>
      </c>
      <c r="B46" s="141" t="s">
        <v>169</v>
      </c>
      <c r="C46" s="59" t="s">
        <v>252</v>
      </c>
      <c r="D46" s="163" t="s">
        <v>116</v>
      </c>
      <c r="E46" s="163" t="s">
        <v>256</v>
      </c>
      <c r="F46" s="114">
        <v>4</v>
      </c>
      <c r="G46" s="191"/>
      <c r="H46" s="147">
        <v>27000</v>
      </c>
      <c r="I46" s="147">
        <v>-1041</v>
      </c>
      <c r="J46" s="147">
        <v>5300</v>
      </c>
      <c r="K46" s="174"/>
      <c r="L46" s="171">
        <f t="shared" si="2"/>
        <v>31259</v>
      </c>
      <c r="M46" s="149">
        <f t="shared" si="3"/>
        <v>7.8147499999999995E-2</v>
      </c>
    </row>
    <row r="47" spans="1:16" x14ac:dyDescent="0.25">
      <c r="A47" s="143" t="s">
        <v>33</v>
      </c>
      <c r="B47" s="141" t="s">
        <v>14</v>
      </c>
      <c r="C47" s="143" t="s">
        <v>13</v>
      </c>
      <c r="D47" s="141" t="s">
        <v>14</v>
      </c>
      <c r="E47" s="141" t="s">
        <v>256</v>
      </c>
      <c r="F47" s="118">
        <v>3</v>
      </c>
      <c r="G47" s="197"/>
      <c r="H47" s="147">
        <v>15088</v>
      </c>
      <c r="I47" s="147">
        <v>-61960</v>
      </c>
      <c r="J47" s="147">
        <v>79536</v>
      </c>
      <c r="K47" s="174"/>
      <c r="L47" s="171">
        <f t="shared" si="2"/>
        <v>32664</v>
      </c>
      <c r="M47" s="149">
        <f t="shared" si="3"/>
        <v>0.10888</v>
      </c>
    </row>
    <row r="48" spans="1:16" x14ac:dyDescent="0.25">
      <c r="A48" s="59" t="s">
        <v>306</v>
      </c>
      <c r="B48" s="62" t="s">
        <v>304</v>
      </c>
      <c r="C48" s="59" t="s">
        <v>308</v>
      </c>
      <c r="D48" s="141"/>
      <c r="E48" s="141" t="s">
        <v>256</v>
      </c>
      <c r="F48" s="114">
        <v>10</v>
      </c>
      <c r="G48" s="23"/>
      <c r="H48" s="151">
        <v>-405100</v>
      </c>
      <c r="I48" s="151">
        <v>64400</v>
      </c>
      <c r="J48" s="151">
        <v>-30800</v>
      </c>
      <c r="K48" s="174"/>
      <c r="L48" s="171">
        <f t="shared" si="2"/>
        <v>-371500</v>
      </c>
      <c r="M48" s="149">
        <f t="shared" si="3"/>
        <v>-0.3715</v>
      </c>
    </row>
    <row r="49" spans="1:17" x14ac:dyDescent="0.25">
      <c r="A49" s="59" t="s">
        <v>320</v>
      </c>
      <c r="B49" s="62" t="s">
        <v>304</v>
      </c>
      <c r="C49" s="59" t="s">
        <v>274</v>
      </c>
      <c r="D49" s="141"/>
      <c r="E49" s="141" t="s">
        <v>256</v>
      </c>
      <c r="F49" s="114"/>
      <c r="G49" s="23"/>
      <c r="H49" s="151">
        <v>0</v>
      </c>
      <c r="I49" s="151">
        <v>0</v>
      </c>
      <c r="J49" s="151">
        <v>0</v>
      </c>
      <c r="K49" s="174"/>
      <c r="L49" s="171">
        <f t="shared" si="2"/>
        <v>0</v>
      </c>
      <c r="M49" s="149">
        <f t="shared" si="3"/>
        <v>0</v>
      </c>
    </row>
    <row r="50" spans="1:17" x14ac:dyDescent="0.25">
      <c r="A50" s="59" t="s">
        <v>197</v>
      </c>
      <c r="B50" s="62" t="s">
        <v>195</v>
      </c>
      <c r="C50" s="59" t="s">
        <v>196</v>
      </c>
      <c r="D50" s="142" t="s">
        <v>268</v>
      </c>
      <c r="E50" s="163" t="s">
        <v>256</v>
      </c>
      <c r="F50" s="114">
        <v>0.5</v>
      </c>
      <c r="G50" s="23"/>
      <c r="H50" s="151">
        <v>12773</v>
      </c>
      <c r="I50" s="151">
        <v>1824</v>
      </c>
      <c r="J50" s="151">
        <v>335</v>
      </c>
      <c r="K50" s="174"/>
      <c r="L50" s="171">
        <f t="shared" si="2"/>
        <v>14932</v>
      </c>
      <c r="M50" s="149">
        <f t="shared" si="3"/>
        <v>0.29864000000000002</v>
      </c>
    </row>
    <row r="51" spans="1:17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1">
        <v>-152273</v>
      </c>
      <c r="I51" s="151">
        <v>0</v>
      </c>
      <c r="J51" s="151">
        <v>0</v>
      </c>
      <c r="K51" s="174"/>
      <c r="L51" s="171">
        <f t="shared" si="2"/>
        <v>-152273</v>
      </c>
      <c r="M51" s="149">
        <f t="shared" si="3"/>
        <v>-0.23426615384615385</v>
      </c>
    </row>
    <row r="52" spans="1:17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1">
        <v>31488</v>
      </c>
      <c r="I52" s="151">
        <v>-28440</v>
      </c>
      <c r="J52" s="151">
        <v>-160784</v>
      </c>
      <c r="K52" s="174"/>
      <c r="L52" s="171">
        <f t="shared" si="2"/>
        <v>-157736</v>
      </c>
      <c r="M52" s="149">
        <f t="shared" si="3"/>
        <v>-1.2618879999999999</v>
      </c>
    </row>
    <row r="53" spans="1:17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1">
        <v>-121091</v>
      </c>
      <c r="I53" s="151">
        <v>0</v>
      </c>
      <c r="J53" s="151">
        <v>14450</v>
      </c>
      <c r="K53" s="174"/>
      <c r="L53" s="171">
        <f t="shared" si="2"/>
        <v>-106641</v>
      </c>
      <c r="M53" s="149">
        <f t="shared" si="3"/>
        <v>-0.35547000000000001</v>
      </c>
    </row>
    <row r="54" spans="1:17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1">
        <v>-14700</v>
      </c>
      <c r="I54" s="151">
        <v>9455</v>
      </c>
      <c r="J54" s="151">
        <v>13380</v>
      </c>
      <c r="K54" s="174"/>
      <c r="L54" s="171">
        <f t="shared" si="2"/>
        <v>8135</v>
      </c>
      <c r="M54" s="149">
        <f t="shared" si="3"/>
        <v>5.4233333333333328E-2</v>
      </c>
    </row>
    <row r="55" spans="1:17" ht="16.5" customHeight="1" thickBot="1" x14ac:dyDescent="0.3">
      <c r="A55" s="59" t="s">
        <v>288</v>
      </c>
      <c r="B55" s="59" t="s">
        <v>286</v>
      </c>
      <c r="C55" s="59" t="s">
        <v>285</v>
      </c>
      <c r="D55" s="59"/>
      <c r="E55" s="59" t="s">
        <v>256</v>
      </c>
      <c r="F55" s="114">
        <v>5</v>
      </c>
      <c r="G55" s="23"/>
      <c r="H55" s="151">
        <v>-34030</v>
      </c>
      <c r="I55" s="151">
        <v>32229</v>
      </c>
      <c r="J55" s="151">
        <v>43947</v>
      </c>
      <c r="K55" s="174"/>
      <c r="L55" s="171">
        <f t="shared" si="2"/>
        <v>42146</v>
      </c>
      <c r="M55" s="149">
        <f t="shared" si="3"/>
        <v>8.4292000000000006E-2</v>
      </c>
    </row>
    <row r="56" spans="1:17" ht="15.75" thickBot="1" x14ac:dyDescent="0.3">
      <c r="A56" s="24"/>
      <c r="B56" s="25"/>
      <c r="C56" s="26"/>
      <c r="D56" s="24"/>
      <c r="E56" s="24"/>
      <c r="F56" s="115"/>
      <c r="G56" s="16"/>
      <c r="H56" s="254">
        <f>SUM(H4:H55)</f>
        <v>-2118400</v>
      </c>
      <c r="I56" s="254">
        <f>SUM(I4:I55)</f>
        <v>-531590</v>
      </c>
      <c r="J56" s="254">
        <f>SUM(J4:J55)</f>
        <v>141562</v>
      </c>
      <c r="K56" s="254">
        <f>SUM(K4:K55)</f>
        <v>0</v>
      </c>
      <c r="L56" s="254">
        <f t="shared" si="2"/>
        <v>-2508428</v>
      </c>
      <c r="M56" s="255">
        <f t="shared" si="3"/>
        <v>0</v>
      </c>
    </row>
    <row r="57" spans="1:17" s="249" customFormat="1" ht="15.75" thickBot="1" x14ac:dyDescent="0.3">
      <c r="A57" s="250"/>
      <c r="B57" s="250"/>
      <c r="C57" s="250"/>
      <c r="D57" s="250"/>
      <c r="E57" s="250"/>
      <c r="F57" s="251"/>
      <c r="G57" s="250"/>
      <c r="H57" s="250"/>
      <c r="I57" s="250"/>
      <c r="J57" s="250"/>
      <c r="K57" s="250"/>
      <c r="L57" s="250"/>
      <c r="M57" s="252"/>
    </row>
    <row r="58" spans="1:17" x14ac:dyDescent="0.25">
      <c r="A58" s="202" t="s">
        <v>241</v>
      </c>
      <c r="B58" s="203" t="s">
        <v>240</v>
      </c>
      <c r="C58" s="203" t="s">
        <v>57</v>
      </c>
      <c r="D58" s="203" t="s">
        <v>87</v>
      </c>
      <c r="E58" s="203" t="s">
        <v>256</v>
      </c>
      <c r="F58" s="204">
        <v>3</v>
      </c>
      <c r="G58" s="205"/>
      <c r="H58" s="162">
        <v>-370080</v>
      </c>
      <c r="I58" s="162">
        <v>0</v>
      </c>
      <c r="J58" s="162">
        <v>-17480</v>
      </c>
      <c r="K58" s="246"/>
      <c r="L58" s="247">
        <f>SUM(H58:K58)</f>
        <v>-387560</v>
      </c>
      <c r="M58" s="248">
        <f>IFERROR(L58/F58*100,0)/10000000</f>
        <v>-1.2918666666666667</v>
      </c>
      <c r="P58" s="134"/>
    </row>
    <row r="59" spans="1:17" ht="15.75" thickBot="1" x14ac:dyDescent="0.3">
      <c r="A59" s="202" t="s">
        <v>273</v>
      </c>
      <c r="B59" s="203" t="s">
        <v>272</v>
      </c>
      <c r="C59" s="203" t="s">
        <v>57</v>
      </c>
      <c r="D59" s="203" t="s">
        <v>87</v>
      </c>
      <c r="E59" s="203" t="s">
        <v>256</v>
      </c>
      <c r="F59" s="204"/>
      <c r="G59" s="205"/>
      <c r="H59" s="162">
        <v>-246000</v>
      </c>
      <c r="I59" s="162">
        <v>0</v>
      </c>
      <c r="J59" s="162">
        <v>0</v>
      </c>
      <c r="K59" s="174"/>
      <c r="L59" s="171">
        <f>SUM(H59:K59)</f>
        <v>-246000</v>
      </c>
      <c r="M59" s="149">
        <f>IFERROR(L59/F59*100,0)/10000000</f>
        <v>0</v>
      </c>
      <c r="O59" s="134"/>
    </row>
    <row r="60" spans="1:17" ht="15.75" thickBot="1" x14ac:dyDescent="0.3">
      <c r="A60" s="200"/>
      <c r="B60" s="16"/>
      <c r="C60" s="16"/>
      <c r="D60" s="16"/>
      <c r="E60" s="16"/>
      <c r="F60" s="74"/>
      <c r="G60" s="17"/>
      <c r="H60" s="170">
        <f>SUM(H58:H59)</f>
        <v>-616080</v>
      </c>
      <c r="I60" s="170">
        <f>SUM(I58:I59)</f>
        <v>0</v>
      </c>
      <c r="J60" s="170">
        <f>SUM(J58:J59)</f>
        <v>-17480</v>
      </c>
      <c r="K60" s="170">
        <f>SUM(K58:K59)</f>
        <v>0</v>
      </c>
      <c r="L60" s="254">
        <f>SUM(H60:K60)</f>
        <v>-633560</v>
      </c>
      <c r="M60" s="19"/>
      <c r="O60" s="5"/>
      <c r="P60" s="134"/>
      <c r="Q60" s="237"/>
    </row>
    <row r="61" spans="1:17" x14ac:dyDescent="0.25">
      <c r="O61" s="134"/>
      <c r="P61" s="134"/>
      <c r="Q61" s="237"/>
    </row>
    <row r="62" spans="1:17" x14ac:dyDescent="0.25">
      <c r="O62" s="134"/>
      <c r="P62" s="134"/>
      <c r="Q62" s="237"/>
    </row>
    <row r="63" spans="1:17" x14ac:dyDescent="0.25">
      <c r="O63" s="134"/>
      <c r="P63" s="134"/>
      <c r="Q63" s="237"/>
    </row>
    <row r="64" spans="1:17" x14ac:dyDescent="0.25">
      <c r="O64" s="134"/>
      <c r="P64" s="134"/>
      <c r="Q64" s="237"/>
    </row>
    <row r="65" spans="15:17" x14ac:dyDescent="0.25">
      <c r="O65" s="134"/>
      <c r="P65" s="237"/>
      <c r="Q65" s="237"/>
    </row>
    <row r="66" spans="15:17" x14ac:dyDescent="0.25">
      <c r="O66" s="237"/>
      <c r="P66" s="237"/>
      <c r="Q66" s="237"/>
    </row>
  </sheetData>
  <conditionalFormatting sqref="G2 A3:G3 M56:M57 L55:M55 M60 L43:M43 L5:M10 L24:M25 H2:M3 A58:M59 A37:L37 M11:M21 L11:L22 L45:M53 L27:L36 M27:M35 A4:K36 L38:L41 A38:K39 G40:K40 A41:K56 A60:K60">
    <cfRule type="expression" dxfId="449" priority="21">
      <formula>MOD(ROW(),2)=0</formula>
    </cfRule>
  </conditionalFormatting>
  <conditionalFormatting sqref="M36">
    <cfRule type="expression" dxfId="448" priority="20">
      <formula>MOD(ROW(),2)=0</formula>
    </cfRule>
  </conditionalFormatting>
  <conditionalFormatting sqref="M39:M40">
    <cfRule type="expression" dxfId="447" priority="19">
      <formula>MOD(ROW(),2)=0</formula>
    </cfRule>
  </conditionalFormatting>
  <conditionalFormatting sqref="L4:M4">
    <cfRule type="expression" dxfId="446" priority="18">
      <formula>MOD(ROW(),2)=0</formula>
    </cfRule>
  </conditionalFormatting>
  <conditionalFormatting sqref="M38">
    <cfRule type="expression" dxfId="445" priority="17">
      <formula>MOD(ROW(),2)=0</formula>
    </cfRule>
  </conditionalFormatting>
  <conditionalFormatting sqref="M22">
    <cfRule type="expression" dxfId="444" priority="14">
      <formula>MOD(ROW(),2)=0</formula>
    </cfRule>
  </conditionalFormatting>
  <conditionalFormatting sqref="L56">
    <cfRule type="expression" dxfId="443" priority="13">
      <formula>MOD(ROW(),2)=0</formula>
    </cfRule>
  </conditionalFormatting>
  <conditionalFormatting sqref="M41">
    <cfRule type="expression" dxfId="442" priority="12">
      <formula>MOD(ROW(),2)=0</formula>
    </cfRule>
  </conditionalFormatting>
  <conditionalFormatting sqref="L26:M26">
    <cfRule type="expression" dxfId="441" priority="11">
      <formula>MOD(ROW(),2)=0</formula>
    </cfRule>
  </conditionalFormatting>
  <conditionalFormatting sqref="L54:M54">
    <cfRule type="expression" dxfId="440" priority="10">
      <formula>MOD(ROW(),2)=0</formula>
    </cfRule>
  </conditionalFormatting>
  <conditionalFormatting sqref="L44:M44">
    <cfRule type="expression" dxfId="439" priority="9">
      <formula>MOD(ROW(),2)=0</formula>
    </cfRule>
  </conditionalFormatting>
  <conditionalFormatting sqref="L60">
    <cfRule type="expression" dxfId="438" priority="8">
      <formula>MOD(ROW(),2)=0</formula>
    </cfRule>
  </conditionalFormatting>
  <conditionalFormatting sqref="L42:M42">
    <cfRule type="expression" dxfId="437" priority="6">
      <formula>MOD(ROW(),2)=0</formula>
    </cfRule>
  </conditionalFormatting>
  <conditionalFormatting sqref="L23">
    <cfRule type="expression" dxfId="436" priority="5">
      <formula>MOD(ROW(),2)=0</formula>
    </cfRule>
  </conditionalFormatting>
  <conditionalFormatting sqref="M23">
    <cfRule type="expression" dxfId="435" priority="4">
      <formula>MOD(ROW(),2)=0</formula>
    </cfRule>
  </conditionalFormatting>
  <conditionalFormatting sqref="M37">
    <cfRule type="expression" dxfId="434" priority="2">
      <formula>MOD(ROW(),2)=0</formula>
    </cfRule>
  </conditionalFormatting>
  <conditionalFormatting sqref="A40:F40">
    <cfRule type="expression" dxfId="433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T77" sqref="T77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hidden="1" customWidth="1" outlineLevel="1"/>
    <col min="20" max="23" width="11.28515625" style="133" customWidth="1" outlineLevel="1"/>
    <col min="24" max="24" width="11.42578125" style="133" customWidth="1" outlineLevel="1"/>
    <col min="25" max="27" width="11.28515625" style="133" customWidth="1" outlineLevel="1"/>
    <col min="28" max="28" width="11.28515625" style="133" customWidth="1"/>
    <col min="29" max="29" width="10.42578125" style="133" customWidth="1" outlineLevel="1"/>
    <col min="30" max="30" width="10.7109375" style="133" customWidth="1" outlineLevel="1"/>
    <col min="31" max="36" width="9.140625" style="133"/>
    <col min="37" max="37" width="14.140625" style="133" customWidth="1"/>
    <col min="38" max="38" width="12" style="133" customWidth="1"/>
    <col min="39" max="39" width="15.85546875" style="133" customWidth="1"/>
    <col min="40" max="16384" width="9.140625" style="133"/>
  </cols>
  <sheetData>
    <row r="1" spans="1:38" ht="15.75" thickBot="1" x14ac:dyDescent="0.3"/>
    <row r="2" spans="1:38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256">
        <v>46253</v>
      </c>
      <c r="U2" s="256">
        <v>46254</v>
      </c>
      <c r="V2" s="256">
        <v>46255</v>
      </c>
      <c r="W2" s="256">
        <v>46258</v>
      </c>
      <c r="X2" s="256">
        <v>46259</v>
      </c>
      <c r="Y2" s="256">
        <v>46260</v>
      </c>
      <c r="Z2" s="256">
        <v>46261</v>
      </c>
      <c r="AA2" s="256">
        <v>46262</v>
      </c>
      <c r="AB2" s="183">
        <v>46265</v>
      </c>
      <c r="AC2" s="184" t="s">
        <v>278</v>
      </c>
      <c r="AD2" s="185" t="s">
        <v>279</v>
      </c>
    </row>
    <row r="3" spans="1:38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235</v>
      </c>
      <c r="AB3" s="180" t="s">
        <v>234</v>
      </c>
      <c r="AC3" s="189"/>
      <c r="AD3" s="180"/>
      <c r="AK3" s="133" t="s">
        <v>198</v>
      </c>
      <c r="AL3" s="133">
        <v>13780</v>
      </c>
    </row>
    <row r="4" spans="1:38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158">
        <v>3440</v>
      </c>
      <c r="U4" s="158">
        <v>6067</v>
      </c>
      <c r="V4" s="158">
        <v>-900</v>
      </c>
      <c r="W4" s="158">
        <v>7781</v>
      </c>
      <c r="X4" s="158">
        <v>8613</v>
      </c>
      <c r="Y4" s="158">
        <v>-18306</v>
      </c>
      <c r="Z4" s="158">
        <v>16880</v>
      </c>
      <c r="AA4" s="158">
        <v>0</v>
      </c>
      <c r="AB4" s="211">
        <v>-18400</v>
      </c>
      <c r="AC4" s="171">
        <f t="shared" ref="AC4:AC38" si="0">SUM(H4:AB4)</f>
        <v>-10403</v>
      </c>
      <c r="AD4" s="149">
        <f t="shared" ref="AD4:AD38" si="1">IFERROR(AC4/F4*100,0)/10000000</f>
        <v>-0.20805999999999999</v>
      </c>
      <c r="AK4" s="133" t="s">
        <v>170</v>
      </c>
      <c r="AL4" s="133">
        <v>2865</v>
      </c>
    </row>
    <row r="5" spans="1:38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47">
        <v>0</v>
      </c>
      <c r="U5" s="147">
        <v>0</v>
      </c>
      <c r="V5" s="147">
        <v>0</v>
      </c>
      <c r="W5" s="147">
        <v>60181</v>
      </c>
      <c r="X5" s="147">
        <v>0</v>
      </c>
      <c r="Y5" s="147">
        <v>0</v>
      </c>
      <c r="Z5" s="147">
        <v>0</v>
      </c>
      <c r="AA5" s="147">
        <v>-19847</v>
      </c>
      <c r="AB5" s="174">
        <v>-128671</v>
      </c>
      <c r="AC5" s="171">
        <f t="shared" si="0"/>
        <v>-381777</v>
      </c>
      <c r="AD5" s="149">
        <f t="shared" si="1"/>
        <v>-1.2725900000000001</v>
      </c>
    </row>
    <row r="6" spans="1:38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>
        <v>0</v>
      </c>
      <c r="U6" s="147">
        <v>0</v>
      </c>
      <c r="V6" s="147">
        <v>0</v>
      </c>
      <c r="W6" s="147">
        <v>116185</v>
      </c>
      <c r="X6" s="147">
        <v>0</v>
      </c>
      <c r="Y6" s="147">
        <v>0</v>
      </c>
      <c r="Z6" s="147">
        <v>0</v>
      </c>
      <c r="AA6" s="147">
        <v>0</v>
      </c>
      <c r="AB6" s="174">
        <v>0</v>
      </c>
      <c r="AC6" s="171">
        <f t="shared" ref="AC6" si="2">SUM(H6:AB6)</f>
        <v>116185</v>
      </c>
      <c r="AD6" s="149">
        <f t="shared" ref="AD6" si="3">IFERROR(AC6/F6*100,0)/10000000</f>
        <v>1.16185</v>
      </c>
    </row>
    <row r="7" spans="1:38" x14ac:dyDescent="0.25">
      <c r="A7" s="142"/>
      <c r="B7" s="141" t="s">
        <v>309</v>
      </c>
      <c r="C7" s="141" t="s">
        <v>312</v>
      </c>
      <c r="D7" s="160" t="s">
        <v>311</v>
      </c>
      <c r="E7" s="160"/>
      <c r="F7" s="156"/>
      <c r="G7" s="191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>
        <v>0</v>
      </c>
      <c r="U7" s="147">
        <v>-15824</v>
      </c>
      <c r="V7" s="147">
        <v>5434</v>
      </c>
      <c r="W7" s="147">
        <v>-6200</v>
      </c>
      <c r="X7" s="147">
        <v>8600</v>
      </c>
      <c r="Y7" s="147">
        <v>0</v>
      </c>
      <c r="Z7" s="147">
        <v>0</v>
      </c>
      <c r="AA7" s="147">
        <v>0</v>
      </c>
      <c r="AB7" s="174">
        <v>-21000</v>
      </c>
      <c r="AC7" s="171">
        <f t="shared" ref="AC7" si="4">SUM(H7:AB7)</f>
        <v>-28990</v>
      </c>
      <c r="AD7" s="149">
        <f t="shared" ref="AD7" si="5">IFERROR(AC7/F7*100,0)/10000000</f>
        <v>0</v>
      </c>
    </row>
    <row r="8" spans="1:38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84118</v>
      </c>
      <c r="I8" s="147">
        <v>-67845</v>
      </c>
      <c r="J8" s="147">
        <v>-2231</v>
      </c>
      <c r="K8" s="147">
        <v>-181591</v>
      </c>
      <c r="L8" s="147">
        <v>12214</v>
      </c>
      <c r="M8" s="147">
        <v>88446</v>
      </c>
      <c r="N8" s="147">
        <v>-44038</v>
      </c>
      <c r="O8" s="147">
        <v>-41301</v>
      </c>
      <c r="P8" s="147">
        <v>-22826</v>
      </c>
      <c r="Q8" s="147">
        <v>-167661</v>
      </c>
      <c r="R8" s="147">
        <v>117900</v>
      </c>
      <c r="S8" s="147">
        <v>-13808</v>
      </c>
      <c r="T8" s="147">
        <v>-92719</v>
      </c>
      <c r="U8" s="147">
        <v>26857</v>
      </c>
      <c r="V8" s="147">
        <v>-106380</v>
      </c>
      <c r="W8" s="147">
        <v>50050</v>
      </c>
      <c r="X8" s="147">
        <v>-149000</v>
      </c>
      <c r="Y8" s="147">
        <v>-36843</v>
      </c>
      <c r="Z8" s="147">
        <v>50493</v>
      </c>
      <c r="AA8" s="147">
        <v>29950</v>
      </c>
      <c r="AB8" s="174">
        <v>-28620</v>
      </c>
      <c r="AC8" s="171">
        <f t="shared" si="0"/>
        <v>-494835</v>
      </c>
      <c r="AD8" s="149">
        <f t="shared" si="1"/>
        <v>-1.6494500000000001</v>
      </c>
      <c r="AF8" s="5"/>
      <c r="AG8" s="134">
        <v>-14121</v>
      </c>
    </row>
    <row r="9" spans="1:38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2970</v>
      </c>
      <c r="I9" s="147">
        <v>17031</v>
      </c>
      <c r="J9" s="147">
        <v>13534</v>
      </c>
      <c r="K9" s="147">
        <v>-5676</v>
      </c>
      <c r="L9" s="147">
        <v>12716</v>
      </c>
      <c r="M9" s="147">
        <v>-16434</v>
      </c>
      <c r="N9" s="147">
        <v>16330</v>
      </c>
      <c r="O9" s="147">
        <v>29593</v>
      </c>
      <c r="P9" s="147">
        <v>-50409</v>
      </c>
      <c r="Q9" s="147">
        <v>-31294</v>
      </c>
      <c r="R9" s="147">
        <v>13376</v>
      </c>
      <c r="S9" s="147">
        <v>-20176</v>
      </c>
      <c r="T9" s="147">
        <v>-12142</v>
      </c>
      <c r="U9" s="147">
        <v>10404</v>
      </c>
      <c r="V9" s="147">
        <v>4919</v>
      </c>
      <c r="W9" s="147">
        <v>64110</v>
      </c>
      <c r="X9" s="147">
        <v>-15105</v>
      </c>
      <c r="Y9" s="147">
        <v>31190</v>
      </c>
      <c r="Z9" s="147">
        <v>-21715</v>
      </c>
      <c r="AA9" s="147">
        <v>14807</v>
      </c>
      <c r="AB9" s="174">
        <v>-33683</v>
      </c>
      <c r="AC9" s="171">
        <f t="shared" si="0"/>
        <v>24346</v>
      </c>
      <c r="AD9" s="149">
        <f t="shared" si="1"/>
        <v>0.16230666666666665</v>
      </c>
      <c r="AF9" s="134">
        <v>94526</v>
      </c>
      <c r="AG9" s="134"/>
    </row>
    <row r="10" spans="1:38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244</v>
      </c>
      <c r="I10" s="147">
        <v>-100</v>
      </c>
      <c r="J10" s="147">
        <v>-1954</v>
      </c>
      <c r="K10" s="147">
        <v>-3231</v>
      </c>
      <c r="L10" s="147">
        <v>8750</v>
      </c>
      <c r="M10" s="147">
        <v>-40412</v>
      </c>
      <c r="N10" s="147">
        <v>-1107</v>
      </c>
      <c r="O10" s="147">
        <v>14170</v>
      </c>
      <c r="P10" s="147">
        <v>-20113</v>
      </c>
      <c r="Q10" s="147">
        <v>-18521</v>
      </c>
      <c r="R10" s="147">
        <v>2800</v>
      </c>
      <c r="S10" s="147">
        <v>-1318</v>
      </c>
      <c r="T10" s="147">
        <v>-1619</v>
      </c>
      <c r="U10" s="147">
        <v>10705</v>
      </c>
      <c r="V10" s="147">
        <v>2425</v>
      </c>
      <c r="W10" s="147">
        <v>927</v>
      </c>
      <c r="X10" s="147">
        <v>-4858</v>
      </c>
      <c r="Y10" s="147">
        <v>14481</v>
      </c>
      <c r="Z10" s="147">
        <v>-27970</v>
      </c>
      <c r="AA10" s="147">
        <v>14450</v>
      </c>
      <c r="AB10" s="174">
        <v>-13965</v>
      </c>
      <c r="AC10" s="171">
        <f t="shared" si="0"/>
        <v>-66216</v>
      </c>
      <c r="AD10" s="149">
        <f t="shared" si="1"/>
        <v>-1.1035999999999999</v>
      </c>
      <c r="AF10" s="134">
        <v>80405</v>
      </c>
      <c r="AG10" s="134">
        <f>(AF10+AF9)/10000000*13780</f>
        <v>241.05491800000001</v>
      </c>
    </row>
    <row r="11" spans="1:38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-814500</v>
      </c>
      <c r="J11" s="147">
        <v>0</v>
      </c>
      <c r="K11" s="147">
        <v>0</v>
      </c>
      <c r="L11" s="147">
        <v>0</v>
      </c>
      <c r="M11" s="147">
        <v>0</v>
      </c>
      <c r="N11" s="147">
        <v>167470</v>
      </c>
      <c r="O11" s="147">
        <v>0</v>
      </c>
      <c r="P11" s="147">
        <v>0</v>
      </c>
      <c r="Q11" s="147">
        <v>0</v>
      </c>
      <c r="R11" s="147">
        <v>10000</v>
      </c>
      <c r="S11" s="147">
        <v>1753</v>
      </c>
      <c r="T11" s="147">
        <v>0</v>
      </c>
      <c r="U11" s="147">
        <v>0</v>
      </c>
      <c r="V11" s="147">
        <v>35230</v>
      </c>
      <c r="W11" s="147">
        <v>23566</v>
      </c>
      <c r="X11" s="147">
        <v>-180480</v>
      </c>
      <c r="Y11" s="147">
        <v>500</v>
      </c>
      <c r="Z11" s="147">
        <v>0</v>
      </c>
      <c r="AA11" s="147">
        <v>0</v>
      </c>
      <c r="AB11" s="174">
        <v>-612550</v>
      </c>
      <c r="AC11" s="171">
        <f t="shared" si="0"/>
        <v>-1369011</v>
      </c>
      <c r="AD11" s="149">
        <f t="shared" si="1"/>
        <v>-0.91267399999999999</v>
      </c>
      <c r="AF11" s="134"/>
      <c r="AG11" s="134"/>
    </row>
    <row r="12" spans="1:38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30505</v>
      </c>
      <c r="I12" s="147">
        <v>55406</v>
      </c>
      <c r="J12" s="147">
        <v>0</v>
      </c>
      <c r="K12" s="147">
        <v>0</v>
      </c>
      <c r="L12" s="147">
        <v>0</v>
      </c>
      <c r="M12" s="147">
        <v>0</v>
      </c>
      <c r="N12" s="147">
        <v>57626</v>
      </c>
      <c r="O12" s="147">
        <v>0</v>
      </c>
      <c r="P12" s="147">
        <v>6150</v>
      </c>
      <c r="Q12" s="147">
        <v>0</v>
      </c>
      <c r="R12" s="147">
        <v>-6939</v>
      </c>
      <c r="S12" s="147">
        <v>33782</v>
      </c>
      <c r="T12" s="147">
        <v>0</v>
      </c>
      <c r="U12" s="147">
        <v>0</v>
      </c>
      <c r="V12" s="147">
        <v>0</v>
      </c>
      <c r="W12" s="147">
        <v>23374</v>
      </c>
      <c r="X12" s="147">
        <v>-198145</v>
      </c>
      <c r="Y12" s="147">
        <v>0</v>
      </c>
      <c r="Z12" s="147">
        <v>75</v>
      </c>
      <c r="AA12" s="147">
        <v>0</v>
      </c>
      <c r="AB12" s="174">
        <v>0</v>
      </c>
      <c r="AC12" s="171">
        <f t="shared" si="0"/>
        <v>1834</v>
      </c>
      <c r="AD12" s="149">
        <f t="shared" si="1"/>
        <v>3.0566666666666667E-3</v>
      </c>
      <c r="AF12" s="134"/>
      <c r="AG12" s="134"/>
    </row>
    <row r="13" spans="1:38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932</v>
      </c>
      <c r="I13" s="147">
        <v>196</v>
      </c>
      <c r="J13" s="147">
        <v>3534</v>
      </c>
      <c r="K13" s="147">
        <v>2106</v>
      </c>
      <c r="L13" s="147">
        <v>3485</v>
      </c>
      <c r="M13" s="147">
        <v>987</v>
      </c>
      <c r="N13" s="147">
        <v>486</v>
      </c>
      <c r="O13" s="147">
        <v>1505</v>
      </c>
      <c r="P13" s="147">
        <v>-2000</v>
      </c>
      <c r="Q13" s="147">
        <v>-214</v>
      </c>
      <c r="R13" s="147">
        <v>1576</v>
      </c>
      <c r="S13" s="147">
        <v>-810</v>
      </c>
      <c r="T13" s="147">
        <v>-2629</v>
      </c>
      <c r="U13" s="147">
        <v>5604</v>
      </c>
      <c r="V13" s="147">
        <v>3658</v>
      </c>
      <c r="W13" s="147">
        <v>250</v>
      </c>
      <c r="X13" s="147">
        <v>-346</v>
      </c>
      <c r="Y13" s="147">
        <v>-100</v>
      </c>
      <c r="Z13" s="147">
        <v>-3171</v>
      </c>
      <c r="AA13" s="147">
        <v>1650</v>
      </c>
      <c r="AB13" s="174">
        <v>-4377</v>
      </c>
      <c r="AC13" s="171">
        <f t="shared" si="0"/>
        <v>12322</v>
      </c>
      <c r="AD13" s="149">
        <f t="shared" si="1"/>
        <v>0.12322</v>
      </c>
      <c r="AF13" s="134"/>
      <c r="AG13" s="134"/>
    </row>
    <row r="14" spans="1:38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9500</v>
      </c>
      <c r="I14" s="147">
        <v>-61370</v>
      </c>
      <c r="J14" s="147">
        <v>-32279</v>
      </c>
      <c r="K14" s="147">
        <v>0</v>
      </c>
      <c r="L14" s="147">
        <v>0</v>
      </c>
      <c r="M14" s="147">
        <v>0</v>
      </c>
      <c r="N14" s="147">
        <v>19385</v>
      </c>
      <c r="O14" s="147">
        <v>3256</v>
      </c>
      <c r="P14" s="147">
        <v>15500</v>
      </c>
      <c r="Q14" s="147">
        <v>22429</v>
      </c>
      <c r="R14" s="147">
        <v>-77515</v>
      </c>
      <c r="S14" s="147">
        <v>29621</v>
      </c>
      <c r="T14" s="147">
        <v>11750</v>
      </c>
      <c r="U14" s="147">
        <v>-14850</v>
      </c>
      <c r="V14" s="147">
        <v>17486</v>
      </c>
      <c r="W14" s="147">
        <v>-105503</v>
      </c>
      <c r="X14" s="147">
        <v>0</v>
      </c>
      <c r="Y14" s="147">
        <v>0</v>
      </c>
      <c r="Z14" s="147">
        <v>0</v>
      </c>
      <c r="AA14" s="147">
        <v>0</v>
      </c>
      <c r="AB14" s="174">
        <v>0</v>
      </c>
      <c r="AC14" s="171">
        <f t="shared" si="0"/>
        <v>-162590</v>
      </c>
      <c r="AD14" s="149">
        <f t="shared" si="1"/>
        <v>-0.65036000000000005</v>
      </c>
      <c r="AF14" s="134"/>
      <c r="AG14" s="134"/>
    </row>
    <row r="15" spans="1:38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16621</v>
      </c>
      <c r="I15" s="147">
        <v>-56808</v>
      </c>
      <c r="J15" s="147">
        <v>-29607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47">
        <v>17300</v>
      </c>
      <c r="Q15" s="147">
        <v>22984</v>
      </c>
      <c r="R15" s="147">
        <v>-68810</v>
      </c>
      <c r="S15" s="147">
        <v>27894</v>
      </c>
      <c r="T15" s="147">
        <v>10101</v>
      </c>
      <c r="U15" s="147">
        <v>0</v>
      </c>
      <c r="V15" s="147">
        <v>25186</v>
      </c>
      <c r="W15" s="147">
        <v>-73357</v>
      </c>
      <c r="X15" s="147">
        <v>0</v>
      </c>
      <c r="Y15" s="147">
        <v>0</v>
      </c>
      <c r="Z15" s="147">
        <v>0</v>
      </c>
      <c r="AA15" s="147">
        <v>0</v>
      </c>
      <c r="AB15" s="174">
        <v>0</v>
      </c>
      <c r="AC15" s="171">
        <f t="shared" si="0"/>
        <v>-108496</v>
      </c>
      <c r="AD15" s="149">
        <f t="shared" si="1"/>
        <v>-0.4931636363636363</v>
      </c>
      <c r="AF15" s="134"/>
      <c r="AG15" s="193">
        <f>AG8-AG10</f>
        <v>-14362.054918</v>
      </c>
      <c r="AJ15" s="133">
        <v>116185</v>
      </c>
      <c r="AL15" s="133">
        <f>AJ15+AG15</f>
        <v>101822.94508200001</v>
      </c>
    </row>
    <row r="16" spans="1:38" x14ac:dyDescent="0.25">
      <c r="A16" s="142" t="s">
        <v>62</v>
      </c>
      <c r="B16" s="141" t="s">
        <v>230</v>
      </c>
      <c r="C16" s="141" t="s">
        <v>224</v>
      </c>
      <c r="D16" s="142" t="s">
        <v>39</v>
      </c>
      <c r="E16" s="142" t="s">
        <v>253</v>
      </c>
      <c r="F16" s="156">
        <v>1</v>
      </c>
      <c r="G16" s="190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74">
        <v>0</v>
      </c>
      <c r="AC16" s="171">
        <f t="shared" si="0"/>
        <v>0</v>
      </c>
      <c r="AD16" s="149">
        <f t="shared" si="1"/>
        <v>0</v>
      </c>
      <c r="AF16" s="134"/>
      <c r="AG16" s="134"/>
    </row>
    <row r="17" spans="1:41" x14ac:dyDescent="0.25">
      <c r="A17" s="142" t="s">
        <v>43</v>
      </c>
      <c r="B17" s="141" t="s">
        <v>84</v>
      </c>
      <c r="C17" s="141" t="s">
        <v>85</v>
      </c>
      <c r="D17" s="142" t="s">
        <v>106</v>
      </c>
      <c r="E17" s="142" t="s">
        <v>107</v>
      </c>
      <c r="F17" s="157">
        <v>1</v>
      </c>
      <c r="G17" s="190"/>
      <c r="H17" s="147">
        <v>11560</v>
      </c>
      <c r="I17" s="147">
        <v>430</v>
      </c>
      <c r="J17" s="147">
        <v>11053</v>
      </c>
      <c r="K17" s="147">
        <v>5179</v>
      </c>
      <c r="L17" s="147">
        <v>8058</v>
      </c>
      <c r="M17" s="147">
        <v>5020</v>
      </c>
      <c r="N17" s="147">
        <v>-913</v>
      </c>
      <c r="O17" s="147">
        <v>1571</v>
      </c>
      <c r="P17" s="147">
        <v>-1353</v>
      </c>
      <c r="Q17" s="147">
        <v>-1664</v>
      </c>
      <c r="R17" s="147">
        <v>1591</v>
      </c>
      <c r="S17" s="147">
        <v>-8331</v>
      </c>
      <c r="T17" s="147">
        <v>-14199</v>
      </c>
      <c r="U17" s="147">
        <v>17768</v>
      </c>
      <c r="V17" s="147">
        <v>5482</v>
      </c>
      <c r="W17" s="147">
        <v>-2457</v>
      </c>
      <c r="X17" s="147">
        <v>4191</v>
      </c>
      <c r="Y17" s="147">
        <v>1365</v>
      </c>
      <c r="Z17" s="147">
        <v>-4867</v>
      </c>
      <c r="AA17" s="147">
        <v>6260</v>
      </c>
      <c r="AB17" s="174">
        <v>-12605</v>
      </c>
      <c r="AC17" s="171">
        <f t="shared" si="0"/>
        <v>33139</v>
      </c>
      <c r="AD17" s="149">
        <f t="shared" si="1"/>
        <v>0.33139000000000002</v>
      </c>
    </row>
    <row r="18" spans="1:41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-31573</v>
      </c>
      <c r="I18" s="147">
        <v>0</v>
      </c>
      <c r="J18" s="147">
        <v>-74800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18503</v>
      </c>
      <c r="Q18" s="147">
        <v>0</v>
      </c>
      <c r="R18" s="147">
        <v>-4900</v>
      </c>
      <c r="S18" s="147">
        <v>-15557</v>
      </c>
      <c r="T18" s="147">
        <v>0</v>
      </c>
      <c r="U18" s="147">
        <v>0</v>
      </c>
      <c r="V18" s="147">
        <v>0</v>
      </c>
      <c r="W18" s="147">
        <v>69531</v>
      </c>
      <c r="X18" s="147">
        <v>-40296</v>
      </c>
      <c r="Y18" s="147">
        <v>0</v>
      </c>
      <c r="Z18" s="147">
        <v>0</v>
      </c>
      <c r="AA18" s="147">
        <v>0</v>
      </c>
      <c r="AB18" s="174">
        <v>-32499</v>
      </c>
      <c r="AC18" s="171">
        <f t="shared" si="0"/>
        <v>-111591</v>
      </c>
      <c r="AD18" s="149">
        <f t="shared" si="1"/>
        <v>-0.44636399999999998</v>
      </c>
      <c r="AL18" s="133">
        <v>4000000</v>
      </c>
      <c r="AM18" s="133">
        <f>AL18*7/100</f>
        <v>280000</v>
      </c>
      <c r="AO18" s="133">
        <f>15*12</f>
        <v>180</v>
      </c>
    </row>
    <row r="19" spans="1:41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1945</v>
      </c>
      <c r="I19" s="147">
        <v>1300</v>
      </c>
      <c r="J19" s="147">
        <v>4580</v>
      </c>
      <c r="K19" s="147">
        <v>0</v>
      </c>
      <c r="L19" s="147">
        <v>0</v>
      </c>
      <c r="M19" s="147">
        <v>0</v>
      </c>
      <c r="N19" s="147">
        <v>0</v>
      </c>
      <c r="O19" s="147">
        <v>0</v>
      </c>
      <c r="P19" s="147">
        <v>-10722</v>
      </c>
      <c r="Q19" s="147">
        <v>0</v>
      </c>
      <c r="R19" s="147">
        <v>-2553</v>
      </c>
      <c r="S19" s="147">
        <v>5667</v>
      </c>
      <c r="T19" s="147">
        <v>0</v>
      </c>
      <c r="U19" s="147">
        <v>0</v>
      </c>
      <c r="V19" s="147">
        <v>0</v>
      </c>
      <c r="W19" s="147">
        <v>66187</v>
      </c>
      <c r="X19" s="147">
        <v>-4812</v>
      </c>
      <c r="Y19" s="147">
        <v>0</v>
      </c>
      <c r="Z19" s="147">
        <v>0</v>
      </c>
      <c r="AA19" s="147">
        <v>0</v>
      </c>
      <c r="AB19" s="174">
        <v>-144294</v>
      </c>
      <c r="AC19" s="171">
        <f t="shared" si="0"/>
        <v>-82702</v>
      </c>
      <c r="AD19" s="149">
        <f t="shared" si="1"/>
        <v>-0.20675499999999999</v>
      </c>
      <c r="AM19" s="133">
        <f>AM18/12</f>
        <v>23333.333333333332</v>
      </c>
    </row>
    <row r="20" spans="1:41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0</v>
      </c>
      <c r="L20" s="147">
        <v>0</v>
      </c>
      <c r="M20" s="147">
        <v>0</v>
      </c>
      <c r="N20" s="147">
        <v>0</v>
      </c>
      <c r="O20" s="147">
        <v>0</v>
      </c>
      <c r="P20" s="147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47">
        <v>0</v>
      </c>
      <c r="AB20" s="174">
        <v>0</v>
      </c>
      <c r="AC20" s="171">
        <f t="shared" si="0"/>
        <v>0</v>
      </c>
      <c r="AD20" s="149">
        <f t="shared" si="1"/>
        <v>0</v>
      </c>
    </row>
    <row r="21" spans="1:41" x14ac:dyDescent="0.25">
      <c r="A21" s="142" t="s">
        <v>165</v>
      </c>
      <c r="B21" s="141" t="s">
        <v>164</v>
      </c>
      <c r="C21" s="141" t="s">
        <v>223</v>
      </c>
      <c r="D21" s="142" t="s">
        <v>261</v>
      </c>
      <c r="E21" s="142" t="s">
        <v>256</v>
      </c>
      <c r="F21" s="156">
        <v>1.5</v>
      </c>
      <c r="G21" s="190"/>
      <c r="H21" s="147">
        <v>-22322</v>
      </c>
      <c r="I21" s="147">
        <v>14560</v>
      </c>
      <c r="J21" s="147">
        <v>-69757</v>
      </c>
      <c r="K21" s="147">
        <v>3222</v>
      </c>
      <c r="L21" s="147">
        <v>1223</v>
      </c>
      <c r="M21" s="147">
        <v>98532</v>
      </c>
      <c r="N21" s="147">
        <v>75645</v>
      </c>
      <c r="O21" s="147">
        <v>17176</v>
      </c>
      <c r="P21" s="147">
        <v>19367</v>
      </c>
      <c r="Q21" s="147">
        <v>-107297</v>
      </c>
      <c r="R21" s="147">
        <v>8922</v>
      </c>
      <c r="S21" s="147">
        <v>40153</v>
      </c>
      <c r="T21" s="147">
        <v>25351</v>
      </c>
      <c r="U21" s="147">
        <v>11398</v>
      </c>
      <c r="V21" s="147">
        <v>16450</v>
      </c>
      <c r="W21" s="147">
        <v>71983</v>
      </c>
      <c r="X21" s="147">
        <v>27012</v>
      </c>
      <c r="Y21" s="147">
        <v>-42818</v>
      </c>
      <c r="Z21" s="147">
        <v>5941</v>
      </c>
      <c r="AA21" s="147">
        <v>-115052</v>
      </c>
      <c r="AB21" s="174">
        <v>-65024</v>
      </c>
      <c r="AC21" s="171">
        <f t="shared" si="0"/>
        <v>14665</v>
      </c>
      <c r="AD21" s="149">
        <f t="shared" si="1"/>
        <v>9.7766666666666668E-2</v>
      </c>
    </row>
    <row r="22" spans="1:41" x14ac:dyDescent="0.25">
      <c r="A22" s="142" t="s">
        <v>110</v>
      </c>
      <c r="B22" s="141" t="s">
        <v>111</v>
      </c>
      <c r="C22" s="141" t="s">
        <v>109</v>
      </c>
      <c r="D22" s="142" t="s">
        <v>152</v>
      </c>
      <c r="E22" s="142" t="s">
        <v>256</v>
      </c>
      <c r="F22" s="156">
        <v>1.1000000000000001</v>
      </c>
      <c r="G22" s="190"/>
      <c r="H22" s="147">
        <v>10600</v>
      </c>
      <c r="I22" s="147">
        <v>-11136</v>
      </c>
      <c r="J22" s="147">
        <v>-57099</v>
      </c>
      <c r="K22" s="147">
        <v>-5506</v>
      </c>
      <c r="L22" s="147">
        <v>18880</v>
      </c>
      <c r="M22" s="147">
        <v>20615</v>
      </c>
      <c r="N22" s="147">
        <v>29331</v>
      </c>
      <c r="O22" s="147">
        <v>8450</v>
      </c>
      <c r="P22" s="147">
        <v>24145</v>
      </c>
      <c r="Q22" s="147">
        <v>12577</v>
      </c>
      <c r="R22" s="147">
        <v>-9860</v>
      </c>
      <c r="S22" s="147">
        <v>4884</v>
      </c>
      <c r="T22" s="147">
        <v>14180</v>
      </c>
      <c r="U22" s="147">
        <v>0</v>
      </c>
      <c r="V22" s="147">
        <v>0</v>
      </c>
      <c r="W22" s="147">
        <v>-21185</v>
      </c>
      <c r="X22" s="147">
        <v>475</v>
      </c>
      <c r="Y22" s="147">
        <v>4373</v>
      </c>
      <c r="Z22" s="147">
        <v>19371</v>
      </c>
      <c r="AA22" s="147">
        <v>-34194</v>
      </c>
      <c r="AB22" s="174">
        <v>-1304</v>
      </c>
      <c r="AC22" s="171">
        <f t="shared" si="0"/>
        <v>27597</v>
      </c>
      <c r="AD22" s="149">
        <f t="shared" si="1"/>
        <v>0.25088181818181815</v>
      </c>
    </row>
    <row r="23" spans="1:41" x14ac:dyDescent="0.25">
      <c r="A23" s="142" t="s">
        <v>319</v>
      </c>
      <c r="B23" s="141" t="s">
        <v>321</v>
      </c>
      <c r="C23" s="141" t="s">
        <v>283</v>
      </c>
      <c r="D23" s="142" t="s">
        <v>152</v>
      </c>
      <c r="E23" s="142" t="s">
        <v>256</v>
      </c>
      <c r="F23" s="156">
        <v>0.25</v>
      </c>
      <c r="G23" s="190"/>
      <c r="H23" s="147">
        <v>-445</v>
      </c>
      <c r="I23" s="147">
        <v>-33920</v>
      </c>
      <c r="J23" s="147">
        <v>-17457</v>
      </c>
      <c r="K23" s="147">
        <v>-1700</v>
      </c>
      <c r="L23" s="147">
        <v>0</v>
      </c>
      <c r="M23" s="147">
        <v>0</v>
      </c>
      <c r="N23" s="147">
        <v>0</v>
      </c>
      <c r="O23" s="147">
        <v>3259</v>
      </c>
      <c r="P23" s="147">
        <v>3563</v>
      </c>
      <c r="Q23" s="147">
        <v>14397</v>
      </c>
      <c r="R23" s="147">
        <v>676</v>
      </c>
      <c r="S23" s="147">
        <v>8961</v>
      </c>
      <c r="T23" s="147">
        <v>17052</v>
      </c>
      <c r="U23" s="147">
        <v>-477</v>
      </c>
      <c r="V23" s="147">
        <v>2470</v>
      </c>
      <c r="W23" s="147">
        <v>-1422</v>
      </c>
      <c r="X23" s="147">
        <v>-22929</v>
      </c>
      <c r="Y23" s="147">
        <v>-28950</v>
      </c>
      <c r="Z23" s="147">
        <v>-7782</v>
      </c>
      <c r="AA23" s="147">
        <v>-7386</v>
      </c>
      <c r="AB23" s="174">
        <v>0</v>
      </c>
      <c r="AC23" s="171">
        <f t="shared" si="0"/>
        <v>-72090</v>
      </c>
      <c r="AD23" s="149">
        <f t="shared" si="1"/>
        <v>-2.8835999999999999</v>
      </c>
    </row>
    <row r="24" spans="1:41" x14ac:dyDescent="0.25">
      <c r="A24" s="142" t="s">
        <v>316</v>
      </c>
      <c r="B24" s="141" t="s">
        <v>282</v>
      </c>
      <c r="C24" s="141" t="s">
        <v>38</v>
      </c>
      <c r="D24" s="142" t="s">
        <v>152</v>
      </c>
      <c r="E24" s="142" t="s">
        <v>256</v>
      </c>
      <c r="F24" s="156">
        <v>2</v>
      </c>
      <c r="G24" s="190"/>
      <c r="H24" s="147">
        <v>1511</v>
      </c>
      <c r="I24" s="147">
        <v>7251</v>
      </c>
      <c r="J24" s="147">
        <v>7140</v>
      </c>
      <c r="K24" s="147">
        <v>4504</v>
      </c>
      <c r="L24" s="147">
        <v>-3214</v>
      </c>
      <c r="M24" s="147">
        <v>-100</v>
      </c>
      <c r="N24" s="147">
        <v>-516</v>
      </c>
      <c r="O24" s="147">
        <v>4214</v>
      </c>
      <c r="P24" s="147">
        <v>3242</v>
      </c>
      <c r="Q24" s="147">
        <v>1087</v>
      </c>
      <c r="R24" s="147">
        <v>0</v>
      </c>
      <c r="S24" s="147">
        <v>0</v>
      </c>
      <c r="T24" s="147">
        <v>231</v>
      </c>
      <c r="U24" s="147">
        <v>-296</v>
      </c>
      <c r="V24" s="147">
        <v>0</v>
      </c>
      <c r="W24" s="147">
        <v>4196</v>
      </c>
      <c r="X24" s="147">
        <v>-3367</v>
      </c>
      <c r="Y24" s="147">
        <v>2727</v>
      </c>
      <c r="Z24" s="147">
        <v>2951</v>
      </c>
      <c r="AA24" s="147">
        <v>0</v>
      </c>
      <c r="AB24" s="174">
        <v>-213</v>
      </c>
      <c r="AC24" s="171">
        <f t="shared" si="0"/>
        <v>31348</v>
      </c>
      <c r="AD24" s="149">
        <f t="shared" si="1"/>
        <v>0.15673999999999999</v>
      </c>
    </row>
    <row r="25" spans="1:41" x14ac:dyDescent="0.25">
      <c r="A25" s="142" t="s">
        <v>317</v>
      </c>
      <c r="B25" s="141" t="s">
        <v>282</v>
      </c>
      <c r="C25" s="141" t="s">
        <v>17</v>
      </c>
      <c r="D25" s="142" t="s">
        <v>152</v>
      </c>
      <c r="E25" s="142" t="s">
        <v>256</v>
      </c>
      <c r="F25" s="156"/>
      <c r="G25" s="190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>
        <v>0</v>
      </c>
      <c r="W25" s="147">
        <v>0</v>
      </c>
      <c r="X25" s="147">
        <v>0</v>
      </c>
      <c r="Y25" s="147">
        <v>0</v>
      </c>
      <c r="Z25" s="147">
        <v>0</v>
      </c>
      <c r="AA25" s="147">
        <v>0</v>
      </c>
      <c r="AB25" s="174">
        <v>0</v>
      </c>
      <c r="AC25" s="171">
        <f t="shared" ref="AC25" si="6">SUM(H25:AB25)</f>
        <v>0</v>
      </c>
      <c r="AD25" s="149">
        <f t="shared" ref="AD25" si="7">IFERROR(AC25/F25*100,0)/10000000</f>
        <v>0</v>
      </c>
    </row>
    <row r="26" spans="1:41" x14ac:dyDescent="0.25">
      <c r="A26" s="142" t="s">
        <v>32</v>
      </c>
      <c r="B26" s="141" t="s">
        <v>63</v>
      </c>
      <c r="C26" s="142" t="s">
        <v>21</v>
      </c>
      <c r="D26" s="142" t="s">
        <v>40</v>
      </c>
      <c r="E26" s="142" t="s">
        <v>256</v>
      </c>
      <c r="F26" s="156">
        <v>1.1000000000000001</v>
      </c>
      <c r="G26" s="191"/>
      <c r="H26" s="147">
        <v>29533</v>
      </c>
      <c r="I26" s="147">
        <v>-27844</v>
      </c>
      <c r="J26" s="147">
        <v>-110528</v>
      </c>
      <c r="K26" s="147">
        <v>-24394</v>
      </c>
      <c r="L26" s="147">
        <v>-100</v>
      </c>
      <c r="M26" s="147">
        <v>7500</v>
      </c>
      <c r="N26" s="147">
        <v>42348</v>
      </c>
      <c r="O26" s="147">
        <v>41000</v>
      </c>
      <c r="P26" s="147">
        <v>-9140</v>
      </c>
      <c r="Q26" s="147">
        <v>240</v>
      </c>
      <c r="R26" s="147">
        <v>31750</v>
      </c>
      <c r="S26" s="147">
        <v>7174</v>
      </c>
      <c r="T26" s="147">
        <v>-7207</v>
      </c>
      <c r="U26" s="147">
        <v>-15290</v>
      </c>
      <c r="V26" s="147">
        <v>16780</v>
      </c>
      <c r="W26" s="147">
        <v>-29214</v>
      </c>
      <c r="X26" s="147">
        <v>-11908</v>
      </c>
      <c r="Y26" s="147">
        <v>-1744</v>
      </c>
      <c r="Z26" s="147">
        <v>-10800</v>
      </c>
      <c r="AA26" s="147">
        <v>-25523</v>
      </c>
      <c r="AB26" s="174">
        <v>-28620</v>
      </c>
      <c r="AC26" s="171">
        <f t="shared" si="0"/>
        <v>-125987</v>
      </c>
      <c r="AD26" s="149">
        <f t="shared" si="1"/>
        <v>-1.1453363636363634</v>
      </c>
    </row>
    <row r="27" spans="1:41" x14ac:dyDescent="0.25">
      <c r="A27" s="142" t="s">
        <v>97</v>
      </c>
      <c r="B27" s="141" t="s">
        <v>68</v>
      </c>
      <c r="C27" s="141" t="s">
        <v>206</v>
      </c>
      <c r="D27" s="142" t="s">
        <v>107</v>
      </c>
      <c r="E27" s="142" t="s">
        <v>107</v>
      </c>
      <c r="F27" s="156">
        <v>2.2999999999999998</v>
      </c>
      <c r="G27" s="191"/>
      <c r="H27" s="147">
        <v>371300</v>
      </c>
      <c r="I27" s="147">
        <v>-169004</v>
      </c>
      <c r="J27" s="147">
        <v>41570</v>
      </c>
      <c r="K27" s="147">
        <v>-96668</v>
      </c>
      <c r="L27" s="147">
        <v>9856</v>
      </c>
      <c r="M27" s="147">
        <v>42818</v>
      </c>
      <c r="N27" s="147">
        <v>-133800</v>
      </c>
      <c r="O27" s="147">
        <v>-116337</v>
      </c>
      <c r="P27" s="147">
        <v>29186</v>
      </c>
      <c r="Q27" s="147">
        <v>-96417</v>
      </c>
      <c r="R27" s="147">
        <v>-4028</v>
      </c>
      <c r="S27" s="147">
        <v>-100640</v>
      </c>
      <c r="T27" s="147">
        <v>-155561</v>
      </c>
      <c r="U27" s="147">
        <v>176058</v>
      </c>
      <c r="V27" s="147">
        <v>-34377</v>
      </c>
      <c r="W27" s="147">
        <v>-48774</v>
      </c>
      <c r="X27" s="147">
        <v>85931</v>
      </c>
      <c r="Y27" s="147">
        <v>-99638</v>
      </c>
      <c r="Z27" s="147">
        <v>-32457</v>
      </c>
      <c r="AA27" s="147">
        <v>38130</v>
      </c>
      <c r="AB27" s="174">
        <v>-233919</v>
      </c>
      <c r="AC27" s="171">
        <f t="shared" si="0"/>
        <v>-526771</v>
      </c>
      <c r="AD27" s="149">
        <f t="shared" si="1"/>
        <v>-2.2903086956521741</v>
      </c>
    </row>
    <row r="28" spans="1:41" x14ac:dyDescent="0.25">
      <c r="A28" s="142" t="s">
        <v>302</v>
      </c>
      <c r="B28" s="141" t="s">
        <v>297</v>
      </c>
      <c r="C28" s="141" t="s">
        <v>298</v>
      </c>
      <c r="D28" s="142"/>
      <c r="E28" s="142" t="s">
        <v>256</v>
      </c>
      <c r="F28" s="156">
        <v>0.2</v>
      </c>
      <c r="G28" s="191"/>
      <c r="H28" s="147">
        <v>-1309</v>
      </c>
      <c r="I28" s="147">
        <v>1160</v>
      </c>
      <c r="J28" s="147">
        <v>2778</v>
      </c>
      <c r="K28" s="147">
        <v>-700</v>
      </c>
      <c r="L28" s="147">
        <v>-931</v>
      </c>
      <c r="M28" s="147">
        <v>-1415</v>
      </c>
      <c r="N28" s="147">
        <v>-297</v>
      </c>
      <c r="O28" s="147">
        <v>-485</v>
      </c>
      <c r="P28" s="147">
        <v>1107</v>
      </c>
      <c r="Q28" s="147">
        <v>-2756</v>
      </c>
      <c r="R28" s="147">
        <v>-2866</v>
      </c>
      <c r="S28" s="147">
        <v>-2782</v>
      </c>
      <c r="T28" s="147">
        <v>-1431</v>
      </c>
      <c r="U28" s="147">
        <v>-700</v>
      </c>
      <c r="V28" s="147">
        <v>-3608</v>
      </c>
      <c r="W28" s="147">
        <v>-140</v>
      </c>
      <c r="X28" s="147">
        <v>-416</v>
      </c>
      <c r="Y28" s="147">
        <v>50</v>
      </c>
      <c r="Z28" s="147">
        <v>1600</v>
      </c>
      <c r="AA28" s="147">
        <v>-100</v>
      </c>
      <c r="AB28" s="174">
        <v>-4561</v>
      </c>
      <c r="AC28" s="171">
        <f t="shared" si="0"/>
        <v>-17802</v>
      </c>
      <c r="AD28" s="149">
        <f t="shared" si="1"/>
        <v>-0.8901</v>
      </c>
    </row>
    <row r="29" spans="1:41" x14ac:dyDescent="0.25">
      <c r="A29" s="142" t="s">
        <v>29</v>
      </c>
      <c r="B29" s="141" t="s">
        <v>22</v>
      </c>
      <c r="C29" s="141" t="s">
        <v>151</v>
      </c>
      <c r="D29" s="142" t="s">
        <v>5</v>
      </c>
      <c r="E29" s="142" t="s">
        <v>256</v>
      </c>
      <c r="F29" s="156">
        <v>5</v>
      </c>
      <c r="G29" s="191"/>
      <c r="H29" s="147">
        <v>-66200</v>
      </c>
      <c r="I29" s="147">
        <v>0</v>
      </c>
      <c r="J29" s="147">
        <v>-19970</v>
      </c>
      <c r="K29" s="147">
        <v>0</v>
      </c>
      <c r="L29" s="147">
        <v>0</v>
      </c>
      <c r="M29" s="147">
        <v>0</v>
      </c>
      <c r="N29" s="147">
        <v>0</v>
      </c>
      <c r="O29" s="147">
        <v>0</v>
      </c>
      <c r="P29" s="147">
        <v>11590</v>
      </c>
      <c r="Q29" s="147">
        <v>0</v>
      </c>
      <c r="R29" s="147">
        <v>-7000</v>
      </c>
      <c r="S29" s="147">
        <v>0</v>
      </c>
      <c r="T29" s="147">
        <v>0</v>
      </c>
      <c r="U29" s="147">
        <v>0</v>
      </c>
      <c r="V29" s="147">
        <v>0</v>
      </c>
      <c r="W29" s="147">
        <v>152704</v>
      </c>
      <c r="X29" s="147">
        <v>-18500</v>
      </c>
      <c r="Y29" s="147">
        <v>0</v>
      </c>
      <c r="Z29" s="147">
        <v>0</v>
      </c>
      <c r="AA29" s="147">
        <v>0</v>
      </c>
      <c r="AB29" s="174">
        <v>-219072</v>
      </c>
      <c r="AC29" s="171">
        <f t="shared" si="0"/>
        <v>-166448</v>
      </c>
      <c r="AD29" s="149">
        <f t="shared" si="1"/>
        <v>-0.33289600000000003</v>
      </c>
    </row>
    <row r="30" spans="1:41" x14ac:dyDescent="0.25">
      <c r="A30" s="142" t="s">
        <v>28</v>
      </c>
      <c r="B30" s="141" t="s">
        <v>155</v>
      </c>
      <c r="C30" s="141" t="s">
        <v>121</v>
      </c>
      <c r="D30" s="142" t="s">
        <v>91</v>
      </c>
      <c r="E30" s="142" t="s">
        <v>256</v>
      </c>
      <c r="F30" s="156">
        <v>10</v>
      </c>
      <c r="G30" s="191"/>
      <c r="H30" s="147">
        <v>0</v>
      </c>
      <c r="I30" s="147">
        <v>-107412</v>
      </c>
      <c r="J30" s="147">
        <v>-454519</v>
      </c>
      <c r="K30" s="147">
        <v>0</v>
      </c>
      <c r="L30" s="147">
        <v>0</v>
      </c>
      <c r="M30" s="147">
        <v>480</v>
      </c>
      <c r="N30" s="147">
        <v>153600</v>
      </c>
      <c r="O30" s="147">
        <v>-500</v>
      </c>
      <c r="P30" s="147">
        <v>0</v>
      </c>
      <c r="Q30" s="147">
        <v>0</v>
      </c>
      <c r="R30" s="147">
        <v>0</v>
      </c>
      <c r="S30" s="147">
        <v>21715</v>
      </c>
      <c r="T30" s="147">
        <v>100000</v>
      </c>
      <c r="U30" s="147">
        <v>0</v>
      </c>
      <c r="V30" s="147">
        <v>0</v>
      </c>
      <c r="W30" s="147">
        <v>97775</v>
      </c>
      <c r="X30" s="147">
        <v>302667</v>
      </c>
      <c r="Y30" s="147">
        <v>104150</v>
      </c>
      <c r="Z30" s="147">
        <v>26121</v>
      </c>
      <c r="AA30" s="147">
        <v>-10000</v>
      </c>
      <c r="AB30" s="174">
        <v>-38762</v>
      </c>
      <c r="AC30" s="171">
        <f t="shared" si="0"/>
        <v>195315</v>
      </c>
      <c r="AD30" s="149">
        <f t="shared" si="1"/>
        <v>0.19531499999999999</v>
      </c>
    </row>
    <row r="31" spans="1:41" x14ac:dyDescent="0.25">
      <c r="A31" s="142" t="s">
        <v>191</v>
      </c>
      <c r="B31" s="141" t="s">
        <v>184</v>
      </c>
      <c r="C31" s="141" t="s">
        <v>185</v>
      </c>
      <c r="D31" s="142" t="s">
        <v>91</v>
      </c>
      <c r="E31" s="142" t="s">
        <v>256</v>
      </c>
      <c r="F31" s="156">
        <v>13</v>
      </c>
      <c r="G31" s="190"/>
      <c r="H31" s="147">
        <v>0</v>
      </c>
      <c r="I31" s="147">
        <v>-201560</v>
      </c>
      <c r="J31" s="147">
        <v>-586162</v>
      </c>
      <c r="K31" s="147">
        <v>0</v>
      </c>
      <c r="L31" s="147">
        <v>0</v>
      </c>
      <c r="M31" s="147">
        <v>0</v>
      </c>
      <c r="N31" s="147">
        <v>0</v>
      </c>
      <c r="O31" s="147">
        <v>0</v>
      </c>
      <c r="P31" s="147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47">
        <v>0</v>
      </c>
      <c r="Y31" s="147">
        <v>0</v>
      </c>
      <c r="Z31" s="147">
        <v>0</v>
      </c>
      <c r="AA31" s="147">
        <v>0</v>
      </c>
      <c r="AB31" s="174">
        <v>0</v>
      </c>
      <c r="AC31" s="171">
        <f t="shared" si="0"/>
        <v>-787722</v>
      </c>
      <c r="AD31" s="149">
        <f t="shared" si="1"/>
        <v>-0.60594000000000003</v>
      </c>
      <c r="AG31" s="133">
        <v>88150</v>
      </c>
    </row>
    <row r="32" spans="1:41" x14ac:dyDescent="0.25">
      <c r="A32" s="142" t="s">
        <v>194</v>
      </c>
      <c r="B32" s="141" t="s">
        <v>178</v>
      </c>
      <c r="C32" s="141" t="s">
        <v>180</v>
      </c>
      <c r="D32" s="142" t="s">
        <v>91</v>
      </c>
      <c r="E32" s="142" t="s">
        <v>256</v>
      </c>
      <c r="F32" s="156">
        <v>6</v>
      </c>
      <c r="G32" s="190"/>
      <c r="H32" s="147">
        <v>0</v>
      </c>
      <c r="I32" s="147">
        <v>-89589</v>
      </c>
      <c r="J32" s="147">
        <v>-259305</v>
      </c>
      <c r="K32" s="147">
        <v>0</v>
      </c>
      <c r="L32" s="147">
        <v>0</v>
      </c>
      <c r="M32" s="147">
        <v>0</v>
      </c>
      <c r="N32" s="147">
        <v>0</v>
      </c>
      <c r="O32" s="147">
        <v>0</v>
      </c>
      <c r="P32" s="147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0</v>
      </c>
      <c r="X32" s="147">
        <v>0</v>
      </c>
      <c r="Y32" s="147">
        <v>0</v>
      </c>
      <c r="Z32" s="147">
        <v>0</v>
      </c>
      <c r="AA32" s="147">
        <v>0</v>
      </c>
      <c r="AB32" s="174">
        <v>0</v>
      </c>
      <c r="AC32" s="171">
        <f t="shared" si="0"/>
        <v>-348894</v>
      </c>
      <c r="AD32" s="149">
        <f t="shared" si="1"/>
        <v>-0.58148999999999995</v>
      </c>
      <c r="AG32" s="133">
        <v>64554</v>
      </c>
      <c r="AJ32" s="133">
        <v>90975</v>
      </c>
      <c r="AM32" s="133">
        <v>-38200</v>
      </c>
    </row>
    <row r="33" spans="1:39" x14ac:dyDescent="0.25">
      <c r="A33" s="142" t="s">
        <v>147</v>
      </c>
      <c r="B33" s="141" t="s">
        <v>146</v>
      </c>
      <c r="C33" s="141" t="s">
        <v>140</v>
      </c>
      <c r="D33" s="142" t="s">
        <v>91</v>
      </c>
      <c r="E33" s="142" t="s">
        <v>256</v>
      </c>
      <c r="F33" s="156">
        <v>1.5</v>
      </c>
      <c r="G33" s="190"/>
      <c r="H33" s="147">
        <v>0</v>
      </c>
      <c r="I33" s="147">
        <v>-22345</v>
      </c>
      <c r="J33" s="147">
        <v>-65000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147">
        <v>0</v>
      </c>
      <c r="AB33" s="174">
        <v>0</v>
      </c>
      <c r="AC33" s="171">
        <f t="shared" si="0"/>
        <v>-87345</v>
      </c>
      <c r="AD33" s="149">
        <f t="shared" si="1"/>
        <v>-0.58230000000000004</v>
      </c>
      <c r="AG33" s="133">
        <v>0</v>
      </c>
      <c r="AJ33" s="133">
        <v>-31616</v>
      </c>
      <c r="AM33" s="133">
        <v>11900</v>
      </c>
    </row>
    <row r="34" spans="1:39" x14ac:dyDescent="0.25">
      <c r="A34" s="163" t="s">
        <v>205</v>
      </c>
      <c r="B34" s="141" t="s">
        <v>203</v>
      </c>
      <c r="C34" s="141" t="s">
        <v>204</v>
      </c>
      <c r="D34" s="142" t="s">
        <v>91</v>
      </c>
      <c r="E34" s="163" t="s">
        <v>256</v>
      </c>
      <c r="F34" s="164">
        <v>1.25</v>
      </c>
      <c r="G34" s="195"/>
      <c r="H34" s="151">
        <v>0</v>
      </c>
      <c r="I34" s="151">
        <v>-22390</v>
      </c>
      <c r="J34" s="151">
        <v>-64850</v>
      </c>
      <c r="K34" s="151">
        <v>0</v>
      </c>
      <c r="L34" s="151">
        <v>0</v>
      </c>
      <c r="M34" s="151">
        <v>0</v>
      </c>
      <c r="N34" s="151">
        <v>0</v>
      </c>
      <c r="O34" s="151">
        <v>0</v>
      </c>
      <c r="P34" s="151">
        <v>0</v>
      </c>
      <c r="Q34" s="151">
        <v>0</v>
      </c>
      <c r="R34" s="151">
        <v>0</v>
      </c>
      <c r="S34" s="151">
        <v>0</v>
      </c>
      <c r="T34" s="151">
        <v>0</v>
      </c>
      <c r="U34" s="151">
        <v>0</v>
      </c>
      <c r="V34" s="151">
        <v>0</v>
      </c>
      <c r="W34" s="151">
        <v>0</v>
      </c>
      <c r="X34" s="151">
        <v>0</v>
      </c>
      <c r="Y34" s="151">
        <v>0</v>
      </c>
      <c r="Z34" s="151">
        <v>0</v>
      </c>
      <c r="AA34" s="151">
        <v>0</v>
      </c>
      <c r="AB34" s="174">
        <v>0</v>
      </c>
      <c r="AC34" s="171">
        <f t="shared" si="0"/>
        <v>-87240</v>
      </c>
      <c r="AD34" s="149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1" t="s">
        <v>92</v>
      </c>
      <c r="E35" s="62" t="s">
        <v>256</v>
      </c>
      <c r="F35" s="114">
        <v>1.5</v>
      </c>
      <c r="G35" s="196"/>
      <c r="H35" s="151">
        <v>0</v>
      </c>
      <c r="I35" s="151">
        <v>-22164</v>
      </c>
      <c r="J35" s="151">
        <v>-64850</v>
      </c>
      <c r="K35" s="151">
        <v>0</v>
      </c>
      <c r="L35" s="151">
        <v>0</v>
      </c>
      <c r="M35" s="151">
        <v>0</v>
      </c>
      <c r="N35" s="151">
        <v>0</v>
      </c>
      <c r="O35" s="151">
        <v>0</v>
      </c>
      <c r="P35" s="151">
        <v>0</v>
      </c>
      <c r="Q35" s="151">
        <v>0</v>
      </c>
      <c r="R35" s="151">
        <v>0</v>
      </c>
      <c r="S35" s="151">
        <v>0</v>
      </c>
      <c r="T35" s="151">
        <v>0</v>
      </c>
      <c r="U35" s="151">
        <v>0</v>
      </c>
      <c r="V35" s="151">
        <v>0</v>
      </c>
      <c r="W35" s="151">
        <v>0</v>
      </c>
      <c r="X35" s="151">
        <v>0</v>
      </c>
      <c r="Y35" s="151">
        <v>0</v>
      </c>
      <c r="Z35" s="151">
        <v>0</v>
      </c>
      <c r="AA35" s="151">
        <v>0</v>
      </c>
      <c r="AB35" s="174">
        <v>0</v>
      </c>
      <c r="AC35" s="171">
        <f t="shared" si="0"/>
        <v>-87014</v>
      </c>
      <c r="AD35" s="149">
        <f t="shared" si="1"/>
        <v>-0.58009333333333335</v>
      </c>
      <c r="AG35" s="133">
        <f>SUM(AG30:AG33)</f>
        <v>152704</v>
      </c>
      <c r="AJ35" s="133">
        <f>SUM(AJ32:AJ33)</f>
        <v>59359</v>
      </c>
    </row>
    <row r="36" spans="1:39" x14ac:dyDescent="0.25">
      <c r="A36" s="142" t="s">
        <v>65</v>
      </c>
      <c r="B36" s="141" t="s">
        <v>64</v>
      </c>
      <c r="C36" s="141" t="s">
        <v>7</v>
      </c>
      <c r="D36" s="142" t="s">
        <v>152</v>
      </c>
      <c r="E36" s="142" t="s">
        <v>256</v>
      </c>
      <c r="F36" s="156">
        <v>5</v>
      </c>
      <c r="G36" s="190"/>
      <c r="H36" s="147">
        <v>0</v>
      </c>
      <c r="I36" s="147">
        <v>-486030</v>
      </c>
      <c r="J36" s="147">
        <v>0</v>
      </c>
      <c r="K36" s="147">
        <v>0</v>
      </c>
      <c r="L36" s="147">
        <v>0</v>
      </c>
      <c r="M36" s="147">
        <v>0</v>
      </c>
      <c r="N36" s="147">
        <v>128400</v>
      </c>
      <c r="O36" s="147">
        <v>0</v>
      </c>
      <c r="P36" s="147">
        <v>-5062</v>
      </c>
      <c r="Q36" s="147">
        <v>0</v>
      </c>
      <c r="R36" s="147">
        <v>0</v>
      </c>
      <c r="S36" s="147">
        <v>-3320</v>
      </c>
      <c r="T36" s="147">
        <v>0</v>
      </c>
      <c r="U36" s="147">
        <v>107128</v>
      </c>
      <c r="V36" s="147">
        <v>0</v>
      </c>
      <c r="W36" s="147">
        <v>0</v>
      </c>
      <c r="X36" s="147">
        <v>-430990</v>
      </c>
      <c r="Y36" s="147">
        <v>0</v>
      </c>
      <c r="Z36" s="147">
        <v>184411</v>
      </c>
      <c r="AA36" s="147">
        <v>0</v>
      </c>
      <c r="AB36" s="174">
        <v>0</v>
      </c>
      <c r="AC36" s="171">
        <f t="shared" si="0"/>
        <v>-505463</v>
      </c>
      <c r="AD36" s="149">
        <f t="shared" si="1"/>
        <v>-1.010926</v>
      </c>
    </row>
    <row r="37" spans="1:39" x14ac:dyDescent="0.25">
      <c r="A37" s="141" t="s">
        <v>34</v>
      </c>
      <c r="B37" s="143" t="s">
        <v>18</v>
      </c>
      <c r="C37" s="141" t="s">
        <v>10</v>
      </c>
      <c r="D37" s="142" t="s">
        <v>152</v>
      </c>
      <c r="E37" s="142" t="s">
        <v>256</v>
      </c>
      <c r="F37" s="118">
        <v>5</v>
      </c>
      <c r="G37" s="197"/>
      <c r="H37" s="147">
        <v>55819</v>
      </c>
      <c r="I37" s="147">
        <v>-13694</v>
      </c>
      <c r="J37" s="147">
        <v>-164313</v>
      </c>
      <c r="K37" s="147">
        <v>54389</v>
      </c>
      <c r="L37" s="147">
        <v>163774</v>
      </c>
      <c r="M37" s="147">
        <v>144181</v>
      </c>
      <c r="N37" s="147">
        <v>187738</v>
      </c>
      <c r="O37" s="147">
        <v>97645</v>
      </c>
      <c r="P37" s="147">
        <v>68361</v>
      </c>
      <c r="Q37" s="147">
        <v>75538</v>
      </c>
      <c r="R37" s="147">
        <v>13283</v>
      </c>
      <c r="S37" s="147">
        <v>-79847</v>
      </c>
      <c r="T37" s="147">
        <v>-41947</v>
      </c>
      <c r="U37" s="147">
        <v>-55100</v>
      </c>
      <c r="V37" s="147">
        <v>60465</v>
      </c>
      <c r="W37" s="147">
        <v>32836</v>
      </c>
      <c r="X37" s="147">
        <v>62860</v>
      </c>
      <c r="Y37" s="147">
        <v>-28865</v>
      </c>
      <c r="Z37" s="147">
        <v>8293</v>
      </c>
      <c r="AA37" s="147">
        <v>-44671</v>
      </c>
      <c r="AB37" s="174">
        <v>-26833</v>
      </c>
      <c r="AC37" s="171">
        <f t="shared" si="0"/>
        <v>569912</v>
      </c>
      <c r="AD37" s="149">
        <f t="shared" si="1"/>
        <v>1.1398239999999999</v>
      </c>
    </row>
    <row r="38" spans="1:39" x14ac:dyDescent="0.25">
      <c r="A38" s="141" t="s">
        <v>131</v>
      </c>
      <c r="B38" s="143" t="s">
        <v>130</v>
      </c>
      <c r="C38" s="141" t="s">
        <v>16</v>
      </c>
      <c r="D38" s="142" t="s">
        <v>262</v>
      </c>
      <c r="E38" s="142" t="s">
        <v>256</v>
      </c>
      <c r="F38" s="118">
        <v>0.5</v>
      </c>
      <c r="G38" s="197"/>
      <c r="H38" s="147">
        <v>21610</v>
      </c>
      <c r="I38" s="147">
        <v>-39044</v>
      </c>
      <c r="J38" s="147">
        <v>1221</v>
      </c>
      <c r="K38" s="147">
        <v>-8694</v>
      </c>
      <c r="L38" s="147">
        <v>10750</v>
      </c>
      <c r="M38" s="147">
        <v>2689</v>
      </c>
      <c r="N38" s="147">
        <v>35950</v>
      </c>
      <c r="O38" s="147">
        <v>-19000</v>
      </c>
      <c r="P38" s="147">
        <v>-10094</v>
      </c>
      <c r="Q38" s="147">
        <v>-34252</v>
      </c>
      <c r="R38" s="147">
        <v>7826</v>
      </c>
      <c r="S38" s="147">
        <v>2697</v>
      </c>
      <c r="T38" s="147">
        <v>-12400</v>
      </c>
      <c r="U38" s="147">
        <v>-30782</v>
      </c>
      <c r="V38" s="147">
        <v>19226</v>
      </c>
      <c r="W38" s="147">
        <v>-5411</v>
      </c>
      <c r="X38" s="147">
        <v>3600</v>
      </c>
      <c r="Y38" s="147">
        <v>8042</v>
      </c>
      <c r="Z38" s="147">
        <v>32790</v>
      </c>
      <c r="AA38" s="147">
        <v>-36701</v>
      </c>
      <c r="AB38" s="174">
        <v>-14362</v>
      </c>
      <c r="AC38" s="171">
        <f t="shared" si="0"/>
        <v>-64339</v>
      </c>
      <c r="AD38" s="149">
        <f t="shared" si="1"/>
        <v>-1.28678</v>
      </c>
    </row>
    <row r="39" spans="1:39" x14ac:dyDescent="0.25">
      <c r="A39" s="43" t="s">
        <v>67</v>
      </c>
      <c r="B39" s="141" t="s">
        <v>154</v>
      </c>
      <c r="C39" s="141" t="s">
        <v>60</v>
      </c>
      <c r="D39" s="142" t="s">
        <v>4</v>
      </c>
      <c r="E39" s="142" t="s">
        <v>256</v>
      </c>
      <c r="F39" s="156">
        <v>0.4</v>
      </c>
      <c r="G39" s="191"/>
      <c r="H39" s="147">
        <v>-5008</v>
      </c>
      <c r="I39" s="147">
        <v>0</v>
      </c>
      <c r="J39" s="147">
        <v>-11324</v>
      </c>
      <c r="K39" s="147">
        <v>7623</v>
      </c>
      <c r="L39" s="147">
        <v>19040</v>
      </c>
      <c r="M39" s="147">
        <v>30623</v>
      </c>
      <c r="N39" s="147">
        <v>48194</v>
      </c>
      <c r="O39" s="147">
        <v>2572</v>
      </c>
      <c r="P39" s="147">
        <v>-4653</v>
      </c>
      <c r="Q39" s="147">
        <v>2936</v>
      </c>
      <c r="R39" s="147">
        <v>-6510</v>
      </c>
      <c r="S39" s="147">
        <v>3100</v>
      </c>
      <c r="T39" s="147">
        <v>8138</v>
      </c>
      <c r="U39" s="147">
        <v>0</v>
      </c>
      <c r="V39" s="147">
        <v>10789</v>
      </c>
      <c r="W39" s="147">
        <v>35842</v>
      </c>
      <c r="X39" s="147">
        <v>-10870</v>
      </c>
      <c r="Y39" s="147">
        <v>-3332</v>
      </c>
      <c r="Z39" s="147">
        <v>-18522</v>
      </c>
      <c r="AA39" s="147">
        <v>-53081</v>
      </c>
      <c r="AB39" s="174">
        <v>-2337</v>
      </c>
      <c r="AC39" s="171">
        <f t="shared" ref="AC39:AC66" si="8">SUM(H39:AB39)</f>
        <v>53220</v>
      </c>
      <c r="AD39" s="149">
        <f t="shared" ref="AD39:AD66" si="9">IFERROR(AC39/F39*100,0)/10000000</f>
        <v>1.3305</v>
      </c>
      <c r="AG39" s="134"/>
    </row>
    <row r="40" spans="1:39" x14ac:dyDescent="0.25">
      <c r="A40" s="43" t="s">
        <v>143</v>
      </c>
      <c r="B40" s="141" t="s">
        <v>19</v>
      </c>
      <c r="C40" s="142" t="s">
        <v>251</v>
      </c>
      <c r="D40" s="142" t="s">
        <v>256</v>
      </c>
      <c r="E40" s="142" t="s">
        <v>284</v>
      </c>
      <c r="F40" s="156">
        <v>0.5</v>
      </c>
      <c r="G40" s="191"/>
      <c r="H40" s="147">
        <v>0</v>
      </c>
      <c r="I40" s="147">
        <v>0</v>
      </c>
      <c r="J40" s="147">
        <v>0</v>
      </c>
      <c r="K40" s="147">
        <v>0</v>
      </c>
      <c r="L40" s="147">
        <v>0</v>
      </c>
      <c r="M40" s="147">
        <v>0</v>
      </c>
      <c r="N40" s="147">
        <v>0</v>
      </c>
      <c r="O40" s="147">
        <v>0</v>
      </c>
      <c r="P40" s="147">
        <v>0</v>
      </c>
      <c r="Q40" s="147">
        <v>0</v>
      </c>
      <c r="R40" s="147">
        <v>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6333</v>
      </c>
      <c r="AA40" s="147">
        <v>0</v>
      </c>
      <c r="AB40" s="174">
        <v>0</v>
      </c>
      <c r="AC40" s="171">
        <f t="shared" si="8"/>
        <v>6333</v>
      </c>
      <c r="AD40" s="149">
        <f t="shared" si="9"/>
        <v>0.12665999999999999</v>
      </c>
      <c r="AF40" s="5"/>
      <c r="AG40" s="134">
        <v>-1524</v>
      </c>
    </row>
    <row r="41" spans="1:39" x14ac:dyDescent="0.25">
      <c r="A41" s="43" t="s">
        <v>144</v>
      </c>
      <c r="B41" s="141" t="s">
        <v>19</v>
      </c>
      <c r="C41" s="142" t="s">
        <v>250</v>
      </c>
      <c r="D41" s="142" t="s">
        <v>256</v>
      </c>
      <c r="E41" s="142" t="s">
        <v>256</v>
      </c>
      <c r="F41" s="156">
        <v>0.5</v>
      </c>
      <c r="G41" s="191"/>
      <c r="H41" s="147">
        <v>0</v>
      </c>
      <c r="I41" s="147">
        <v>0</v>
      </c>
      <c r="J41" s="147">
        <v>0</v>
      </c>
      <c r="K41" s="147">
        <v>0</v>
      </c>
      <c r="L41" s="147">
        <v>0</v>
      </c>
      <c r="M41" s="147">
        <v>0</v>
      </c>
      <c r="N41" s="147">
        <v>0</v>
      </c>
      <c r="O41" s="147">
        <v>0</v>
      </c>
      <c r="P41" s="147">
        <v>0</v>
      </c>
      <c r="Q41" s="147">
        <v>0</v>
      </c>
      <c r="R41" s="147">
        <v>0</v>
      </c>
      <c r="S41" s="147">
        <v>0</v>
      </c>
      <c r="T41" s="147">
        <v>0</v>
      </c>
      <c r="U41" s="147">
        <v>0</v>
      </c>
      <c r="V41" s="147">
        <v>0</v>
      </c>
      <c r="W41" s="147">
        <v>0</v>
      </c>
      <c r="X41" s="147">
        <v>0</v>
      </c>
      <c r="Y41" s="147">
        <v>0</v>
      </c>
      <c r="Z41" s="147">
        <v>0</v>
      </c>
      <c r="AA41" s="147">
        <v>0</v>
      </c>
      <c r="AB41" s="174">
        <v>0</v>
      </c>
      <c r="AC41" s="171">
        <f t="shared" si="8"/>
        <v>0</v>
      </c>
      <c r="AD41" s="149">
        <f t="shared" si="9"/>
        <v>0</v>
      </c>
      <c r="AF41" s="5"/>
      <c r="AG41" s="134"/>
    </row>
    <row r="42" spans="1:39" x14ac:dyDescent="0.25">
      <c r="A42" s="142" t="s">
        <v>31</v>
      </c>
      <c r="B42" s="143" t="s">
        <v>153</v>
      </c>
      <c r="C42" s="142" t="s">
        <v>222</v>
      </c>
      <c r="D42" s="142" t="s">
        <v>263</v>
      </c>
      <c r="E42" s="142" t="s">
        <v>256</v>
      </c>
      <c r="F42" s="156">
        <v>4</v>
      </c>
      <c r="G42" s="191"/>
      <c r="H42" s="147">
        <v>7928</v>
      </c>
      <c r="I42" s="147">
        <v>16328</v>
      </c>
      <c r="J42" s="147">
        <v>-86885</v>
      </c>
      <c r="K42" s="147">
        <v>-34280</v>
      </c>
      <c r="L42" s="147">
        <v>20570</v>
      </c>
      <c r="M42" s="147">
        <v>34358</v>
      </c>
      <c r="N42" s="147">
        <v>73135</v>
      </c>
      <c r="O42" s="147">
        <v>31750</v>
      </c>
      <c r="P42" s="147">
        <v>64331</v>
      </c>
      <c r="Q42" s="147">
        <v>-37350</v>
      </c>
      <c r="R42" s="147">
        <v>44860</v>
      </c>
      <c r="S42" s="147">
        <v>50987</v>
      </c>
      <c r="T42" s="147">
        <v>19073</v>
      </c>
      <c r="U42" s="147">
        <v>62170</v>
      </c>
      <c r="V42" s="147">
        <v>-25131</v>
      </c>
      <c r="W42" s="147">
        <v>181175</v>
      </c>
      <c r="X42" s="147">
        <v>50825</v>
      </c>
      <c r="Y42" s="147">
        <v>-69423</v>
      </c>
      <c r="Z42" s="147">
        <v>25894</v>
      </c>
      <c r="AA42" s="147">
        <v>-67650</v>
      </c>
      <c r="AB42" s="174">
        <v>-12414</v>
      </c>
      <c r="AC42" s="171">
        <f t="shared" si="8"/>
        <v>350251</v>
      </c>
      <c r="AD42" s="149">
        <f t="shared" si="9"/>
        <v>0.8756275</v>
      </c>
      <c r="AF42" s="134">
        <v>90827</v>
      </c>
      <c r="AG42" s="134">
        <f>(AF43+AF42)/10000000*13780</f>
        <v>248.21914000000001</v>
      </c>
    </row>
    <row r="43" spans="1:39" x14ac:dyDescent="0.25">
      <c r="A43" s="142" t="s">
        <v>104</v>
      </c>
      <c r="B43" s="143" t="s">
        <v>105</v>
      </c>
      <c r="C43" s="142" t="s">
        <v>315</v>
      </c>
      <c r="D43" s="142" t="s">
        <v>106</v>
      </c>
      <c r="E43" s="142" t="s">
        <v>106</v>
      </c>
      <c r="F43" s="156">
        <v>1</v>
      </c>
      <c r="G43" s="191"/>
      <c r="H43" s="147">
        <v>63900</v>
      </c>
      <c r="I43" s="147">
        <v>-18927</v>
      </c>
      <c r="J43" s="147">
        <v>29559</v>
      </c>
      <c r="K43" s="147">
        <v>4260</v>
      </c>
      <c r="L43" s="147">
        <v>4238</v>
      </c>
      <c r="M43" s="147">
        <v>13260</v>
      </c>
      <c r="N43" s="147">
        <v>930</v>
      </c>
      <c r="O43" s="147">
        <v>-11624</v>
      </c>
      <c r="P43" s="147">
        <v>1584</v>
      </c>
      <c r="Q43" s="147">
        <v>-21848</v>
      </c>
      <c r="R43" s="147">
        <v>15497</v>
      </c>
      <c r="S43" s="147">
        <v>-16427</v>
      </c>
      <c r="T43" s="147">
        <v>-32090</v>
      </c>
      <c r="U43" s="147">
        <v>40500</v>
      </c>
      <c r="V43" s="147">
        <v>14233</v>
      </c>
      <c r="W43" s="147">
        <v>-6506</v>
      </c>
      <c r="X43" s="147">
        <v>6921</v>
      </c>
      <c r="Y43" s="147">
        <v>22706</v>
      </c>
      <c r="Z43" s="147">
        <v>-21238</v>
      </c>
      <c r="AA43" s="147">
        <v>10250</v>
      </c>
      <c r="AB43" s="174">
        <v>-45929</v>
      </c>
      <c r="AC43" s="171">
        <f t="shared" si="8"/>
        <v>53249</v>
      </c>
      <c r="AD43" s="149">
        <f t="shared" si="9"/>
        <v>0.53249000000000002</v>
      </c>
      <c r="AF43" s="134">
        <v>89303</v>
      </c>
      <c r="AG43" s="134"/>
    </row>
    <row r="44" spans="1:39" x14ac:dyDescent="0.25">
      <c r="A44" s="142" t="s">
        <v>314</v>
      </c>
      <c r="B44" s="143" t="s">
        <v>105</v>
      </c>
      <c r="C44" s="142" t="s">
        <v>15</v>
      </c>
      <c r="D44" s="142" t="s">
        <v>256</v>
      </c>
      <c r="E44" s="142" t="s">
        <v>256</v>
      </c>
      <c r="F44" s="156"/>
      <c r="G44" s="191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>
        <v>0</v>
      </c>
      <c r="U44" s="147">
        <v>0</v>
      </c>
      <c r="V44" s="147">
        <v>0</v>
      </c>
      <c r="W44" s="147">
        <v>0</v>
      </c>
      <c r="X44" s="147">
        <v>0</v>
      </c>
      <c r="Y44" s="147">
        <v>0</v>
      </c>
      <c r="Z44" s="147">
        <v>0</v>
      </c>
      <c r="AA44" s="147">
        <v>0</v>
      </c>
      <c r="AB44" s="174">
        <v>0</v>
      </c>
      <c r="AC44" s="171">
        <f t="shared" ref="AC44" si="10">SUM(H44:AB44)</f>
        <v>0</v>
      </c>
      <c r="AD44" s="149">
        <f t="shared" ref="AD44" si="11">IFERROR(AC44/F44*100,0)/10000000</f>
        <v>0</v>
      </c>
      <c r="AF44" s="134"/>
      <c r="AG44" s="134"/>
    </row>
    <row r="45" spans="1:39" x14ac:dyDescent="0.25">
      <c r="A45" s="142" t="s">
        <v>229</v>
      </c>
      <c r="B45" s="143" t="s">
        <v>105</v>
      </c>
      <c r="C45" s="142" t="s">
        <v>218</v>
      </c>
      <c r="D45" s="142" t="s">
        <v>264</v>
      </c>
      <c r="E45" s="142" t="s">
        <v>256</v>
      </c>
      <c r="F45" s="156">
        <v>0.5</v>
      </c>
      <c r="G45" s="191"/>
      <c r="H45" s="147">
        <v>-15212</v>
      </c>
      <c r="I45" s="147">
        <v>0</v>
      </c>
      <c r="J45" s="147">
        <v>-8067</v>
      </c>
      <c r="K45" s="147">
        <v>0</v>
      </c>
      <c r="L45" s="147">
        <v>0</v>
      </c>
      <c r="M45" s="147">
        <v>0</v>
      </c>
      <c r="N45" s="147">
        <v>5314</v>
      </c>
      <c r="O45" s="147">
        <v>16363</v>
      </c>
      <c r="P45" s="147">
        <v>-12221</v>
      </c>
      <c r="Q45" s="147">
        <v>-10706</v>
      </c>
      <c r="R45" s="147">
        <v>-9471</v>
      </c>
      <c r="S45" s="147">
        <v>11212</v>
      </c>
      <c r="T45" s="147">
        <v>3176</v>
      </c>
      <c r="U45" s="147">
        <v>14523</v>
      </c>
      <c r="V45" s="147">
        <v>-860</v>
      </c>
      <c r="W45" s="147">
        <v>14137</v>
      </c>
      <c r="X45" s="147">
        <v>14803</v>
      </c>
      <c r="Y45" s="147">
        <v>-30035</v>
      </c>
      <c r="Z45" s="147">
        <v>20814</v>
      </c>
      <c r="AA45" s="147">
        <v>0</v>
      </c>
      <c r="AB45" s="174">
        <v>-28047</v>
      </c>
      <c r="AC45" s="171">
        <f t="shared" si="8"/>
        <v>-14277</v>
      </c>
      <c r="AD45" s="149">
        <f t="shared" si="9"/>
        <v>-0.28554000000000002</v>
      </c>
      <c r="AF45" s="134"/>
      <c r="AG45" s="134"/>
    </row>
    <row r="46" spans="1:39" x14ac:dyDescent="0.25">
      <c r="A46" s="142" t="s">
        <v>52</v>
      </c>
      <c r="B46" s="143" t="s">
        <v>115</v>
      </c>
      <c r="C46" s="142" t="s">
        <v>219</v>
      </c>
      <c r="D46" s="142" t="s">
        <v>265</v>
      </c>
      <c r="E46" s="142" t="s">
        <v>256</v>
      </c>
      <c r="F46" s="156">
        <v>3</v>
      </c>
      <c r="G46" s="191"/>
      <c r="H46" s="147">
        <v>0</v>
      </c>
      <c r="I46" s="147">
        <v>-44261</v>
      </c>
      <c r="J46" s="147">
        <v>-43441</v>
      </c>
      <c r="K46" s="147">
        <v>0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-14900</v>
      </c>
      <c r="S46" s="147">
        <v>270</v>
      </c>
      <c r="T46" s="147">
        <v>21060</v>
      </c>
      <c r="U46" s="147">
        <v>24900</v>
      </c>
      <c r="V46" s="147">
        <v>30157</v>
      </c>
      <c r="W46" s="147">
        <v>-52276</v>
      </c>
      <c r="X46" s="147">
        <v>0</v>
      </c>
      <c r="Y46" s="147">
        <v>-5319</v>
      </c>
      <c r="Z46" s="147">
        <v>-28070</v>
      </c>
      <c r="AA46" s="147">
        <v>0</v>
      </c>
      <c r="AB46" s="174">
        <v>0</v>
      </c>
      <c r="AC46" s="171">
        <f t="shared" si="8"/>
        <v>-111880</v>
      </c>
      <c r="AD46" s="149">
        <f t="shared" si="9"/>
        <v>-0.37293333333333334</v>
      </c>
      <c r="AF46" s="134"/>
      <c r="AG46" s="134"/>
    </row>
    <row r="47" spans="1:39" ht="15.75" customHeight="1" x14ac:dyDescent="0.25">
      <c r="A47" s="142" t="s">
        <v>45</v>
      </c>
      <c r="B47" s="143" t="s">
        <v>98</v>
      </c>
      <c r="C47" s="142" t="s">
        <v>220</v>
      </c>
      <c r="D47" s="142" t="s">
        <v>266</v>
      </c>
      <c r="E47" s="142" t="s">
        <v>256</v>
      </c>
      <c r="F47" s="156">
        <v>3</v>
      </c>
      <c r="G47" s="191"/>
      <c r="H47" s="147">
        <v>-10750</v>
      </c>
      <c r="I47" s="147">
        <v>-2320</v>
      </c>
      <c r="J47" s="147">
        <v>-55319</v>
      </c>
      <c r="K47" s="147">
        <v>-35012</v>
      </c>
      <c r="L47" s="147">
        <v>0</v>
      </c>
      <c r="M47" s="147">
        <v>0</v>
      </c>
      <c r="N47" s="147">
        <v>38600</v>
      </c>
      <c r="O47" s="147">
        <v>-10450</v>
      </c>
      <c r="P47" s="147">
        <v>-17283</v>
      </c>
      <c r="Q47" s="147">
        <v>-10987</v>
      </c>
      <c r="R47" s="147">
        <v>-15470</v>
      </c>
      <c r="S47" s="147">
        <v>-17000</v>
      </c>
      <c r="T47" s="147">
        <v>23806</v>
      </c>
      <c r="U47" s="147">
        <v>-28366</v>
      </c>
      <c r="V47" s="147">
        <v>11462</v>
      </c>
      <c r="W47" s="147">
        <v>29776</v>
      </c>
      <c r="X47" s="147">
        <v>-22106</v>
      </c>
      <c r="Y47" s="147">
        <v>16000</v>
      </c>
      <c r="Z47" s="147">
        <v>6333</v>
      </c>
      <c r="AA47" s="147">
        <v>-27392</v>
      </c>
      <c r="AB47" s="174">
        <v>-63512</v>
      </c>
      <c r="AC47" s="171">
        <f t="shared" si="8"/>
        <v>-189990</v>
      </c>
      <c r="AD47" s="149">
        <f t="shared" si="9"/>
        <v>-0.63329999999999997</v>
      </c>
      <c r="AF47" s="134"/>
      <c r="AG47" s="193">
        <f>AG40-AG42</f>
        <v>-1772.2191399999999</v>
      </c>
    </row>
    <row r="48" spans="1:39" ht="16.5" customHeight="1" x14ac:dyDescent="0.25">
      <c r="A48" s="142" t="s">
        <v>193</v>
      </c>
      <c r="B48" s="143" t="s">
        <v>186</v>
      </c>
      <c r="C48" s="142" t="s">
        <v>221</v>
      </c>
      <c r="D48" s="142" t="s">
        <v>266</v>
      </c>
      <c r="E48" s="142" t="s">
        <v>256</v>
      </c>
      <c r="F48" s="156">
        <v>3</v>
      </c>
      <c r="G48" s="191"/>
      <c r="H48" s="147">
        <v>-10920</v>
      </c>
      <c r="I48" s="147">
        <v>-2652</v>
      </c>
      <c r="J48" s="147">
        <v>-55340</v>
      </c>
      <c r="K48" s="147">
        <v>-35012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74">
        <v>0</v>
      </c>
      <c r="AC48" s="171">
        <f t="shared" si="8"/>
        <v>-103924</v>
      </c>
      <c r="AD48" s="149">
        <f t="shared" si="9"/>
        <v>-0.34641333333333335</v>
      </c>
      <c r="AF48" s="134"/>
      <c r="AG48" s="193"/>
    </row>
    <row r="49" spans="1:32" x14ac:dyDescent="0.25">
      <c r="A49" s="142" t="s">
        <v>292</v>
      </c>
      <c r="B49" s="143" t="s">
        <v>291</v>
      </c>
      <c r="C49" s="142" t="s">
        <v>293</v>
      </c>
      <c r="D49" s="142"/>
      <c r="E49" s="142" t="s">
        <v>256</v>
      </c>
      <c r="F49" s="156">
        <v>0.1</v>
      </c>
      <c r="G49" s="191"/>
      <c r="H49" s="147">
        <v>-3782</v>
      </c>
      <c r="I49" s="147">
        <v>1025</v>
      </c>
      <c r="J49" s="147">
        <v>21323</v>
      </c>
      <c r="K49" s="147">
        <v>-4611</v>
      </c>
      <c r="L49" s="147">
        <v>-20827</v>
      </c>
      <c r="M49" s="147">
        <v>-3911</v>
      </c>
      <c r="N49" s="147">
        <v>-870</v>
      </c>
      <c r="O49" s="147">
        <v>3481</v>
      </c>
      <c r="P49" s="147">
        <v>3737</v>
      </c>
      <c r="Q49" s="147">
        <v>-3692</v>
      </c>
      <c r="R49" s="147">
        <v>12581</v>
      </c>
      <c r="S49" s="147">
        <v>-1948</v>
      </c>
      <c r="T49" s="147">
        <v>8578</v>
      </c>
      <c r="U49" s="147">
        <v>-17939</v>
      </c>
      <c r="V49" s="147">
        <v>-2517</v>
      </c>
      <c r="W49" s="147">
        <v>-25090</v>
      </c>
      <c r="X49" s="147">
        <v>2890</v>
      </c>
      <c r="Y49" s="147">
        <v>19671</v>
      </c>
      <c r="Z49" s="147">
        <v>11098</v>
      </c>
      <c r="AA49" s="147">
        <v>-19327</v>
      </c>
      <c r="AB49" s="174">
        <v>15213</v>
      </c>
      <c r="AC49" s="171">
        <f t="shared" si="8"/>
        <v>-4917</v>
      </c>
      <c r="AD49" s="149">
        <f t="shared" si="9"/>
        <v>-0.49170000000000003</v>
      </c>
      <c r="AF49" s="134"/>
    </row>
    <row r="50" spans="1:32" x14ac:dyDescent="0.25">
      <c r="A50" s="142" t="s">
        <v>132</v>
      </c>
      <c r="B50" s="143" t="s">
        <v>129</v>
      </c>
      <c r="C50" s="142" t="s">
        <v>17</v>
      </c>
      <c r="D50" s="142" t="s">
        <v>267</v>
      </c>
      <c r="E50" s="142" t="s">
        <v>256</v>
      </c>
      <c r="F50" s="156">
        <v>0.5</v>
      </c>
      <c r="G50" s="191"/>
      <c r="H50" s="147">
        <v>2268</v>
      </c>
      <c r="I50" s="147">
        <v>0</v>
      </c>
      <c r="J50" s="147">
        <v>0</v>
      </c>
      <c r="K50" s="147">
        <v>0</v>
      </c>
      <c r="L50" s="147">
        <v>0</v>
      </c>
      <c r="M50" s="147">
        <v>0</v>
      </c>
      <c r="N50" s="147">
        <v>0</v>
      </c>
      <c r="O50" s="147">
        <v>0</v>
      </c>
      <c r="P50" s="147">
        <v>0</v>
      </c>
      <c r="Q50" s="147">
        <v>0</v>
      </c>
      <c r="R50" s="147">
        <v>0</v>
      </c>
      <c r="S50" s="147">
        <v>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74">
        <v>0</v>
      </c>
      <c r="AC50" s="171">
        <f t="shared" si="8"/>
        <v>2268</v>
      </c>
      <c r="AD50" s="149">
        <f t="shared" si="9"/>
        <v>4.5359999999999998E-2</v>
      </c>
    </row>
    <row r="51" spans="1:32" x14ac:dyDescent="0.25">
      <c r="A51" s="142" t="s">
        <v>132</v>
      </c>
      <c r="B51" s="143" t="s">
        <v>129</v>
      </c>
      <c r="C51" s="142" t="s">
        <v>307</v>
      </c>
      <c r="D51" s="142" t="s">
        <v>267</v>
      </c>
      <c r="E51" s="142" t="s">
        <v>256</v>
      </c>
      <c r="F51" s="156">
        <v>0.5</v>
      </c>
      <c r="G51" s="191"/>
      <c r="H51" s="147"/>
      <c r="I51" s="147">
        <v>0</v>
      </c>
      <c r="J51" s="147">
        <v>0</v>
      </c>
      <c r="K51" s="147">
        <v>0</v>
      </c>
      <c r="L51" s="147">
        <v>0</v>
      </c>
      <c r="M51" s="147">
        <v>0</v>
      </c>
      <c r="N51" s="147">
        <v>0</v>
      </c>
      <c r="O51" s="147">
        <v>0</v>
      </c>
      <c r="P51" s="147">
        <v>0</v>
      </c>
      <c r="Q51" s="147">
        <v>0</v>
      </c>
      <c r="R51" s="147">
        <v>0</v>
      </c>
      <c r="S51" s="147">
        <v>0</v>
      </c>
      <c r="T51" s="147">
        <v>0</v>
      </c>
      <c r="U51" s="147">
        <v>-10442</v>
      </c>
      <c r="V51" s="147">
        <v>0</v>
      </c>
      <c r="W51" s="147">
        <v>9923</v>
      </c>
      <c r="X51" s="147">
        <v>0</v>
      </c>
      <c r="Y51" s="147">
        <v>10246</v>
      </c>
      <c r="Z51" s="147">
        <v>0</v>
      </c>
      <c r="AA51" s="147">
        <v>0</v>
      </c>
      <c r="AB51" s="174">
        <v>-20519</v>
      </c>
      <c r="AC51" s="171">
        <f t="shared" ref="AC51" si="12">SUM(H51:AB51)</f>
        <v>-10792</v>
      </c>
      <c r="AD51" s="149">
        <f t="shared" ref="AD51" si="13">IFERROR(AC51/F51*100,0)/10000000</f>
        <v>-0.21584</v>
      </c>
    </row>
    <row r="52" spans="1:32" x14ac:dyDescent="0.25">
      <c r="A52" s="142" t="s">
        <v>48</v>
      </c>
      <c r="B52" s="141" t="s">
        <v>95</v>
      </c>
      <c r="C52" s="142" t="s">
        <v>228</v>
      </c>
      <c r="D52" s="142" t="s">
        <v>107</v>
      </c>
      <c r="E52" s="142" t="s">
        <v>107</v>
      </c>
      <c r="F52" s="156">
        <v>1</v>
      </c>
      <c r="G52" s="191"/>
      <c r="H52" s="147">
        <v>129300</v>
      </c>
      <c r="I52" s="147">
        <v>101803</v>
      </c>
      <c r="J52" s="147">
        <v>43953</v>
      </c>
      <c r="K52" s="147">
        <v>39879</v>
      </c>
      <c r="L52" s="147">
        <v>86560</v>
      </c>
      <c r="M52" s="147">
        <v>42093</v>
      </c>
      <c r="N52" s="147">
        <v>30200</v>
      </c>
      <c r="O52" s="147">
        <v>44000</v>
      </c>
      <c r="P52" s="147">
        <v>-89099</v>
      </c>
      <c r="Q52" s="147">
        <v>-33209</v>
      </c>
      <c r="R52" s="147">
        <v>-69573</v>
      </c>
      <c r="S52" s="147">
        <v>184871</v>
      </c>
      <c r="T52" s="147">
        <v>-29542</v>
      </c>
      <c r="U52" s="147">
        <v>63250</v>
      </c>
      <c r="V52" s="147">
        <v>68871</v>
      </c>
      <c r="W52" s="147">
        <v>-20663</v>
      </c>
      <c r="X52" s="147">
        <v>-32175</v>
      </c>
      <c r="Y52" s="147">
        <v>82381</v>
      </c>
      <c r="Z52" s="147">
        <v>-8123</v>
      </c>
      <c r="AA52" s="147">
        <v>31280</v>
      </c>
      <c r="AB52" s="174">
        <v>37100</v>
      </c>
      <c r="AC52" s="171">
        <f t="shared" si="8"/>
        <v>703157</v>
      </c>
      <c r="AD52" s="149">
        <f t="shared" si="9"/>
        <v>7.0315700000000003</v>
      </c>
    </row>
    <row r="53" spans="1:32" x14ac:dyDescent="0.25">
      <c r="A53" s="142" t="s">
        <v>301</v>
      </c>
      <c r="B53" s="141" t="s">
        <v>295</v>
      </c>
      <c r="C53" s="163" t="s">
        <v>296</v>
      </c>
      <c r="D53" s="163"/>
      <c r="E53" s="163" t="s">
        <v>256</v>
      </c>
      <c r="F53" s="164">
        <v>0.1</v>
      </c>
      <c r="G53" s="191"/>
      <c r="H53" s="147">
        <v>-20</v>
      </c>
      <c r="I53" s="147">
        <v>916</v>
      </c>
      <c r="J53" s="147">
        <v>-1257</v>
      </c>
      <c r="K53" s="147">
        <v>-591</v>
      </c>
      <c r="L53" s="147">
        <v>1604</v>
      </c>
      <c r="M53" s="147">
        <v>-555</v>
      </c>
      <c r="N53" s="147">
        <v>3060</v>
      </c>
      <c r="O53" s="147">
        <v>1742</v>
      </c>
      <c r="P53" s="147">
        <v>-4119</v>
      </c>
      <c r="Q53" s="147">
        <v>642</v>
      </c>
      <c r="R53" s="147">
        <v>-842</v>
      </c>
      <c r="S53" s="147">
        <v>781</v>
      </c>
      <c r="T53" s="147">
        <v>1252</v>
      </c>
      <c r="U53" s="147">
        <v>419</v>
      </c>
      <c r="V53" s="147">
        <v>-100</v>
      </c>
      <c r="W53" s="147">
        <v>1353</v>
      </c>
      <c r="X53" s="147">
        <v>-1661</v>
      </c>
      <c r="Y53" s="147">
        <v>410</v>
      </c>
      <c r="Z53" s="147">
        <v>-3448</v>
      </c>
      <c r="AA53" s="147">
        <v>370</v>
      </c>
      <c r="AB53" s="174">
        <v>963</v>
      </c>
      <c r="AC53" s="171">
        <f t="shared" si="8"/>
        <v>919</v>
      </c>
      <c r="AD53" s="149">
        <f t="shared" si="9"/>
        <v>9.1899999999999996E-2</v>
      </c>
    </row>
    <row r="54" spans="1:32" x14ac:dyDescent="0.25">
      <c r="A54" s="142" t="s">
        <v>201</v>
      </c>
      <c r="B54" s="141" t="s">
        <v>169</v>
      </c>
      <c r="C54" s="163"/>
      <c r="D54" s="163"/>
      <c r="E54" s="163" t="s">
        <v>256</v>
      </c>
      <c r="F54" s="164">
        <v>1</v>
      </c>
      <c r="G54" s="191"/>
      <c r="H54" s="147">
        <v>-500</v>
      </c>
      <c r="I54" s="147">
        <v>-3065</v>
      </c>
      <c r="J54" s="147">
        <v>-5450</v>
      </c>
      <c r="K54" s="147">
        <v>0</v>
      </c>
      <c r="L54" s="147">
        <v>0</v>
      </c>
      <c r="M54" s="147">
        <v>0</v>
      </c>
      <c r="N54" s="147">
        <v>0</v>
      </c>
      <c r="O54" s="147">
        <v>0</v>
      </c>
      <c r="P54" s="147">
        <v>0</v>
      </c>
      <c r="Q54" s="147">
        <v>0</v>
      </c>
      <c r="R54" s="147">
        <v>0</v>
      </c>
      <c r="S54" s="147">
        <v>0</v>
      </c>
      <c r="T54" s="147">
        <v>0</v>
      </c>
      <c r="U54" s="147">
        <v>0</v>
      </c>
      <c r="V54" s="147">
        <v>0</v>
      </c>
      <c r="W54" s="147">
        <v>0</v>
      </c>
      <c r="X54" s="147">
        <v>0</v>
      </c>
      <c r="Y54" s="147">
        <v>0</v>
      </c>
      <c r="Z54" s="147">
        <v>0</v>
      </c>
      <c r="AA54" s="147">
        <v>0</v>
      </c>
      <c r="AB54" s="174">
        <v>0</v>
      </c>
      <c r="AC54" s="171">
        <f t="shared" si="8"/>
        <v>-9015</v>
      </c>
      <c r="AD54" s="149">
        <f t="shared" si="9"/>
        <v>-9.0149999999999994E-2</v>
      </c>
    </row>
    <row r="55" spans="1:32" x14ac:dyDescent="0.25">
      <c r="A55" s="143" t="s">
        <v>168</v>
      </c>
      <c r="B55" s="141" t="s">
        <v>169</v>
      </c>
      <c r="C55" s="59" t="s">
        <v>252</v>
      </c>
      <c r="D55" s="163" t="s">
        <v>253</v>
      </c>
      <c r="E55" s="163" t="s">
        <v>253</v>
      </c>
      <c r="F55" s="114">
        <v>4</v>
      </c>
      <c r="G55" s="191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0</v>
      </c>
      <c r="O55" s="147">
        <v>7000</v>
      </c>
      <c r="P55" s="147">
        <v>95692</v>
      </c>
      <c r="Q55" s="147">
        <v>0</v>
      </c>
      <c r="R55" s="147">
        <v>0</v>
      </c>
      <c r="S55" s="147">
        <v>0</v>
      </c>
      <c r="T55" s="147">
        <v>3800</v>
      </c>
      <c r="U55" s="147">
        <v>70800</v>
      </c>
      <c r="V55" s="147">
        <v>0</v>
      </c>
      <c r="W55" s="147">
        <v>0</v>
      </c>
      <c r="X55" s="147">
        <v>0</v>
      </c>
      <c r="Y55" s="147">
        <v>0</v>
      </c>
      <c r="Z55" s="147">
        <v>-116500</v>
      </c>
      <c r="AA55" s="147">
        <v>0</v>
      </c>
      <c r="AB55" s="174">
        <v>0</v>
      </c>
      <c r="AC55" s="171">
        <f t="shared" si="8"/>
        <v>60792</v>
      </c>
      <c r="AD55" s="149">
        <f t="shared" si="9"/>
        <v>0.15198</v>
      </c>
    </row>
    <row r="56" spans="1:32" x14ac:dyDescent="0.25">
      <c r="A56" s="143" t="s">
        <v>202</v>
      </c>
      <c r="B56" s="141" t="s">
        <v>169</v>
      </c>
      <c r="C56" s="59" t="s">
        <v>252</v>
      </c>
      <c r="D56" s="163" t="s">
        <v>116</v>
      </c>
      <c r="E56" s="163" t="s">
        <v>256</v>
      </c>
      <c r="F56" s="114">
        <v>4</v>
      </c>
      <c r="G56" s="191"/>
      <c r="H56" s="147">
        <v>-15000</v>
      </c>
      <c r="I56" s="147">
        <v>-128525</v>
      </c>
      <c r="J56" s="147">
        <v>0</v>
      </c>
      <c r="K56" s="147">
        <v>0</v>
      </c>
      <c r="L56" s="147">
        <v>0</v>
      </c>
      <c r="M56" s="147">
        <v>13100</v>
      </c>
      <c r="N56" s="147">
        <v>129000</v>
      </c>
      <c r="O56" s="147">
        <v>0</v>
      </c>
      <c r="P56" s="147">
        <v>0</v>
      </c>
      <c r="Q56" s="147">
        <v>0</v>
      </c>
      <c r="R56" s="147">
        <v>-32862</v>
      </c>
      <c r="S56" s="147">
        <v>-67554</v>
      </c>
      <c r="T56" s="147">
        <v>0</v>
      </c>
      <c r="U56" s="147">
        <v>0</v>
      </c>
      <c r="V56" s="147">
        <v>0</v>
      </c>
      <c r="W56" s="147">
        <v>0</v>
      </c>
      <c r="X56" s="147">
        <v>0</v>
      </c>
      <c r="Y56" s="147">
        <v>0</v>
      </c>
      <c r="Z56" s="147">
        <v>0</v>
      </c>
      <c r="AA56" s="147">
        <v>0</v>
      </c>
      <c r="AB56" s="174">
        <v>200</v>
      </c>
      <c r="AC56" s="171">
        <f t="shared" si="8"/>
        <v>-101641</v>
      </c>
      <c r="AD56" s="149">
        <f t="shared" si="9"/>
        <v>-0.25410250000000001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1" t="s">
        <v>14</v>
      </c>
      <c r="E57" s="141" t="s">
        <v>256</v>
      </c>
      <c r="F57" s="118">
        <v>3</v>
      </c>
      <c r="G57" s="197"/>
      <c r="H57" s="147">
        <v>-6036</v>
      </c>
      <c r="I57" s="147">
        <v>-204489</v>
      </c>
      <c r="J57" s="147">
        <v>-65102</v>
      </c>
      <c r="K57" s="147">
        <v>0</v>
      </c>
      <c r="L57" s="147">
        <v>0</v>
      </c>
      <c r="M57" s="147">
        <v>87285</v>
      </c>
      <c r="N57" s="147">
        <v>128480</v>
      </c>
      <c r="O57" s="147">
        <v>54740</v>
      </c>
      <c r="P57" s="147">
        <v>-4082</v>
      </c>
      <c r="Q57" s="147">
        <v>70883</v>
      </c>
      <c r="R57" s="147">
        <v>125257</v>
      </c>
      <c r="S57" s="147">
        <v>-213545</v>
      </c>
      <c r="T57" s="147">
        <v>-219311</v>
      </c>
      <c r="U57" s="147">
        <v>-46461</v>
      </c>
      <c r="V57" s="147">
        <v>22716</v>
      </c>
      <c r="W57" s="147">
        <v>233345</v>
      </c>
      <c r="X57" s="147">
        <v>552</v>
      </c>
      <c r="Y57" s="147">
        <v>75215</v>
      </c>
      <c r="Z57" s="147">
        <v>-247460</v>
      </c>
      <c r="AA57" s="147">
        <v>-148186</v>
      </c>
      <c r="AB57" s="174">
        <v>-5512</v>
      </c>
      <c r="AC57" s="171">
        <f t="shared" si="8"/>
        <v>-361711</v>
      </c>
      <c r="AD57" s="149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1"/>
      <c r="E58" s="141" t="s">
        <v>256</v>
      </c>
      <c r="F58" s="114">
        <v>10</v>
      </c>
      <c r="G58" s="23"/>
      <c r="H58" s="151">
        <v>-50</v>
      </c>
      <c r="I58" s="151">
        <v>-465047</v>
      </c>
      <c r="J58" s="151">
        <v>0</v>
      </c>
      <c r="K58" s="151">
        <v>-54610</v>
      </c>
      <c r="L58" s="151">
        <v>0</v>
      </c>
      <c r="M58" s="151">
        <v>37076</v>
      </c>
      <c r="N58" s="151">
        <v>796100</v>
      </c>
      <c r="O58" s="151">
        <v>0</v>
      </c>
      <c r="P58" s="151">
        <v>84724</v>
      </c>
      <c r="Q58" s="151">
        <v>29700</v>
      </c>
      <c r="R58" s="151">
        <v>-340250</v>
      </c>
      <c r="S58" s="151">
        <v>60645</v>
      </c>
      <c r="T58" s="151">
        <v>-36000</v>
      </c>
      <c r="U58" s="151">
        <v>439296</v>
      </c>
      <c r="V58" s="151">
        <v>92466</v>
      </c>
      <c r="W58" s="151">
        <v>-117078</v>
      </c>
      <c r="X58" s="151">
        <v>-247320</v>
      </c>
      <c r="Y58" s="151">
        <v>-232027</v>
      </c>
      <c r="Z58" s="151">
        <v>-612462</v>
      </c>
      <c r="AA58" s="151">
        <v>35600</v>
      </c>
      <c r="AB58" s="174">
        <v>-505943</v>
      </c>
      <c r="AC58" s="171">
        <f t="shared" si="8"/>
        <v>-1035180</v>
      </c>
      <c r="AD58" s="149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1"/>
      <c r="E59" s="141" t="s">
        <v>256</v>
      </c>
      <c r="F59" s="114"/>
      <c r="G59" s="23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>
        <v>0</v>
      </c>
      <c r="X59" s="151">
        <v>0</v>
      </c>
      <c r="Y59" s="151">
        <v>0</v>
      </c>
      <c r="Z59" s="151">
        <v>0</v>
      </c>
      <c r="AA59" s="151">
        <v>0</v>
      </c>
      <c r="AB59" s="174">
        <v>0</v>
      </c>
      <c r="AC59" s="171">
        <f t="shared" ref="AC59" si="14">SUM(H59:AB59)</f>
        <v>0</v>
      </c>
      <c r="AD59" s="149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2" t="s">
        <v>268</v>
      </c>
      <c r="E60" s="163" t="s">
        <v>256</v>
      </c>
      <c r="F60" s="114">
        <v>0.5</v>
      </c>
      <c r="G60" s="23"/>
      <c r="H60" s="151">
        <v>2711</v>
      </c>
      <c r="I60" s="151">
        <v>0</v>
      </c>
      <c r="J60" s="151">
        <v>-5750</v>
      </c>
      <c r="K60" s="151">
        <v>-6273</v>
      </c>
      <c r="L60" s="151">
        <v>0</v>
      </c>
      <c r="M60" s="151">
        <v>7206</v>
      </c>
      <c r="N60" s="151">
        <v>10630</v>
      </c>
      <c r="O60" s="151">
        <v>-2100</v>
      </c>
      <c r="P60" s="151">
        <v>1783</v>
      </c>
      <c r="Q60" s="151">
        <v>-6230</v>
      </c>
      <c r="R60" s="151">
        <v>2235</v>
      </c>
      <c r="S60" s="151">
        <v>8646</v>
      </c>
      <c r="T60" s="151">
        <v>-8854</v>
      </c>
      <c r="U60" s="151">
        <v>-3555</v>
      </c>
      <c r="V60" s="151">
        <v>100</v>
      </c>
      <c r="W60" s="151">
        <v>1233</v>
      </c>
      <c r="X60" s="151">
        <v>1350</v>
      </c>
      <c r="Y60" s="151">
        <v>-1470</v>
      </c>
      <c r="Z60" s="151">
        <v>-16031</v>
      </c>
      <c r="AA60" s="151">
        <v>7177</v>
      </c>
      <c r="AB60" s="174">
        <v>0</v>
      </c>
      <c r="AC60" s="171">
        <f t="shared" si="8"/>
        <v>-7192</v>
      </c>
      <c r="AD60" s="149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1">
        <v>28030</v>
      </c>
      <c r="I61" s="151">
        <v>-105716</v>
      </c>
      <c r="J61" s="151">
        <v>0</v>
      </c>
      <c r="K61" s="151">
        <v>0</v>
      </c>
      <c r="L61" s="151">
        <v>0</v>
      </c>
      <c r="M61" s="151">
        <v>0</v>
      </c>
      <c r="N61" s="151">
        <v>392944</v>
      </c>
      <c r="O61" s="151">
        <v>0</v>
      </c>
      <c r="P61" s="151">
        <v>42149</v>
      </c>
      <c r="Q61" s="151">
        <v>2940</v>
      </c>
      <c r="R61" s="151">
        <v>-184242</v>
      </c>
      <c r="S61" s="151">
        <v>86390</v>
      </c>
      <c r="T61" s="151">
        <v>-329</v>
      </c>
      <c r="U61" s="151">
        <v>11042</v>
      </c>
      <c r="V61" s="151">
        <v>0</v>
      </c>
      <c r="W61" s="151">
        <v>0</v>
      </c>
      <c r="X61" s="151">
        <v>-191619</v>
      </c>
      <c r="Y61" s="151">
        <v>0</v>
      </c>
      <c r="Z61" s="151">
        <v>-14770</v>
      </c>
      <c r="AA61" s="151">
        <v>0</v>
      </c>
      <c r="AB61" s="174">
        <v>0</v>
      </c>
      <c r="AC61" s="171">
        <f t="shared" si="8"/>
        <v>66819</v>
      </c>
      <c r="AD61" s="149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1">
        <v>-32912</v>
      </c>
      <c r="I62" s="151">
        <v>32287</v>
      </c>
      <c r="J62" s="151">
        <v>0</v>
      </c>
      <c r="K62" s="151">
        <v>-25136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51">
        <v>0</v>
      </c>
      <c r="AB62" s="174">
        <v>0</v>
      </c>
      <c r="AC62" s="171">
        <f t="shared" si="8"/>
        <v>-25761</v>
      </c>
      <c r="AD62" s="149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1">
        <v>0</v>
      </c>
      <c r="I63" s="151">
        <v>-241366</v>
      </c>
      <c r="J63" s="151">
        <v>0</v>
      </c>
      <c r="K63" s="151">
        <v>0</v>
      </c>
      <c r="L63" s="151">
        <v>0</v>
      </c>
      <c r="M63" s="151">
        <v>0</v>
      </c>
      <c r="N63" s="151">
        <v>69111</v>
      </c>
      <c r="O63" s="151">
        <v>0</v>
      </c>
      <c r="P63" s="151">
        <v>-10258</v>
      </c>
      <c r="Q63" s="151">
        <v>0</v>
      </c>
      <c r="R63" s="151">
        <v>0</v>
      </c>
      <c r="S63" s="151">
        <v>38672</v>
      </c>
      <c r="T63" s="151">
        <v>0</v>
      </c>
      <c r="U63" s="151">
        <v>-7437</v>
      </c>
      <c r="V63" s="151">
        <v>0</v>
      </c>
      <c r="W63" s="151">
        <v>0</v>
      </c>
      <c r="X63" s="151">
        <v>-97617</v>
      </c>
      <c r="Y63" s="151">
        <v>0</v>
      </c>
      <c r="Z63" s="151">
        <v>-11513</v>
      </c>
      <c r="AA63" s="151">
        <v>0</v>
      </c>
      <c r="AB63" s="174">
        <v>0</v>
      </c>
      <c r="AC63" s="171">
        <f t="shared" si="8"/>
        <v>-260408</v>
      </c>
      <c r="AD63" s="149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1">
        <v>-5904</v>
      </c>
      <c r="I64" s="151">
        <v>-9620</v>
      </c>
      <c r="J64" s="151">
        <v>7757</v>
      </c>
      <c r="K64" s="151">
        <v>-39975</v>
      </c>
      <c r="L64" s="151">
        <v>0</v>
      </c>
      <c r="M64" s="151">
        <v>-27796</v>
      </c>
      <c r="N64" s="151">
        <v>51334</v>
      </c>
      <c r="O64" s="151">
        <v>0</v>
      </c>
      <c r="P64" s="151">
        <v>-32505</v>
      </c>
      <c r="Q64" s="151">
        <v>-52117</v>
      </c>
      <c r="R64" s="151">
        <v>12133</v>
      </c>
      <c r="S64" s="151">
        <v>22247</v>
      </c>
      <c r="T64" s="151">
        <v>11165</v>
      </c>
      <c r="U64" s="151">
        <v>7877</v>
      </c>
      <c r="V64" s="151">
        <v>-7450</v>
      </c>
      <c r="W64" s="151">
        <v>58035</v>
      </c>
      <c r="X64" s="151">
        <v>-73123</v>
      </c>
      <c r="Y64" s="151">
        <v>0</v>
      </c>
      <c r="Z64" s="151">
        <v>0</v>
      </c>
      <c r="AA64" s="151">
        <v>0</v>
      </c>
      <c r="AB64" s="174">
        <v>0</v>
      </c>
      <c r="AC64" s="171">
        <f t="shared" si="8"/>
        <v>-77942</v>
      </c>
      <c r="AD64" s="149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1">
        <v>1981</v>
      </c>
      <c r="I65" s="151">
        <v>-2232</v>
      </c>
      <c r="J65" s="151">
        <v>-3400</v>
      </c>
      <c r="K65" s="151">
        <v>0</v>
      </c>
      <c r="L65" s="151">
        <v>0</v>
      </c>
      <c r="M65" s="151">
        <v>3845</v>
      </c>
      <c r="N65" s="151">
        <v>44147</v>
      </c>
      <c r="O65" s="151">
        <v>317</v>
      </c>
      <c r="P65" s="151">
        <v>4344</v>
      </c>
      <c r="Q65" s="151">
        <v>0</v>
      </c>
      <c r="R65" s="151">
        <v>0</v>
      </c>
      <c r="S65" s="151">
        <v>280</v>
      </c>
      <c r="T65" s="151">
        <v>576</v>
      </c>
      <c r="U65" s="151">
        <v>41080</v>
      </c>
      <c r="V65" s="151">
        <v>0</v>
      </c>
      <c r="W65" s="151">
        <v>-2122</v>
      </c>
      <c r="X65" s="151">
        <v>-8276</v>
      </c>
      <c r="Y65" s="151">
        <v>523</v>
      </c>
      <c r="Z65" s="151">
        <v>4810</v>
      </c>
      <c r="AA65" s="151">
        <v>0</v>
      </c>
      <c r="AB65" s="174">
        <v>-3202</v>
      </c>
      <c r="AC65" s="171">
        <f t="shared" si="8"/>
        <v>82671</v>
      </c>
      <c r="AD65" s="149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1">
        <v>4563</v>
      </c>
      <c r="I66" s="151">
        <v>-67582</v>
      </c>
      <c r="J66" s="151">
        <v>-6980</v>
      </c>
      <c r="K66" s="151">
        <v>-2604</v>
      </c>
      <c r="L66" s="151">
        <v>2937</v>
      </c>
      <c r="M66" s="151">
        <v>23984</v>
      </c>
      <c r="N66" s="151">
        <v>201153</v>
      </c>
      <c r="O66" s="151">
        <v>-12086</v>
      </c>
      <c r="P66" s="151">
        <v>50799</v>
      </c>
      <c r="Q66" s="151">
        <v>-190</v>
      </c>
      <c r="R66" s="151">
        <v>-1275</v>
      </c>
      <c r="S66" s="151">
        <v>-6307</v>
      </c>
      <c r="T66" s="151">
        <v>3193</v>
      </c>
      <c r="U66" s="151">
        <v>12890</v>
      </c>
      <c r="V66" s="151">
        <v>1800</v>
      </c>
      <c r="W66" s="151">
        <v>-3460</v>
      </c>
      <c r="X66" s="151">
        <v>-8723</v>
      </c>
      <c r="Y66" s="151">
        <v>-3082</v>
      </c>
      <c r="Z66" s="151">
        <v>18263</v>
      </c>
      <c r="AA66" s="151">
        <v>10737</v>
      </c>
      <c r="AB66" s="174">
        <v>-1772</v>
      </c>
      <c r="AC66" s="171">
        <f t="shared" si="8"/>
        <v>216258</v>
      </c>
      <c r="AD66" s="149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74"/>
      <c r="AC67" s="171"/>
      <c r="AD67" s="149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4">
        <f t="shared" ref="H68:AB68" si="16">SUM(H4:H66)</f>
        <v>662501</v>
      </c>
      <c r="I68" s="254">
        <f t="shared" si="16"/>
        <v>-3280810</v>
      </c>
      <c r="J68" s="254">
        <f t="shared" si="16"/>
        <v>-2455834</v>
      </c>
      <c r="K68" s="254">
        <f t="shared" si="16"/>
        <v>-445313</v>
      </c>
      <c r="L68" s="254">
        <f t="shared" si="16"/>
        <v>359583</v>
      </c>
      <c r="M68" s="254">
        <f t="shared" si="16"/>
        <v>613475</v>
      </c>
      <c r="N68" s="254">
        <f t="shared" si="16"/>
        <v>2759535</v>
      </c>
      <c r="O68" s="254">
        <f t="shared" si="16"/>
        <v>173698</v>
      </c>
      <c r="P68" s="254">
        <f t="shared" si="16"/>
        <v>267906</v>
      </c>
      <c r="Q68" s="254">
        <f t="shared" si="16"/>
        <v>-376524</v>
      </c>
      <c r="R68" s="254">
        <f t="shared" si="16"/>
        <v>-559445</v>
      </c>
      <c r="S68" s="254">
        <f t="shared" si="16"/>
        <v>85430</v>
      </c>
      <c r="T68" s="254">
        <f t="shared" si="16"/>
        <v>-382058</v>
      </c>
      <c r="U68" s="254">
        <f t="shared" si="16"/>
        <v>913217</v>
      </c>
      <c r="V68" s="254">
        <f t="shared" si="16"/>
        <v>286482</v>
      </c>
      <c r="W68" s="254">
        <f t="shared" si="16"/>
        <v>885597</v>
      </c>
      <c r="X68" s="254">
        <f t="shared" si="16"/>
        <v>-1193352</v>
      </c>
      <c r="Y68" s="254">
        <f t="shared" si="16"/>
        <v>-207922</v>
      </c>
      <c r="Z68" s="254">
        <f t="shared" si="16"/>
        <v>-764428</v>
      </c>
      <c r="AA68" s="254">
        <f t="shared" si="16"/>
        <v>-408449</v>
      </c>
      <c r="AB68" s="254">
        <f t="shared" si="16"/>
        <v>-2319045</v>
      </c>
      <c r="AC68" s="254">
        <f>SUM(H68:AB68)</f>
        <v>-5385756</v>
      </c>
      <c r="AD68" s="255">
        <f>IFERROR(AC68/F68*100,0)/10000000</f>
        <v>0</v>
      </c>
    </row>
    <row r="69" spans="1:34" s="249" customFormat="1" ht="15.75" thickBot="1" x14ac:dyDescent="0.3">
      <c r="A69" s="250"/>
      <c r="B69" s="250"/>
      <c r="C69" s="250"/>
      <c r="D69" s="250"/>
      <c r="E69" s="250"/>
      <c r="F69" s="251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  <c r="R69" s="250"/>
      <c r="S69" s="250"/>
      <c r="T69" s="250"/>
      <c r="U69" s="250"/>
      <c r="V69" s="250"/>
      <c r="W69" s="250"/>
      <c r="X69" s="250"/>
      <c r="Y69" s="250"/>
      <c r="Z69" s="250"/>
      <c r="AA69" s="250"/>
      <c r="AB69" s="250"/>
      <c r="AC69" s="250"/>
      <c r="AD69" s="252"/>
    </row>
    <row r="70" spans="1:34" x14ac:dyDescent="0.25">
      <c r="A70" s="202" t="s">
        <v>241</v>
      </c>
      <c r="B70" s="203" t="s">
        <v>240</v>
      </c>
      <c r="C70" s="203" t="s">
        <v>57</v>
      </c>
      <c r="D70" s="203" t="s">
        <v>87</v>
      </c>
      <c r="E70" s="203" t="s">
        <v>256</v>
      </c>
      <c r="F70" s="204">
        <v>3</v>
      </c>
      <c r="G70" s="205"/>
      <c r="H70" s="162">
        <v>4780</v>
      </c>
      <c r="I70" s="162">
        <v>-77556</v>
      </c>
      <c r="J70" s="162">
        <v>0</v>
      </c>
      <c r="K70" s="162">
        <v>-11375</v>
      </c>
      <c r="L70" s="162">
        <v>0</v>
      </c>
      <c r="M70" s="162">
        <v>0</v>
      </c>
      <c r="N70" s="162">
        <v>127500</v>
      </c>
      <c r="O70" s="162">
        <v>37317</v>
      </c>
      <c r="P70" s="162">
        <v>65831</v>
      </c>
      <c r="Q70" s="162">
        <v>-40665</v>
      </c>
      <c r="R70" s="162">
        <v>-78380</v>
      </c>
      <c r="S70" s="162">
        <v>156647</v>
      </c>
      <c r="T70" s="162">
        <v>-45471</v>
      </c>
      <c r="U70" s="162">
        <v>204760</v>
      </c>
      <c r="V70" s="162">
        <v>746</v>
      </c>
      <c r="W70" s="162">
        <v>-29842</v>
      </c>
      <c r="X70" s="162">
        <v>-116040</v>
      </c>
      <c r="Y70" s="162">
        <v>12961</v>
      </c>
      <c r="Z70" s="162">
        <v>-134500</v>
      </c>
      <c r="AA70" s="162">
        <v>0</v>
      </c>
      <c r="AB70" s="246">
        <v>-5183</v>
      </c>
      <c r="AC70" s="247">
        <f>SUM(H70:AB70)</f>
        <v>71530</v>
      </c>
      <c r="AD70" s="248">
        <f>IFERROR(AC70/F70*100,0)/10000000</f>
        <v>0.2384333333333333</v>
      </c>
      <c r="AG70" s="134"/>
    </row>
    <row r="71" spans="1:34" x14ac:dyDescent="0.25">
      <c r="A71" s="202" t="s">
        <v>273</v>
      </c>
      <c r="B71" s="203" t="s">
        <v>272</v>
      </c>
      <c r="C71" s="203" t="s">
        <v>57</v>
      </c>
      <c r="D71" s="203" t="s">
        <v>87</v>
      </c>
      <c r="E71" s="203" t="s">
        <v>256</v>
      </c>
      <c r="F71" s="204"/>
      <c r="G71" s="205"/>
      <c r="H71" s="162">
        <v>0</v>
      </c>
      <c r="I71" s="162">
        <v>-310900</v>
      </c>
      <c r="J71" s="162">
        <v>0</v>
      </c>
      <c r="K71" s="162">
        <v>0</v>
      </c>
      <c r="L71" s="162">
        <v>100</v>
      </c>
      <c r="M71" s="162">
        <v>0</v>
      </c>
      <c r="N71" s="162">
        <v>276000</v>
      </c>
      <c r="O71" s="162">
        <v>0</v>
      </c>
      <c r="P71" s="162">
        <v>0</v>
      </c>
      <c r="Q71" s="162">
        <v>0</v>
      </c>
      <c r="R71" s="162">
        <v>0</v>
      </c>
      <c r="S71" s="162">
        <v>198600</v>
      </c>
      <c r="T71" s="162">
        <v>0</v>
      </c>
      <c r="U71" s="162">
        <v>0</v>
      </c>
      <c r="V71" s="162">
        <v>0</v>
      </c>
      <c r="W71" s="162">
        <v>9894</v>
      </c>
      <c r="X71" s="162">
        <v>40560</v>
      </c>
      <c r="Y71" s="162">
        <v>0</v>
      </c>
      <c r="Z71" s="162">
        <v>0</v>
      </c>
      <c r="AA71" s="162">
        <v>0</v>
      </c>
      <c r="AB71" s="174">
        <v>-16815</v>
      </c>
      <c r="AC71" s="171">
        <f>SUM(H71:AB71)</f>
        <v>197439</v>
      </c>
      <c r="AD71" s="149">
        <f>IFERROR(AC71/F71*100,0)/10000000</f>
        <v>0</v>
      </c>
      <c r="AF71" s="134"/>
    </row>
    <row r="72" spans="1:34" ht="15.75" thickBot="1" x14ac:dyDescent="0.3">
      <c r="A72" s="198"/>
      <c r="B72" s="20"/>
      <c r="C72" s="20"/>
      <c r="D72" s="20"/>
      <c r="E72" s="20"/>
      <c r="F72" s="114"/>
      <c r="G72" s="199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75"/>
      <c r="AC72" s="172"/>
      <c r="AD72" s="66"/>
      <c r="AF72" s="237"/>
      <c r="AG72" s="134"/>
      <c r="AH72" s="237"/>
    </row>
    <row r="73" spans="1:34" ht="15.75" thickBot="1" x14ac:dyDescent="0.3">
      <c r="A73" s="200"/>
      <c r="B73" s="16"/>
      <c r="C73" s="16"/>
      <c r="D73" s="16"/>
      <c r="E73" s="16"/>
      <c r="F73" s="74"/>
      <c r="G73" s="17"/>
      <c r="H73" s="170">
        <f t="shared" ref="H73:AB73" si="17">SUM(H70:H71)</f>
        <v>4780</v>
      </c>
      <c r="I73" s="170">
        <f t="shared" si="17"/>
        <v>-388456</v>
      </c>
      <c r="J73" s="170">
        <f t="shared" si="17"/>
        <v>0</v>
      </c>
      <c r="K73" s="170">
        <f t="shared" si="17"/>
        <v>-11375</v>
      </c>
      <c r="L73" s="170">
        <f t="shared" si="17"/>
        <v>100</v>
      </c>
      <c r="M73" s="170">
        <f t="shared" si="17"/>
        <v>0</v>
      </c>
      <c r="N73" s="170">
        <f t="shared" si="17"/>
        <v>403500</v>
      </c>
      <c r="O73" s="170">
        <f t="shared" si="17"/>
        <v>37317</v>
      </c>
      <c r="P73" s="170">
        <f t="shared" si="17"/>
        <v>65831</v>
      </c>
      <c r="Q73" s="170">
        <f t="shared" si="17"/>
        <v>-40665</v>
      </c>
      <c r="R73" s="170">
        <f t="shared" si="17"/>
        <v>-78380</v>
      </c>
      <c r="S73" s="170">
        <f t="shared" si="17"/>
        <v>355247</v>
      </c>
      <c r="T73" s="170">
        <f t="shared" si="17"/>
        <v>-45471</v>
      </c>
      <c r="U73" s="170">
        <f t="shared" si="17"/>
        <v>204760</v>
      </c>
      <c r="V73" s="170">
        <f t="shared" si="17"/>
        <v>746</v>
      </c>
      <c r="W73" s="170">
        <f t="shared" si="17"/>
        <v>-19948</v>
      </c>
      <c r="X73" s="170">
        <f t="shared" si="17"/>
        <v>-75480</v>
      </c>
      <c r="Y73" s="170">
        <f t="shared" si="17"/>
        <v>12961</v>
      </c>
      <c r="Z73" s="170">
        <f t="shared" si="17"/>
        <v>-134500</v>
      </c>
      <c r="AA73" s="170">
        <f t="shared" si="17"/>
        <v>0</v>
      </c>
      <c r="AB73" s="170">
        <f t="shared" si="17"/>
        <v>-21998</v>
      </c>
      <c r="AC73" s="254">
        <f>SUM(H73:AB73)</f>
        <v>268969</v>
      </c>
      <c r="AD73" s="19"/>
      <c r="AF73" s="5"/>
      <c r="AG73" s="134"/>
      <c r="AH73" s="237"/>
    </row>
    <row r="74" spans="1:34" x14ac:dyDescent="0.25">
      <c r="AF74" s="134"/>
      <c r="AG74" s="134"/>
      <c r="AH74" s="237"/>
    </row>
    <row r="75" spans="1:34" x14ac:dyDescent="0.25">
      <c r="AF75" s="134"/>
      <c r="AG75" s="134"/>
      <c r="AH75" s="237"/>
    </row>
    <row r="76" spans="1:34" x14ac:dyDescent="0.25">
      <c r="AF76" s="134"/>
      <c r="AG76" s="134"/>
      <c r="AH76" s="237"/>
    </row>
    <row r="77" spans="1:34" x14ac:dyDescent="0.25">
      <c r="AF77" s="134"/>
      <c r="AG77" s="134"/>
      <c r="AH77" s="237"/>
    </row>
    <row r="78" spans="1:34" x14ac:dyDescent="0.25">
      <c r="AF78" s="134"/>
      <c r="AG78" s="237"/>
      <c r="AH78" s="237"/>
    </row>
    <row r="79" spans="1:34" x14ac:dyDescent="0.25">
      <c r="AF79" s="237"/>
      <c r="AG79" s="237"/>
      <c r="AH79" s="237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2" priority="22">
      <formula>MOD(ROW(),2)=0</formula>
    </cfRule>
  </conditionalFormatting>
  <conditionalFormatting sqref="AD43">
    <cfRule type="expression" dxfId="431" priority="21">
      <formula>MOD(ROW(),2)=0</formula>
    </cfRule>
  </conditionalFormatting>
  <conditionalFormatting sqref="AD46">
    <cfRule type="expression" dxfId="430" priority="20">
      <formula>MOD(ROW(),2)=0</formula>
    </cfRule>
  </conditionalFormatting>
  <conditionalFormatting sqref="AC4:AD4">
    <cfRule type="expression" dxfId="429" priority="19">
      <formula>MOD(ROW(),2)=0</formula>
    </cfRule>
  </conditionalFormatting>
  <conditionalFormatting sqref="AD45">
    <cfRule type="expression" dxfId="428" priority="18">
      <formula>MOD(ROW(),2)=0</formula>
    </cfRule>
  </conditionalFormatting>
  <conditionalFormatting sqref="AD20">
    <cfRule type="expression" dxfId="427" priority="17">
      <formula>MOD(ROW(),2)=0</formula>
    </cfRule>
  </conditionalFormatting>
  <conditionalFormatting sqref="AD54">
    <cfRule type="expression" dxfId="426" priority="16">
      <formula>MOD(ROW(),2)=0</formula>
    </cfRule>
  </conditionalFormatting>
  <conditionalFormatting sqref="AD24">
    <cfRule type="expression" dxfId="425" priority="15">
      <formula>MOD(ROW(),2)=0</formula>
    </cfRule>
  </conditionalFormatting>
  <conditionalFormatting sqref="AC68">
    <cfRule type="expression" dxfId="424" priority="14">
      <formula>MOD(ROW(),2)=0</formula>
    </cfRule>
  </conditionalFormatting>
  <conditionalFormatting sqref="AD49">
    <cfRule type="expression" dxfId="423" priority="13">
      <formula>MOD(ROW(),2)=0</formula>
    </cfRule>
  </conditionalFormatting>
  <conditionalFormatting sqref="AC28:AD28">
    <cfRule type="expression" dxfId="422" priority="12">
      <formula>MOD(ROW(),2)=0</formula>
    </cfRule>
  </conditionalFormatting>
  <conditionalFormatting sqref="AC65:AD65">
    <cfRule type="expression" dxfId="421" priority="11">
      <formula>MOD(ROW(),2)=0</formula>
    </cfRule>
  </conditionalFormatting>
  <conditionalFormatting sqref="AC53:AD53">
    <cfRule type="expression" dxfId="420" priority="10">
      <formula>MOD(ROW(),2)=0</formula>
    </cfRule>
  </conditionalFormatting>
  <conditionalFormatting sqref="AC73">
    <cfRule type="expression" dxfId="419" priority="9">
      <formula>MOD(ROW(),2)=0</formula>
    </cfRule>
  </conditionalFormatting>
  <conditionalFormatting sqref="H68:AB68">
    <cfRule type="expression" dxfId="418" priority="8">
      <formula>MOD(ROW(),2)=0</formula>
    </cfRule>
  </conditionalFormatting>
  <conditionalFormatting sqref="AC51:AD51">
    <cfRule type="expression" dxfId="417" priority="7">
      <formula>MOD(ROW(),2)=0</formula>
    </cfRule>
  </conditionalFormatting>
  <conditionalFormatting sqref="AC25">
    <cfRule type="expression" dxfId="416" priority="6">
      <formula>MOD(ROW(),2)=0</formula>
    </cfRule>
  </conditionalFormatting>
  <conditionalFormatting sqref="AD25">
    <cfRule type="expression" dxfId="415" priority="5">
      <formula>MOD(ROW(),2)=0</formula>
    </cfRule>
  </conditionalFormatting>
  <conditionalFormatting sqref="T44:AC44">
    <cfRule type="expression" dxfId="414" priority="4">
      <formula>MOD(ROW(),2)=0</formula>
    </cfRule>
  </conditionalFormatting>
  <conditionalFormatting sqref="AD44">
    <cfRule type="expression" dxfId="413" priority="3">
      <formula>MOD(ROW(),2)=0</formula>
    </cfRule>
  </conditionalFormatting>
  <conditionalFormatting sqref="A23:A25">
    <cfRule type="expression" dxfId="412" priority="2">
      <formula>MOD(ROW(),2)=0</formula>
    </cfRule>
  </conditionalFormatting>
  <conditionalFormatting sqref="A51">
    <cfRule type="expression" dxfId="411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34" workbookViewId="0">
      <selection activeCell="B22" sqref="B22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313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10" priority="20">
      <formula>MOD(ROW(),2)=0</formula>
    </cfRule>
  </conditionalFormatting>
  <conditionalFormatting sqref="AF40">
    <cfRule type="expression" dxfId="409" priority="19">
      <formula>MOD(ROW(),2)=0</formula>
    </cfRule>
  </conditionalFormatting>
  <conditionalFormatting sqref="AF42">
    <cfRule type="expression" dxfId="408" priority="18">
      <formula>MOD(ROW(),2)=0</formula>
    </cfRule>
  </conditionalFormatting>
  <conditionalFormatting sqref="AE4:AF4">
    <cfRule type="expression" dxfId="407" priority="16">
      <formula>MOD(ROW(),2)=0</formula>
    </cfRule>
  </conditionalFormatting>
  <conditionalFormatting sqref="AF41">
    <cfRule type="expression" dxfId="406" priority="14">
      <formula>MOD(ROW(),2)=0</formula>
    </cfRule>
  </conditionalFormatting>
  <conditionalFormatting sqref="AF18">
    <cfRule type="expression" dxfId="405" priority="13">
      <formula>MOD(ROW(),2)=0</formula>
    </cfRule>
  </conditionalFormatting>
  <conditionalFormatting sqref="AF49">
    <cfRule type="expression" dxfId="404" priority="12">
      <formula>MOD(ROW(),2)=0</formula>
    </cfRule>
  </conditionalFormatting>
  <conditionalFormatting sqref="AF22">
    <cfRule type="expression" dxfId="403" priority="11">
      <formula>MOD(ROW(),2)=0</formula>
    </cfRule>
  </conditionalFormatting>
  <conditionalFormatting sqref="AE62">
    <cfRule type="expression" dxfId="402" priority="10">
      <formula>MOD(ROW(),2)=0</formula>
    </cfRule>
  </conditionalFormatting>
  <conditionalFormatting sqref="AF45">
    <cfRule type="expression" dxfId="401" priority="9">
      <formula>MOD(ROW(),2)=0</formula>
    </cfRule>
  </conditionalFormatting>
  <conditionalFormatting sqref="AE25:AF25">
    <cfRule type="expression" dxfId="400" priority="6">
      <formula>MOD(ROW(),2)=0</formula>
    </cfRule>
  </conditionalFormatting>
  <conditionalFormatting sqref="AE59:AF59">
    <cfRule type="expression" dxfId="399" priority="5">
      <formula>MOD(ROW(),2)=0</formula>
    </cfRule>
  </conditionalFormatting>
  <conditionalFormatting sqref="AE48:AF48">
    <cfRule type="expression" dxfId="398" priority="4">
      <formula>MOD(ROW(),2)=0</formula>
    </cfRule>
  </conditionalFormatting>
  <conditionalFormatting sqref="AE67">
    <cfRule type="expression" dxfId="397" priority="3">
      <formula>MOD(ROW(),2)=0</formula>
    </cfRule>
  </conditionalFormatting>
  <conditionalFormatting sqref="B21">
    <cfRule type="expression" dxfId="396" priority="2">
      <formula>MOD(ROW(),2)=0</formula>
    </cfRule>
  </conditionalFormatting>
  <conditionalFormatting sqref="A21:A22">
    <cfRule type="expression" dxfId="395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workbookViewId="0">
      <selection activeCell="T14" sqref="T14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IFERROR(VLOOKUP($A$3:$A$126,'JULY-2026'!$A$4:$ACS$118,MATCH('FY-(26-27)Q2'!$G$2:$H$2,'JULY-2026'!$A$2:$CT$2,0),0),0)</f>
        <v>-16641</v>
      </c>
      <c r="H4" s="155">
        <f>IFERROR(VLOOKUP($A$3:$A$126,'JULY-2026'!$A$4:$ACS$118,MATCH('FY-(26-27)Q2'!$G$2:$H$2,'JULY-2026'!$A$2:$CT$2,0),0),0)</f>
        <v>-0.33282</v>
      </c>
      <c r="I4" s="153">
        <f>IFERROR(VLOOKUP($A$3:$A$126,'AUG-2026'!$A$4:$ADL$124,MATCH('FY-(26-27)Q2'!$I$2:$J$2,'AUG-2026'!$A$2:$DM$2,0),0),0)</f>
        <v>-10403</v>
      </c>
      <c r="J4" s="155">
        <f>IFERROR(VLOOKUP($A$3:$A$126,'AUG-2026'!$A$4:$ADL$124,MATCH('FY-(26-27)Q2'!$I$2:$J$2,'AUG-2026'!$A$2:$DM$2,0),0),0)</f>
        <v>-0.20805999999999999</v>
      </c>
      <c r="K4" s="153">
        <f>IFERROR(VLOOKUP($A$3:$A$126,'SEP-2026'!$A$4:$ADN$124,MATCH('FY-(26-27)Q2'!$K$2:$L$2,'SEP-2026'!$A$2:$DO$2,0),0),0)</f>
        <v>-11762</v>
      </c>
      <c r="L4" s="155">
        <f>IFERROR(VLOOKUP($A$3:$A$126,'SEP-2026'!$A$4:$ADN$124,MATCH('FY-(26-27)Q2'!$K$2:$L$2,'SEP-2026'!$A$2:$DO$2,0),0),0)</f>
        <v>-0.23524</v>
      </c>
      <c r="M4" s="71">
        <f t="shared" ref="M4:N62" si="0">G4+I4+K4</f>
        <v>-38806</v>
      </c>
      <c r="N4" s="166">
        <f t="shared" si="0"/>
        <v>-0.77612000000000003</v>
      </c>
    </row>
    <row r="5" spans="1:14" x14ac:dyDescent="0.25">
      <c r="A5" s="142" t="s">
        <v>30</v>
      </c>
      <c r="B5" s="141" t="s">
        <v>309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IFERROR(VLOOKUP($A$3:$A$126,'JULY-2026'!$A$4:$ACS$118,MATCH('FY-(26-27)Q2'!$G$2:$H$2,'JULY-2026'!$A$2:$CT$2,0),0),0)</f>
        <v>130806</v>
      </c>
      <c r="H5" s="155">
        <f>IFERROR(VLOOKUP($A$3:$A$126,'JULY-2026'!$A$4:$ACS$118,MATCH('FY-(26-27)Q2'!$G$2:$H$2,'JULY-2026'!$A$2:$CT$2,0),0),0)</f>
        <v>0.43602000000000002</v>
      </c>
      <c r="I5" s="153">
        <f>IFERROR(VLOOKUP($A$3:$A$126,'AUG-2026'!$A$4:$ADL$124,MATCH('FY-(26-27)Q2'!$I$2:$J$2,'AUG-2026'!$A$2:$DM$2,0),0),0)</f>
        <v>-381777</v>
      </c>
      <c r="J5" s="155">
        <f>IFERROR(VLOOKUP($A$3:$A$126,'AUG-2026'!$A$4:$ADL$124,MATCH('FY-(26-27)Q2'!$I$2:$J$2,'AUG-2026'!$A$2:$DM$2,0),0),0)</f>
        <v>-1.2725900000000001</v>
      </c>
      <c r="K5" s="153">
        <f>IFERROR(VLOOKUP($A$3:$A$126,'SEP-2026'!$A$4:$ADN$124,MATCH('FY-(26-27)Q2'!$K$2:$L$2,'SEP-2026'!$A$2:$DO$2,0),0),0)</f>
        <v>-108180</v>
      </c>
      <c r="L5" s="155">
        <f>IFERROR(VLOOKUP($A$3:$A$126,'SEP-2026'!$A$4:$ADN$124,MATCH('FY-(26-27)Q2'!$K$2:$L$2,'SEP-2026'!$A$2:$DO$2,0),0),0)</f>
        <v>-0.36059999999999998</v>
      </c>
      <c r="M5" s="71">
        <f t="shared" si="0"/>
        <v>-359151</v>
      </c>
      <c r="N5" s="166">
        <f t="shared" si="0"/>
        <v>-1.1971700000000001</v>
      </c>
    </row>
    <row r="6" spans="1:1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53">
        <f>IFERROR(VLOOKUP($A$3:$A$126,'JULY-2026'!$A$4:$ACS$118,MATCH('FY-(26-27)Q2'!$G$2:$H$2,'JULY-2026'!$A$2:$CT$2,0),0),0)</f>
        <v>0</v>
      </c>
      <c r="H6" s="155">
        <f>IFERROR(VLOOKUP($A$3:$A$126,'JULY-2026'!$A$4:$ACS$118,MATCH('FY-(26-27)Q2'!$G$2:$H$2,'JULY-2026'!$A$2:$CT$2,0),0),0)</f>
        <v>0</v>
      </c>
      <c r="I6" s="153">
        <f>IFERROR(VLOOKUP($A$3:$A$126,'AUG-2026'!$A$4:$ADL$124,MATCH('FY-(26-27)Q2'!$I$2:$J$2,'AUG-2026'!$A$2:$DM$2,0),0),0)</f>
        <v>116185</v>
      </c>
      <c r="J6" s="155">
        <f>IFERROR(VLOOKUP($A$3:$A$126,'AUG-2026'!$A$4:$ADL$124,MATCH('FY-(26-27)Q2'!$I$2:$J$2,'AUG-2026'!$A$2:$DM$2,0),0),0)</f>
        <v>1.16185</v>
      </c>
      <c r="K6" s="153">
        <f>IFERROR(VLOOKUP($A$3:$A$126,'SEP-2026'!$A$4:$ADN$124,MATCH('FY-(26-27)Q2'!$K$2:$L$2,'SEP-2026'!$A$2:$DO$2,0),0),0)</f>
        <v>0</v>
      </c>
      <c r="L6" s="155">
        <f>IFERROR(VLOOKUP($A$3:$A$126,'SEP-2026'!$A$4:$ADN$124,MATCH('FY-(26-27)Q2'!$K$2:$L$2,'SEP-2026'!$A$2:$DO$2,0),0),0)</f>
        <v>0</v>
      </c>
      <c r="M6" s="71">
        <f t="shared" ref="M6:M7" si="1">G6+I6+K6</f>
        <v>116185</v>
      </c>
      <c r="N6" s="166">
        <f t="shared" ref="N6:N7" si="2">H6+J6+L6</f>
        <v>1.16185</v>
      </c>
    </row>
    <row r="7" spans="1:14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53">
        <f>IFERROR(VLOOKUP($A$3:$A$126,'JULY-2026'!$A$4:$ACS$118,MATCH('FY-(26-27)Q2'!$G$2:$H$2,'JULY-2026'!$A$2:$CT$2,0),0),0)</f>
        <v>0</v>
      </c>
      <c r="H7" s="155">
        <f>IFERROR(VLOOKUP($A$3:$A$126,'JULY-2026'!$A$4:$ACS$118,MATCH('FY-(26-27)Q2'!$G$2:$H$2,'JULY-2026'!$A$2:$CT$2,0),0),0)</f>
        <v>0</v>
      </c>
      <c r="I7" s="153">
        <f>IFERROR(VLOOKUP($A$3:$A$126,'AUG-2026'!$A$4:$ADL$124,MATCH('FY-(26-27)Q2'!$I$2:$J$2,'AUG-2026'!$A$2:$DM$2,0),0),0)</f>
        <v>0</v>
      </c>
      <c r="J7" s="155">
        <f>IFERROR(VLOOKUP($A$3:$A$126,'AUG-2026'!$A$4:$ADL$124,MATCH('FY-(26-27)Q2'!$I$2:$J$2,'AUG-2026'!$A$2:$DM$2,0),0),0)</f>
        <v>0</v>
      </c>
      <c r="K7" s="153">
        <f>IFERROR(VLOOKUP($A$3:$A$126,'SEP-2026'!$A$4:$ADN$124,MATCH('FY-(26-27)Q2'!$K$2:$L$2,'SEP-2026'!$A$2:$DO$2,0),0),0)</f>
        <v>0</v>
      </c>
      <c r="L7" s="155">
        <f>IFERROR(VLOOKUP($A$3:$A$126,'SEP-2026'!$A$4:$ADN$124,MATCH('FY-(26-27)Q2'!$K$2:$L$2,'SEP-2026'!$A$2:$DO$2,0),0),0)</f>
        <v>0</v>
      </c>
      <c r="M7" s="71">
        <f t="shared" si="1"/>
        <v>0</v>
      </c>
      <c r="N7" s="166">
        <f t="shared" si="2"/>
        <v>0</v>
      </c>
    </row>
    <row r="8" spans="1:14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38" t="s">
        <v>256</v>
      </c>
      <c r="F8" s="156">
        <v>3</v>
      </c>
      <c r="G8" s="153">
        <f>IFERROR(VLOOKUP($A$3:$A$126,'JULY-2026'!$A$4:$ACS$118,MATCH('FY-(26-27)Q2'!$G$2:$H$2,'JULY-2026'!$A$2:$CT$2,0),0),0)</f>
        <v>39738</v>
      </c>
      <c r="H8" s="155">
        <f>IFERROR(VLOOKUP($A$3:$A$126,'JULY-2026'!$A$4:$ACS$118,MATCH('FY-(26-27)Q2'!$G$2:$H$2,'JULY-2026'!$A$2:$CT$2,0),0),0)</f>
        <v>0.13245999999999999</v>
      </c>
      <c r="I8" s="153">
        <f>IFERROR(VLOOKUP($A$3:$A$126,'AUG-2026'!$A$4:$ADL$124,MATCH('FY-(26-27)Q2'!$I$2:$J$2,'AUG-2026'!$A$2:$DM$2,0),0),0)</f>
        <v>-494835</v>
      </c>
      <c r="J8" s="155">
        <f>IFERROR(VLOOKUP($A$3:$A$126,'AUG-2026'!$A$4:$ADL$124,MATCH('FY-(26-27)Q2'!$I$2:$J$2,'AUG-2026'!$A$2:$DM$2,0),0),0)</f>
        <v>-1.6494500000000001</v>
      </c>
      <c r="K8" s="153">
        <f>IFERROR(VLOOKUP($A$3:$A$126,'SEP-2026'!$A$4:$ADN$124,MATCH('FY-(26-27)Q2'!$K$2:$L$2,'SEP-2026'!$A$2:$DO$2,0),0),0)</f>
        <v>107757</v>
      </c>
      <c r="L8" s="155">
        <f>IFERROR(VLOOKUP($A$3:$A$126,'SEP-2026'!$A$4:$ADN$124,MATCH('FY-(26-27)Q2'!$K$2:$L$2,'SEP-2026'!$A$2:$DO$2,0),0),0)</f>
        <v>0.35919000000000001</v>
      </c>
      <c r="M8" s="71">
        <f t="shared" si="0"/>
        <v>-347340</v>
      </c>
      <c r="N8" s="166">
        <f t="shared" si="0"/>
        <v>-1.1577999999999999</v>
      </c>
    </row>
    <row r="9" spans="1:14" x14ac:dyDescent="0.25">
      <c r="A9" s="142" t="s">
        <v>217</v>
      </c>
      <c r="B9" s="141" t="s">
        <v>133</v>
      </c>
      <c r="C9" s="141" t="s">
        <v>96</v>
      </c>
      <c r="D9" s="38" t="s">
        <v>116</v>
      </c>
      <c r="E9" s="38" t="s">
        <v>256</v>
      </c>
      <c r="F9" s="156">
        <v>1.5</v>
      </c>
      <c r="G9" s="153">
        <f>IFERROR(VLOOKUP($A$3:$A$126,'JULY-2026'!$A$4:$ACS$118,MATCH('FY-(26-27)Q2'!$G$2:$H$2,'JULY-2026'!$A$2:$CT$2,0),0),0)</f>
        <v>-318482</v>
      </c>
      <c r="H9" s="155">
        <f>IFERROR(VLOOKUP($A$3:$A$126,'JULY-2026'!$A$4:$ACS$118,MATCH('FY-(26-27)Q2'!$G$2:$H$2,'JULY-2026'!$A$2:$CT$2,0),0),0)</f>
        <v>-2.1232133333333336</v>
      </c>
      <c r="I9" s="153">
        <f>IFERROR(VLOOKUP($A$3:$A$126,'AUG-2026'!$A$4:$ADL$124,MATCH('FY-(26-27)Q2'!$I$2:$J$2,'AUG-2026'!$A$2:$DM$2,0),0),0)</f>
        <v>24346</v>
      </c>
      <c r="J9" s="155">
        <f>IFERROR(VLOOKUP($A$3:$A$126,'AUG-2026'!$A$4:$ADL$124,MATCH('FY-(26-27)Q2'!$I$2:$J$2,'AUG-2026'!$A$2:$DM$2,0),0),0)</f>
        <v>0.16230666666666665</v>
      </c>
      <c r="K9" s="153">
        <f>IFERROR(VLOOKUP($A$3:$A$126,'SEP-2026'!$A$4:$ADN$124,MATCH('FY-(26-27)Q2'!$K$2:$L$2,'SEP-2026'!$A$2:$DO$2,0),0),0)</f>
        <v>81548</v>
      </c>
      <c r="L9" s="155">
        <f>IFERROR(VLOOKUP($A$3:$A$126,'SEP-2026'!$A$4:$ADN$124,MATCH('FY-(26-27)Q2'!$K$2:$L$2,'SEP-2026'!$A$2:$DO$2,0),0),0)</f>
        <v>0.54365333333333343</v>
      </c>
      <c r="M9" s="71">
        <f t="shared" si="0"/>
        <v>-212588</v>
      </c>
      <c r="N9" s="166">
        <f t="shared" si="0"/>
        <v>-1.4172533333333335</v>
      </c>
    </row>
    <row r="10" spans="1:14" x14ac:dyDescent="0.25">
      <c r="A10" s="142" t="s">
        <v>313</v>
      </c>
      <c r="B10" s="141" t="s">
        <v>133</v>
      </c>
      <c r="C10" s="141" t="s">
        <v>294</v>
      </c>
      <c r="D10" s="38" t="s">
        <v>116</v>
      </c>
      <c r="E10" s="38" t="s">
        <v>256</v>
      </c>
      <c r="F10" s="156">
        <v>0.6</v>
      </c>
      <c r="G10" s="153">
        <f>IFERROR(VLOOKUP($A$3:$A$126,'JULY-2026'!$A$4:$ACS$118,MATCH('FY-(26-27)Q2'!$G$2:$H$2,'JULY-2026'!$A$2:$CT$2,0),0),0)</f>
        <v>-126033</v>
      </c>
      <c r="H10" s="155">
        <f>IFERROR(VLOOKUP($A$3:$A$126,'JULY-2026'!$A$4:$ACS$118,MATCH('FY-(26-27)Q2'!$G$2:$H$2,'JULY-2026'!$A$2:$CT$2,0),0),0)</f>
        <v>-2.1005500000000001</v>
      </c>
      <c r="I10" s="153">
        <f>IFERROR(VLOOKUP($A$3:$A$126,'AUG-2026'!$A$4:$ADL$124,MATCH('FY-(26-27)Q2'!$I$2:$J$2,'AUG-2026'!$A$2:$DM$2,0),0),0)</f>
        <v>-66216</v>
      </c>
      <c r="J10" s="155">
        <f>IFERROR(VLOOKUP($A$3:$A$126,'AUG-2026'!$A$4:$ADL$124,MATCH('FY-(26-27)Q2'!$I$2:$J$2,'AUG-2026'!$A$2:$DM$2,0),0),0)</f>
        <v>-1.1035999999999999</v>
      </c>
      <c r="K10" s="153">
        <f>IFERROR(VLOOKUP($A$3:$A$126,'SEP-2026'!$A$4:$ADN$124,MATCH('FY-(26-27)Q2'!$K$2:$L$2,'SEP-2026'!$A$2:$DO$2,0),0),0)</f>
        <v>8274</v>
      </c>
      <c r="L10" s="155">
        <f>IFERROR(VLOOKUP($A$3:$A$126,'SEP-2026'!$A$4:$ADN$124,MATCH('FY-(26-27)Q2'!$K$2:$L$2,'SEP-2026'!$A$2:$DO$2,0),0),0)</f>
        <v>0.13789999999999999</v>
      </c>
      <c r="M10" s="71">
        <f t="shared" ref="M10" si="3">G10+I10+K10</f>
        <v>-183975</v>
      </c>
      <c r="N10" s="166">
        <f t="shared" ref="N10" si="4">H10+J10+L10</f>
        <v>-3.0662500000000001</v>
      </c>
    </row>
    <row r="11" spans="1:1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53">
        <f>IFERROR(VLOOKUP($A$3:$A$126,'JULY-2026'!$A$4:$ACS$118,MATCH('FY-(26-27)Q2'!$G$2:$H$2,'JULY-2026'!$A$2:$CT$2,0),0),0)</f>
        <v>2336276</v>
      </c>
      <c r="H11" s="155">
        <f>IFERROR(VLOOKUP($A$3:$A$126,'JULY-2026'!$A$4:$ACS$118,MATCH('FY-(26-27)Q2'!$G$2:$H$2,'JULY-2026'!$A$2:$CT$2,0),0),0)</f>
        <v>1.5575173333333334</v>
      </c>
      <c r="I11" s="153">
        <f>IFERROR(VLOOKUP($A$3:$A$126,'AUG-2026'!$A$4:$ADL$124,MATCH('FY-(26-27)Q2'!$I$2:$J$2,'AUG-2026'!$A$2:$DM$2,0),0),0)</f>
        <v>-1369011</v>
      </c>
      <c r="J11" s="155">
        <f>IFERROR(VLOOKUP($A$3:$A$126,'AUG-2026'!$A$4:$ADL$124,MATCH('FY-(26-27)Q2'!$I$2:$J$2,'AUG-2026'!$A$2:$DM$2,0),0),0)</f>
        <v>-0.91267399999999999</v>
      </c>
      <c r="K11" s="153">
        <f>IFERROR(VLOOKUP($A$3:$A$126,'SEP-2026'!$A$4:$ADN$124,MATCH('FY-(26-27)Q2'!$K$2:$L$2,'SEP-2026'!$A$2:$DO$2,0),0),0)</f>
        <v>-413740</v>
      </c>
      <c r="L11" s="155">
        <f>IFERROR(VLOOKUP($A$3:$A$126,'SEP-2026'!$A$4:$ADN$124,MATCH('FY-(26-27)Q2'!$K$2:$L$2,'SEP-2026'!$A$2:$DO$2,0),0),0)</f>
        <v>-0.27582666666666672</v>
      </c>
      <c r="M11" s="71">
        <f t="shared" si="0"/>
        <v>553525</v>
      </c>
      <c r="N11" s="166">
        <f t="shared" si="0"/>
        <v>0.36901666666666672</v>
      </c>
    </row>
    <row r="12" spans="1:1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39" t="s">
        <v>256</v>
      </c>
      <c r="F12" s="157">
        <v>6</v>
      </c>
      <c r="G12" s="153">
        <f>IFERROR(VLOOKUP($A$3:$A$126,'JULY-2026'!$A$4:$ACS$118,MATCH('FY-(26-27)Q2'!$G$2:$H$2,'JULY-2026'!$A$2:$CT$2,0),0),0)</f>
        <v>405946</v>
      </c>
      <c r="H12" s="155">
        <f>IFERROR(VLOOKUP($A$3:$A$126,'JULY-2026'!$A$4:$ACS$118,MATCH('FY-(26-27)Q2'!$G$2:$H$2,'JULY-2026'!$A$2:$CT$2,0),0),0)</f>
        <v>0.67657666666666672</v>
      </c>
      <c r="I12" s="153">
        <f>IFERROR(VLOOKUP($A$3:$A$126,'AUG-2026'!$A$4:$ADL$124,MATCH('FY-(26-27)Q2'!$I$2:$J$2,'AUG-2026'!$A$2:$DM$2,0),0),0)</f>
        <v>1834</v>
      </c>
      <c r="J12" s="155">
        <f>IFERROR(VLOOKUP($A$3:$A$126,'AUG-2026'!$A$4:$ADL$124,MATCH('FY-(26-27)Q2'!$I$2:$J$2,'AUG-2026'!$A$2:$DM$2,0),0),0)</f>
        <v>3.0566666666666667E-3</v>
      </c>
      <c r="K12" s="153">
        <f>IFERROR(VLOOKUP($A$3:$A$126,'SEP-2026'!$A$4:$ADN$124,MATCH('FY-(26-27)Q2'!$K$2:$L$2,'SEP-2026'!$A$2:$DO$2,0),0),0)</f>
        <v>-112135</v>
      </c>
      <c r="L12" s="155">
        <f>IFERROR(VLOOKUP($A$3:$A$126,'SEP-2026'!$A$4:$ADN$124,MATCH('FY-(26-27)Q2'!$K$2:$L$2,'SEP-2026'!$A$2:$DO$2,0),0),0)</f>
        <v>-0.18689166666666668</v>
      </c>
      <c r="M12" s="71">
        <f t="shared" si="0"/>
        <v>295645</v>
      </c>
      <c r="N12" s="166">
        <f t="shared" si="0"/>
        <v>0.49274166666666674</v>
      </c>
    </row>
    <row r="13" spans="1:14" x14ac:dyDescent="0.25">
      <c r="A13" s="143" t="s">
        <v>42</v>
      </c>
      <c r="B13" s="141" t="s">
        <v>230</v>
      </c>
      <c r="C13" s="141" t="s">
        <v>85</v>
      </c>
      <c r="D13" s="143" t="s">
        <v>107</v>
      </c>
      <c r="E13" s="143" t="s">
        <v>107</v>
      </c>
      <c r="F13" s="157">
        <v>1</v>
      </c>
      <c r="G13" s="153">
        <f>IFERROR(VLOOKUP($A$3:$A$126,'JULY-2026'!$A$4:$ACS$118,MATCH('FY-(26-27)Q2'!$G$2:$H$2,'JULY-2026'!$A$2:$CT$2,0),0),0)</f>
        <v>1094</v>
      </c>
      <c r="H13" s="155">
        <f>IFERROR(VLOOKUP($A$3:$A$126,'JULY-2026'!$A$4:$ACS$118,MATCH('FY-(26-27)Q2'!$G$2:$H$2,'JULY-2026'!$A$2:$CT$2,0),0),0)</f>
        <v>1.094E-2</v>
      </c>
      <c r="I13" s="153">
        <f>IFERROR(VLOOKUP($A$3:$A$126,'AUG-2026'!$A$4:$ADL$124,MATCH('FY-(26-27)Q2'!$I$2:$J$2,'AUG-2026'!$A$2:$DM$2,0),0),0)</f>
        <v>12322</v>
      </c>
      <c r="J13" s="155">
        <f>IFERROR(VLOOKUP($A$3:$A$126,'AUG-2026'!$A$4:$ADL$124,MATCH('FY-(26-27)Q2'!$I$2:$J$2,'AUG-2026'!$A$2:$DM$2,0),0),0)</f>
        <v>0.12322</v>
      </c>
      <c r="K13" s="153">
        <f>IFERROR(VLOOKUP($A$3:$A$126,'SEP-2026'!$A$4:$ADN$124,MATCH('FY-(26-27)Q2'!$K$2:$L$2,'SEP-2026'!$A$2:$DO$2,0),0),0)</f>
        <v>-4107</v>
      </c>
      <c r="L13" s="155">
        <f>IFERROR(VLOOKUP($A$3:$A$126,'SEP-2026'!$A$4:$ADN$124,MATCH('FY-(26-27)Q2'!$K$2:$L$2,'SEP-2026'!$A$2:$DO$2,0),0),0)</f>
        <v>-4.1070000000000002E-2</v>
      </c>
      <c r="M13" s="71">
        <f t="shared" si="0"/>
        <v>9309</v>
      </c>
      <c r="N13" s="166">
        <f t="shared" si="0"/>
        <v>9.3090000000000006E-2</v>
      </c>
    </row>
    <row r="14" spans="1:14" x14ac:dyDescent="0.25">
      <c r="A14" s="142" t="s">
        <v>212</v>
      </c>
      <c r="B14" s="141" t="s">
        <v>230</v>
      </c>
      <c r="C14" s="142" t="s">
        <v>12</v>
      </c>
      <c r="D14" s="37" t="s">
        <v>39</v>
      </c>
      <c r="E14" s="37" t="s">
        <v>256</v>
      </c>
      <c r="F14" s="156">
        <v>1</v>
      </c>
      <c r="G14" s="153">
        <f>IFERROR(VLOOKUP($A$3:$A$126,'JULY-2026'!$A$4:$ACS$118,MATCH('FY-(26-27)Q2'!$G$2:$H$2,'JULY-2026'!$A$2:$CT$2,0),0),0)</f>
        <v>207510</v>
      </c>
      <c r="H14" s="155">
        <f>IFERROR(VLOOKUP($A$3:$A$126,'JULY-2026'!$A$4:$ACS$118,MATCH('FY-(26-27)Q2'!$G$2:$H$2,'JULY-2026'!$A$2:$CT$2,0),0),0)</f>
        <v>0.83004</v>
      </c>
      <c r="I14" s="153">
        <f>IFERROR(VLOOKUP($A$3:$A$126,'AUG-2026'!$A$4:$ADL$124,MATCH('FY-(26-27)Q2'!$I$2:$J$2,'AUG-2026'!$A$2:$DM$2,0),0),0)</f>
        <v>-162590</v>
      </c>
      <c r="J14" s="155">
        <f>IFERROR(VLOOKUP($A$3:$A$126,'AUG-2026'!$A$4:$ADL$124,MATCH('FY-(26-27)Q2'!$I$2:$J$2,'AUG-2026'!$A$2:$DM$2,0),0),0)</f>
        <v>-0.65036000000000005</v>
      </c>
      <c r="K14" s="153">
        <f>IFERROR(VLOOKUP($A$3:$A$126,'SEP-2026'!$A$4:$ADN$124,MATCH('FY-(26-27)Q2'!$K$2:$L$2,'SEP-2026'!$A$2:$DO$2,0),0),0)</f>
        <v>-3104</v>
      </c>
      <c r="L14" s="155">
        <f>IFERROR(VLOOKUP($A$3:$A$126,'SEP-2026'!$A$4:$ADN$124,MATCH('FY-(26-27)Q2'!$K$2:$L$2,'SEP-2026'!$A$2:$DO$2,0),0),0)</f>
        <v>-1.2415999999999998E-2</v>
      </c>
      <c r="M14" s="71">
        <f t="shared" si="0"/>
        <v>41816</v>
      </c>
      <c r="N14" s="166">
        <f t="shared" si="0"/>
        <v>0.16726399999999994</v>
      </c>
    </row>
    <row r="15" spans="1:14" x14ac:dyDescent="0.25">
      <c r="A15" s="142" t="s">
        <v>62</v>
      </c>
      <c r="B15" s="141" t="s">
        <v>230</v>
      </c>
      <c r="C15" s="141" t="s">
        <v>224</v>
      </c>
      <c r="D15" s="37" t="s">
        <v>39</v>
      </c>
      <c r="E15" s="37" t="s">
        <v>253</v>
      </c>
      <c r="F15" s="156">
        <v>1</v>
      </c>
      <c r="G15" s="153">
        <f>IFERROR(VLOOKUP($A$3:$A$126,'JULY-2026'!$A$4:$ACS$118,MATCH('FY-(26-27)Q2'!$G$2:$H$2,'JULY-2026'!$A$2:$CT$2,0),0),0)</f>
        <v>7426</v>
      </c>
      <c r="H15" s="155">
        <f>IFERROR(VLOOKUP($A$3:$A$126,'JULY-2026'!$A$4:$ACS$118,MATCH('FY-(26-27)Q2'!$G$2:$H$2,'JULY-2026'!$A$2:$CT$2,0),0),0)</f>
        <v>7.4260000000000007E-2</v>
      </c>
      <c r="I15" s="153">
        <f>IFERROR(VLOOKUP($A$3:$A$126,'AUG-2026'!$A$4:$ADL$124,MATCH('FY-(26-27)Q2'!$I$2:$J$2,'AUG-2026'!$A$2:$DM$2,0),0),0)</f>
        <v>0</v>
      </c>
      <c r="J15" s="155">
        <f>IFERROR(VLOOKUP($A$3:$A$126,'AUG-2026'!$A$4:$ADL$124,MATCH('FY-(26-27)Q2'!$I$2:$J$2,'AUG-2026'!$A$2:$DM$2,0),0),0)</f>
        <v>0</v>
      </c>
      <c r="K15" s="153">
        <f>IFERROR(VLOOKUP($A$3:$A$126,'SEP-2026'!$A$4:$ADN$124,MATCH('FY-(26-27)Q2'!$K$2:$L$2,'SEP-2026'!$A$2:$DO$2,0),0),0)</f>
        <v>0</v>
      </c>
      <c r="L15" s="155">
        <f>IFERROR(VLOOKUP($A$3:$A$126,'SEP-2026'!$A$4:$ADN$124,MATCH('FY-(26-27)Q2'!$K$2:$L$2,'SEP-2026'!$A$2:$DO$2,0),0),0)</f>
        <v>0</v>
      </c>
      <c r="M15" s="71">
        <f t="shared" si="0"/>
        <v>7426</v>
      </c>
      <c r="N15" s="166">
        <f t="shared" si="0"/>
        <v>7.4260000000000007E-2</v>
      </c>
    </row>
    <row r="16" spans="1:14" x14ac:dyDescent="0.25">
      <c r="A16" s="142" t="s">
        <v>43</v>
      </c>
      <c r="B16" s="141" t="s">
        <v>84</v>
      </c>
      <c r="C16" s="141" t="s">
        <v>85</v>
      </c>
      <c r="D16" s="37" t="s">
        <v>107</v>
      </c>
      <c r="E16" s="37" t="s">
        <v>107</v>
      </c>
      <c r="F16" s="157">
        <v>1</v>
      </c>
      <c r="G16" s="153">
        <f>IFERROR(VLOOKUP($A$3:$A$126,'JULY-2026'!$A$4:$ACS$118,MATCH('FY-(26-27)Q2'!$G$2:$H$2,'JULY-2026'!$A$2:$CT$2,0),0),0)</f>
        <v>40268</v>
      </c>
      <c r="H16" s="155">
        <f>IFERROR(VLOOKUP($A$3:$A$126,'JULY-2026'!$A$4:$ACS$118,MATCH('FY-(26-27)Q2'!$G$2:$H$2,'JULY-2026'!$A$2:$CT$2,0),0),0)</f>
        <v>0.40267999999999998</v>
      </c>
      <c r="I16" s="153">
        <f>IFERROR(VLOOKUP($A$3:$A$126,'AUG-2026'!$A$4:$ADL$124,MATCH('FY-(26-27)Q2'!$I$2:$J$2,'AUG-2026'!$A$2:$DM$2,0),0),0)</f>
        <v>33139</v>
      </c>
      <c r="J16" s="155">
        <f>IFERROR(VLOOKUP($A$3:$A$126,'AUG-2026'!$A$4:$ADL$124,MATCH('FY-(26-27)Q2'!$I$2:$J$2,'AUG-2026'!$A$2:$DM$2,0),0),0)</f>
        <v>0.33139000000000002</v>
      </c>
      <c r="K16" s="153">
        <f>IFERROR(VLOOKUP($A$3:$A$126,'SEP-2026'!$A$4:$ADN$124,MATCH('FY-(26-27)Q2'!$K$2:$L$2,'SEP-2026'!$A$2:$DO$2,0),0),0)</f>
        <v>-6421</v>
      </c>
      <c r="L16" s="155">
        <f>IFERROR(VLOOKUP($A$3:$A$126,'SEP-2026'!$A$4:$ADN$124,MATCH('FY-(26-27)Q2'!$K$2:$L$2,'SEP-2026'!$A$2:$DO$2,0),0),0)</f>
        <v>-6.4210000000000003E-2</v>
      </c>
      <c r="M16" s="71">
        <f t="shared" si="0"/>
        <v>66986</v>
      </c>
      <c r="N16" s="166">
        <f t="shared" si="0"/>
        <v>0.66986000000000001</v>
      </c>
    </row>
    <row r="17" spans="1:15" x14ac:dyDescent="0.25">
      <c r="A17" s="142" t="s">
        <v>51</v>
      </c>
      <c r="B17" s="141" t="s">
        <v>171</v>
      </c>
      <c r="C17" s="142" t="s">
        <v>289</v>
      </c>
      <c r="D17" s="142" t="s">
        <v>39</v>
      </c>
      <c r="E17" s="142" t="s">
        <v>256</v>
      </c>
      <c r="F17" s="156">
        <v>0.2</v>
      </c>
      <c r="G17" s="153">
        <f>IFERROR(VLOOKUP($A$3:$A$126,'JULY-2026'!$A$4:$ACS$118,MATCH('FY-(26-27)Q2'!$G$2:$H$2,'JULY-2026'!$A$2:$CT$2,0),0),0)</f>
        <v>20588</v>
      </c>
      <c r="H17" s="155">
        <f>IFERROR(VLOOKUP($A$3:$A$126,'JULY-2026'!$A$4:$ACS$118,MATCH('FY-(26-27)Q2'!$G$2:$H$2,'JULY-2026'!$A$2:$CT$2,0),0),0)</f>
        <v>9.3581818181818183E-2</v>
      </c>
      <c r="I17" s="153">
        <f>IFERROR(VLOOKUP($A$3:$A$126,'AUG-2026'!$A$4:$ADL$124,MATCH('FY-(26-27)Q2'!$I$2:$J$2,'AUG-2026'!$A$2:$DM$2,0),0),0)</f>
        <v>-108496</v>
      </c>
      <c r="J17" s="155">
        <f>IFERROR(VLOOKUP($A$3:$A$126,'AUG-2026'!$A$4:$ADL$124,MATCH('FY-(26-27)Q2'!$I$2:$J$2,'AUG-2026'!$A$2:$DM$2,0),0),0)</f>
        <v>-0.4931636363636363</v>
      </c>
      <c r="K17" s="153">
        <f>IFERROR(VLOOKUP($A$3:$A$126,'SEP-2026'!$A$4:$ADN$124,MATCH('FY-(26-27)Q2'!$K$2:$L$2,'SEP-2026'!$A$2:$DO$2,0),0),0)</f>
        <v>-4997</v>
      </c>
      <c r="L17" s="155">
        <f>IFERROR(VLOOKUP($A$3:$A$126,'SEP-2026'!$A$4:$ADN$124,MATCH('FY-(26-27)Q2'!$K$2:$L$2,'SEP-2026'!$A$2:$DO$2,0),0),0)</f>
        <v>-2.2713636363636359E-2</v>
      </c>
      <c r="M17" s="71">
        <f t="shared" ref="M17" si="5">G17+I17+K17</f>
        <v>-92905</v>
      </c>
      <c r="N17" s="166">
        <f t="shared" ref="N17" si="6">H17+J17+L17</f>
        <v>-0.42229545454545453</v>
      </c>
    </row>
    <row r="18" spans="1:15" x14ac:dyDescent="0.25">
      <c r="A18" s="142" t="s">
        <v>24</v>
      </c>
      <c r="B18" s="141" t="s">
        <v>73</v>
      </c>
      <c r="C18" s="141" t="s">
        <v>58</v>
      </c>
      <c r="D18" s="37" t="s">
        <v>20</v>
      </c>
      <c r="E18" s="37" t="s">
        <v>256</v>
      </c>
      <c r="F18" s="156">
        <v>2.5</v>
      </c>
      <c r="G18" s="153">
        <f>IFERROR(VLOOKUP($A$3:$A$126,'JULY-2026'!$A$4:$ACS$118,MATCH('FY-(26-27)Q2'!$G$2:$H$2,'JULY-2026'!$A$2:$CT$2,0),0),0)</f>
        <v>47674</v>
      </c>
      <c r="H18" s="155">
        <f>IFERROR(VLOOKUP($A$3:$A$126,'JULY-2026'!$A$4:$ACS$118,MATCH('FY-(26-27)Q2'!$G$2:$H$2,'JULY-2026'!$A$2:$CT$2,0),0),0)</f>
        <v>0.19069599999999998</v>
      </c>
      <c r="I18" s="153">
        <f>IFERROR(VLOOKUP($A$3:$A$126,'AUG-2026'!$A$4:$ADL$124,MATCH('FY-(26-27)Q2'!$I$2:$J$2,'AUG-2026'!$A$2:$DM$2,0),0),0)</f>
        <v>-111591</v>
      </c>
      <c r="J18" s="155">
        <f>IFERROR(VLOOKUP($A$3:$A$126,'AUG-2026'!$A$4:$ADL$124,MATCH('FY-(26-27)Q2'!$I$2:$J$2,'AUG-2026'!$A$2:$DM$2,0),0),0)</f>
        <v>-0.44636399999999998</v>
      </c>
      <c r="K18" s="153">
        <f>IFERROR(VLOOKUP($A$3:$A$126,'SEP-2026'!$A$4:$ADN$124,MATCH('FY-(26-27)Q2'!$K$2:$L$2,'SEP-2026'!$A$2:$DO$2,0),0),0)</f>
        <v>0</v>
      </c>
      <c r="L18" s="155">
        <f>IFERROR(VLOOKUP($A$3:$A$126,'SEP-2026'!$A$4:$ADN$124,MATCH('FY-(26-27)Q2'!$K$2:$L$2,'SEP-2026'!$A$2:$DO$2,0),0),0)</f>
        <v>0</v>
      </c>
      <c r="M18" s="71">
        <f t="shared" si="0"/>
        <v>-63917</v>
      </c>
      <c r="N18" s="166">
        <f t="shared" si="0"/>
        <v>-0.25566800000000001</v>
      </c>
    </row>
    <row r="19" spans="1:15" x14ac:dyDescent="0.25">
      <c r="A19" s="142" t="s">
        <v>23</v>
      </c>
      <c r="B19" s="141" t="s">
        <v>74</v>
      </c>
      <c r="C19" s="141" t="s">
        <v>59</v>
      </c>
      <c r="D19" s="37" t="s">
        <v>3</v>
      </c>
      <c r="E19" s="37" t="s">
        <v>256</v>
      </c>
      <c r="F19" s="156">
        <v>4</v>
      </c>
      <c r="G19" s="153">
        <f>IFERROR(VLOOKUP($A$3:$A$126,'JULY-2026'!$A$4:$ACS$118,MATCH('FY-(26-27)Q2'!$G$2:$H$2,'JULY-2026'!$A$2:$CT$2,0),0),0)</f>
        <v>350017</v>
      </c>
      <c r="H19" s="155">
        <f>IFERROR(VLOOKUP($A$3:$A$126,'JULY-2026'!$A$4:$ACS$118,MATCH('FY-(26-27)Q2'!$G$2:$H$2,'JULY-2026'!$A$2:$CT$2,0),0),0)</f>
        <v>0.87504249999999995</v>
      </c>
      <c r="I19" s="153">
        <f>IFERROR(VLOOKUP($A$3:$A$126,'AUG-2026'!$A$4:$ADL$124,MATCH('FY-(26-27)Q2'!$I$2:$J$2,'AUG-2026'!$A$2:$DM$2,0),0),0)</f>
        <v>-82702</v>
      </c>
      <c r="J19" s="155">
        <f>IFERROR(VLOOKUP($A$3:$A$126,'AUG-2026'!$A$4:$ADL$124,MATCH('FY-(26-27)Q2'!$I$2:$J$2,'AUG-2026'!$A$2:$DM$2,0),0),0)</f>
        <v>-0.20675499999999999</v>
      </c>
      <c r="K19" s="153">
        <f>IFERROR(VLOOKUP($A$3:$A$126,'SEP-2026'!$A$4:$ADN$124,MATCH('FY-(26-27)Q2'!$K$2:$L$2,'SEP-2026'!$A$2:$DO$2,0),0),0)</f>
        <v>0</v>
      </c>
      <c r="L19" s="155">
        <f>IFERROR(VLOOKUP($A$3:$A$126,'SEP-2026'!$A$4:$ADN$124,MATCH('FY-(26-27)Q2'!$K$2:$L$2,'SEP-2026'!$A$2:$DO$2,0),0),0)</f>
        <v>0</v>
      </c>
      <c r="M19" s="71">
        <f t="shared" si="0"/>
        <v>267315</v>
      </c>
      <c r="N19" s="166">
        <f t="shared" si="0"/>
        <v>0.66828749999999992</v>
      </c>
    </row>
    <row r="20" spans="1:15" x14ac:dyDescent="0.25">
      <c r="A20" s="142" t="s">
        <v>110</v>
      </c>
      <c r="B20" s="141" t="s">
        <v>111</v>
      </c>
      <c r="C20" s="141" t="s">
        <v>109</v>
      </c>
      <c r="D20" s="37" t="s">
        <v>87</v>
      </c>
      <c r="E20" s="37" t="s">
        <v>256</v>
      </c>
      <c r="F20" s="156">
        <v>0.25</v>
      </c>
      <c r="G20" s="153">
        <f>IFERROR(VLOOKUP($A$3:$A$126,'JULY-2026'!$A$4:$ACS$118,MATCH('FY-(26-27)Q2'!$G$2:$H$2,'JULY-2026'!$A$2:$CT$2,0),0),0)</f>
        <v>60085</v>
      </c>
      <c r="H20" s="155">
        <f>IFERROR(VLOOKUP($A$3:$A$126,'JULY-2026'!$A$4:$ACS$118,MATCH('FY-(26-27)Q2'!$G$2:$H$2,'JULY-2026'!$A$2:$CT$2,0),0),0)</f>
        <v>0.54622727272727267</v>
      </c>
      <c r="I20" s="153">
        <f>IFERROR(VLOOKUP($A$3:$A$126,'AUG-2026'!$A$4:$ADL$124,MATCH('FY-(26-27)Q2'!$I$2:$J$2,'AUG-2026'!$A$2:$DM$2,0),0),0)</f>
        <v>27597</v>
      </c>
      <c r="J20" s="155">
        <f>IFERROR(VLOOKUP($A$3:$A$126,'AUG-2026'!$A$4:$ADL$124,MATCH('FY-(26-27)Q2'!$I$2:$J$2,'AUG-2026'!$A$2:$DM$2,0),0),0)</f>
        <v>0.25088181818181815</v>
      </c>
      <c r="K20" s="153">
        <f>IFERROR(VLOOKUP($A$3:$A$126,'SEP-2026'!$A$4:$ADN$124,MATCH('FY-(26-27)Q2'!$K$2:$L$2,'SEP-2026'!$A$2:$DO$2,0),0),0)</f>
        <v>-2058</v>
      </c>
      <c r="L20" s="155">
        <f>IFERROR(VLOOKUP($A$3:$A$126,'SEP-2026'!$A$4:$ADN$124,MATCH('FY-(26-27)Q2'!$K$2:$L$2,'SEP-2026'!$A$2:$DO$2,0),0),0)</f>
        <v>-1.8709090909090908E-2</v>
      </c>
      <c r="M20" s="71">
        <f t="shared" si="0"/>
        <v>85624</v>
      </c>
      <c r="N20" s="166">
        <f t="shared" si="0"/>
        <v>0.77839999999999987</v>
      </c>
    </row>
    <row r="21" spans="1:15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53">
        <f>IFERROR(VLOOKUP($A$3:$A$126,'JULY-2026'!$A$4:$ACS$118,MATCH('FY-(26-27)Q2'!$G$2:$H$2,'JULY-2026'!$A$2:$CT$2,0),0),0)</f>
        <v>28544</v>
      </c>
      <c r="H21" s="155">
        <f>IFERROR(VLOOKUP($A$3:$A$126,'JULY-2026'!$A$4:$ACS$118,MATCH('FY-(26-27)Q2'!$G$2:$H$2,'JULY-2026'!$A$2:$CT$2,0),0),0)</f>
        <v>1.1417600000000001</v>
      </c>
      <c r="I21" s="153">
        <f>IFERROR(VLOOKUP($A$3:$A$126,'AUG-2026'!$A$4:$ADL$124,MATCH('FY-(26-27)Q2'!$I$2:$J$2,'AUG-2026'!$A$2:$DM$2,0),0),0)</f>
        <v>-72090</v>
      </c>
      <c r="J21" s="155">
        <f>IFERROR(VLOOKUP($A$3:$A$126,'AUG-2026'!$A$4:$ADL$124,MATCH('FY-(26-27)Q2'!$I$2:$J$2,'AUG-2026'!$A$2:$DM$2,0),0),0)</f>
        <v>-2.8835999999999999</v>
      </c>
      <c r="K21" s="153">
        <f>IFERROR(VLOOKUP($A$3:$A$126,'SEP-2026'!$A$4:$ADN$124,MATCH('FY-(26-27)Q2'!$K$2:$L$2,'SEP-2026'!$A$2:$DO$2,0),0),0)</f>
        <v>3771</v>
      </c>
      <c r="L21" s="155">
        <f>IFERROR(VLOOKUP($A$3:$A$126,'SEP-2026'!$A$4:$ADN$124,MATCH('FY-(26-27)Q2'!$K$2:$L$2,'SEP-2026'!$A$2:$DO$2,0),0),0)</f>
        <v>0.15084</v>
      </c>
      <c r="M21" s="71">
        <f t="shared" ref="M21:M22" si="7">G21+I21+K21</f>
        <v>-39775</v>
      </c>
      <c r="N21" s="166">
        <f t="shared" ref="N21:N22" si="8">H21+J21+L21</f>
        <v>-1.5909999999999997</v>
      </c>
    </row>
    <row r="22" spans="1:1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53">
        <f>IFERROR(VLOOKUP($A$3:$A$126,'JULY-2026'!$A$4:$ACS$118,MATCH('FY-(26-27)Q2'!$G$2:$H$2,'JULY-2026'!$A$2:$CT$2,0),0),0)</f>
        <v>-15216</v>
      </c>
      <c r="H22" s="155">
        <f>IFERROR(VLOOKUP($A$3:$A$126,'JULY-2026'!$A$4:$ACS$118,MATCH('FY-(26-27)Q2'!$G$2:$H$2,'JULY-2026'!$A$2:$CT$2,0),0),0)</f>
        <v>-7.6079999999999995E-2</v>
      </c>
      <c r="I22" s="153">
        <f>IFERROR(VLOOKUP($A$3:$A$126,'AUG-2026'!$A$4:$ADL$124,MATCH('FY-(26-27)Q2'!$I$2:$J$2,'AUG-2026'!$A$2:$DM$2,0),0),0)</f>
        <v>31348</v>
      </c>
      <c r="J22" s="155">
        <f>IFERROR(VLOOKUP($A$3:$A$126,'AUG-2026'!$A$4:$ADL$124,MATCH('FY-(26-27)Q2'!$I$2:$J$2,'AUG-2026'!$A$2:$DM$2,0),0),0)</f>
        <v>0.15673999999999999</v>
      </c>
      <c r="K22" s="153">
        <f>IFERROR(VLOOKUP($A$3:$A$126,'SEP-2026'!$A$4:$ADN$124,MATCH('FY-(26-27)Q2'!$K$2:$L$2,'SEP-2026'!$A$2:$DO$2,0),0),0)</f>
        <v>8479</v>
      </c>
      <c r="L22" s="155">
        <f>IFERROR(VLOOKUP($A$3:$A$126,'SEP-2026'!$A$4:$ADN$124,MATCH('FY-(26-27)Q2'!$K$2:$L$2,'SEP-2026'!$A$2:$DO$2,0),0),0)</f>
        <v>4.2395000000000002E-2</v>
      </c>
      <c r="M22" s="71">
        <f t="shared" si="7"/>
        <v>24611</v>
      </c>
      <c r="N22" s="166">
        <f t="shared" si="8"/>
        <v>0.123055</v>
      </c>
    </row>
    <row r="23" spans="1:15" x14ac:dyDescent="0.25">
      <c r="A23" s="142" t="s">
        <v>165</v>
      </c>
      <c r="B23" s="141" t="s">
        <v>303</v>
      </c>
      <c r="C23" s="141" t="s">
        <v>223</v>
      </c>
      <c r="D23" s="142" t="s">
        <v>261</v>
      </c>
      <c r="E23" s="37" t="s">
        <v>256</v>
      </c>
      <c r="F23" s="156">
        <v>0.5</v>
      </c>
      <c r="G23" s="153">
        <f>IFERROR(VLOOKUP($A$3:$A$126,'JULY-2026'!$A$4:$ACS$118,MATCH('FY-(26-27)Q2'!$G$2:$H$2,'JULY-2026'!$A$2:$CT$2,0),0),0)</f>
        <v>100348</v>
      </c>
      <c r="H23" s="155">
        <f>IFERROR(VLOOKUP($A$3:$A$126,'JULY-2026'!$A$4:$ACS$118,MATCH('FY-(26-27)Q2'!$G$2:$H$2,'JULY-2026'!$A$2:$CT$2,0),0),0)</f>
        <v>0.66898666666666673</v>
      </c>
      <c r="I23" s="153">
        <f>IFERROR(VLOOKUP($A$3:$A$126,'AUG-2026'!$A$4:$ADL$124,MATCH('FY-(26-27)Q2'!$I$2:$J$2,'AUG-2026'!$A$2:$DM$2,0),0),0)</f>
        <v>14665</v>
      </c>
      <c r="J23" s="155">
        <f>IFERROR(VLOOKUP($A$3:$A$126,'AUG-2026'!$A$4:$ADL$124,MATCH('FY-(26-27)Q2'!$I$2:$J$2,'AUG-2026'!$A$2:$DM$2,0),0),0)</f>
        <v>9.7766666666666668E-2</v>
      </c>
      <c r="K23" s="153">
        <f>IFERROR(VLOOKUP($A$3:$A$126,'SEP-2026'!$A$4:$ADN$124,MATCH('FY-(26-27)Q2'!$K$2:$L$2,'SEP-2026'!$A$2:$DO$2,0),0),0)</f>
        <v>2934</v>
      </c>
      <c r="L23" s="155">
        <f>IFERROR(VLOOKUP($A$3:$A$126,'SEP-2026'!$A$4:$ADN$124,MATCH('FY-(26-27)Q2'!$K$2:$L$2,'SEP-2026'!$A$2:$DO$2,0),0),0)</f>
        <v>1.9560000000000001E-2</v>
      </c>
      <c r="M23" s="71">
        <f t="shared" si="0"/>
        <v>117947</v>
      </c>
      <c r="N23" s="166">
        <f t="shared" si="0"/>
        <v>0.78631333333333342</v>
      </c>
    </row>
    <row r="24" spans="1:15" x14ac:dyDescent="0.25">
      <c r="A24" s="142" t="s">
        <v>275</v>
      </c>
      <c r="B24" s="141" t="s">
        <v>164</v>
      </c>
      <c r="C24" s="141" t="s">
        <v>274</v>
      </c>
      <c r="D24" s="142" t="s">
        <v>152</v>
      </c>
      <c r="E24" s="142" t="s">
        <v>256</v>
      </c>
      <c r="F24" s="156">
        <v>1</v>
      </c>
      <c r="G24" s="153">
        <f>IFERROR(VLOOKUP($A$3:$A$126,'JULY-2026'!$A$4:$ACS$118,MATCH('FY-(26-27)Q2'!$G$2:$H$2,'JULY-2026'!$A$2:$CT$2,0),0),0)</f>
        <v>-18550</v>
      </c>
      <c r="H24" s="155">
        <f>IFERROR(VLOOKUP($A$3:$A$126,'JULY-2026'!$A$4:$ACS$118,MATCH('FY-(26-27)Q2'!$G$2:$H$2,'JULY-2026'!$A$2:$CT$2,0),0),0)</f>
        <v>-0.1855</v>
      </c>
      <c r="I24" s="153">
        <f>IFERROR(VLOOKUP($A$3:$A$126,'AUG-2026'!$A$4:$ADL$124,MATCH('FY-(26-27)Q2'!$I$2:$J$2,'AUG-2026'!$A$2:$DM$2,0),0),0)</f>
        <v>0</v>
      </c>
      <c r="J24" s="155">
        <f>IFERROR(VLOOKUP($A$3:$A$126,'AUG-2026'!$A$4:$ADL$124,MATCH('FY-(26-27)Q2'!$I$2:$J$2,'AUG-2026'!$A$2:$DM$2,0),0),0)</f>
        <v>0</v>
      </c>
      <c r="K24" s="153">
        <f>IFERROR(VLOOKUP($A$3:$A$126,'SEP-2026'!$A$4:$ADN$124,MATCH('FY-(26-27)Q2'!$K$2:$L$2,'SEP-2026'!$A$2:$DO$2,0),0),0)</f>
        <v>0</v>
      </c>
      <c r="L24" s="155">
        <f>IFERROR(VLOOKUP($A$3:$A$126,'SEP-2026'!$A$4:$ADN$124,MATCH('FY-(26-27)Q2'!$K$2:$L$2,'SEP-2026'!$A$2:$DO$2,0),0),0)</f>
        <v>0</v>
      </c>
      <c r="M24" s="71">
        <f t="shared" si="0"/>
        <v>-18550</v>
      </c>
      <c r="N24" s="166">
        <f t="shared" si="0"/>
        <v>-0.1855</v>
      </c>
    </row>
    <row r="25" spans="1:15" x14ac:dyDescent="0.25">
      <c r="A25" s="142" t="s">
        <v>32</v>
      </c>
      <c r="B25" s="141" t="s">
        <v>63</v>
      </c>
      <c r="C25" s="142" t="s">
        <v>21</v>
      </c>
      <c r="D25" s="37" t="s">
        <v>40</v>
      </c>
      <c r="E25" s="37" t="s">
        <v>256</v>
      </c>
      <c r="F25" s="156">
        <v>1.1000000000000001</v>
      </c>
      <c r="G25" s="153">
        <f>IFERROR(VLOOKUP($A$3:$A$126,'JULY-2026'!$A$4:$ACS$118,MATCH('FY-(26-27)Q2'!$G$2:$H$2,'JULY-2026'!$A$2:$CT$2,0),0),0)</f>
        <v>330691</v>
      </c>
      <c r="H25" s="155">
        <f>IFERROR(VLOOKUP($A$3:$A$126,'JULY-2026'!$A$4:$ACS$118,MATCH('FY-(26-27)Q2'!$G$2:$H$2,'JULY-2026'!$A$2:$CT$2,0),0),0)</f>
        <v>3.0062818181818174</v>
      </c>
      <c r="I25" s="153">
        <f>IFERROR(VLOOKUP($A$3:$A$126,'AUG-2026'!$A$4:$ADL$124,MATCH('FY-(26-27)Q2'!$I$2:$J$2,'AUG-2026'!$A$2:$DM$2,0),0),0)</f>
        <v>-125987</v>
      </c>
      <c r="J25" s="155">
        <f>IFERROR(VLOOKUP($A$3:$A$126,'AUG-2026'!$A$4:$ADL$124,MATCH('FY-(26-27)Q2'!$I$2:$J$2,'AUG-2026'!$A$2:$DM$2,0),0),0)</f>
        <v>-1.1453363636363634</v>
      </c>
      <c r="K25" s="153">
        <f>IFERROR(VLOOKUP($A$3:$A$126,'SEP-2026'!$A$4:$ADN$124,MATCH('FY-(26-27)Q2'!$K$2:$L$2,'SEP-2026'!$A$2:$DO$2,0),0),0)</f>
        <v>15968</v>
      </c>
      <c r="L25" s="155">
        <f>IFERROR(VLOOKUP($A$3:$A$126,'SEP-2026'!$A$4:$ADN$124,MATCH('FY-(26-27)Q2'!$K$2:$L$2,'SEP-2026'!$A$2:$DO$2,0),0),0)</f>
        <v>0.14516363636363636</v>
      </c>
      <c r="M25" s="71">
        <f t="shared" si="0"/>
        <v>220672</v>
      </c>
      <c r="N25" s="166">
        <f t="shared" si="0"/>
        <v>2.0061090909090904</v>
      </c>
    </row>
    <row r="26" spans="1:15" x14ac:dyDescent="0.25">
      <c r="A26" s="142" t="s">
        <v>97</v>
      </c>
      <c r="B26" s="141" t="s">
        <v>68</v>
      </c>
      <c r="C26" s="141" t="s">
        <v>206</v>
      </c>
      <c r="D26" s="37" t="s">
        <v>107</v>
      </c>
      <c r="E26" s="37" t="s">
        <v>107</v>
      </c>
      <c r="F26" s="156">
        <v>2.2999999999999998</v>
      </c>
      <c r="G26" s="153">
        <f>IFERROR(VLOOKUP($A$3:$A$126,'JULY-2026'!$A$4:$ACS$118,MATCH('FY-(26-27)Q2'!$G$2:$H$2,'JULY-2026'!$A$2:$CT$2,0),0),0)</f>
        <v>880832</v>
      </c>
      <c r="H26" s="155">
        <f>IFERROR(VLOOKUP($A$3:$A$126,'JULY-2026'!$A$4:$ACS$118,MATCH('FY-(26-27)Q2'!$G$2:$H$2,'JULY-2026'!$A$2:$CT$2,0),0),0)</f>
        <v>3.8297043478260866</v>
      </c>
      <c r="I26" s="153">
        <f>IFERROR(VLOOKUP($A$3:$A$126,'AUG-2026'!$A$4:$ADL$124,MATCH('FY-(26-27)Q2'!$I$2:$J$2,'AUG-2026'!$A$2:$DM$2,0),0),0)</f>
        <v>-526771</v>
      </c>
      <c r="J26" s="155">
        <f>IFERROR(VLOOKUP($A$3:$A$126,'AUG-2026'!$A$4:$ADL$124,MATCH('FY-(26-27)Q2'!$I$2:$J$2,'AUG-2026'!$A$2:$DM$2,0),0),0)</f>
        <v>-2.2903086956521741</v>
      </c>
      <c r="K26" s="153">
        <f>IFERROR(VLOOKUP($A$3:$A$126,'SEP-2026'!$A$4:$ADN$124,MATCH('FY-(26-27)Q2'!$K$2:$L$2,'SEP-2026'!$A$2:$DO$2,0),0),0)</f>
        <v>-406900</v>
      </c>
      <c r="L26" s="155">
        <f>IFERROR(VLOOKUP($A$3:$A$126,'SEP-2026'!$A$4:$ADN$124,MATCH('FY-(26-27)Q2'!$K$2:$L$2,'SEP-2026'!$A$2:$DO$2,0),0),0)</f>
        <v>-1.7691304347826089</v>
      </c>
      <c r="M26" s="71">
        <f t="shared" si="0"/>
        <v>-52839</v>
      </c>
      <c r="N26" s="166">
        <f t="shared" si="0"/>
        <v>-0.2297347826086964</v>
      </c>
    </row>
    <row r="27" spans="1:15" x14ac:dyDescent="0.25">
      <c r="A27" s="142" t="s">
        <v>302</v>
      </c>
      <c r="B27" s="141" t="s">
        <v>297</v>
      </c>
      <c r="C27" s="141" t="s">
        <v>298</v>
      </c>
      <c r="D27" s="142"/>
      <c r="E27" s="142" t="s">
        <v>256</v>
      </c>
      <c r="F27" s="156">
        <v>0.2</v>
      </c>
      <c r="G27" s="153">
        <f>IFERROR(VLOOKUP($A$3:$A$126,'JULY-2026'!$A$4:$ACS$118,MATCH('FY-(26-27)Q2'!$G$2:$H$2,'JULY-2026'!$A$2:$CT$2,0),0),0)</f>
        <v>-2494</v>
      </c>
      <c r="H27" s="155">
        <f>IFERROR(VLOOKUP($A$3:$A$126,'JULY-2026'!$A$4:$ACS$118,MATCH('FY-(26-27)Q2'!$G$2:$H$2,'JULY-2026'!$A$2:$CT$2,0),0),0)</f>
        <v>-0.12470000000000001</v>
      </c>
      <c r="I27" s="153">
        <f>IFERROR(VLOOKUP($A$3:$A$126,'AUG-2026'!$A$4:$ADL$124,MATCH('FY-(26-27)Q2'!$I$2:$J$2,'AUG-2026'!$A$2:$DM$2,0),0),0)</f>
        <v>-17802</v>
      </c>
      <c r="J27" s="155">
        <f>IFERROR(VLOOKUP($A$3:$A$126,'AUG-2026'!$A$4:$ADL$124,MATCH('FY-(26-27)Q2'!$I$2:$J$2,'AUG-2026'!$A$2:$DM$2,0),0),0)</f>
        <v>-0.8901</v>
      </c>
      <c r="K27" s="153">
        <f>IFERROR(VLOOKUP($A$3:$A$126,'SEP-2026'!$A$4:$ADN$124,MATCH('FY-(26-27)Q2'!$K$2:$L$2,'SEP-2026'!$A$2:$DO$2,0),0),0)</f>
        <v>5060</v>
      </c>
      <c r="L27" s="155">
        <f>IFERROR(VLOOKUP($A$3:$A$126,'SEP-2026'!$A$4:$ADN$124,MATCH('FY-(26-27)Q2'!$K$2:$L$2,'SEP-2026'!$A$2:$DO$2,0),0),0)</f>
        <v>0.253</v>
      </c>
      <c r="M27" s="71">
        <f t="shared" ref="M27" si="9">G27+I27+K27</f>
        <v>-15236</v>
      </c>
      <c r="N27" s="166">
        <f t="shared" ref="N27" si="10">H27+J27+L27</f>
        <v>-0.76179999999999992</v>
      </c>
    </row>
    <row r="28" spans="1:15" x14ac:dyDescent="0.25">
      <c r="A28" s="142" t="s">
        <v>29</v>
      </c>
      <c r="B28" s="141" t="s">
        <v>22</v>
      </c>
      <c r="C28" s="141" t="s">
        <v>151</v>
      </c>
      <c r="D28" s="37" t="s">
        <v>5</v>
      </c>
      <c r="E28" s="37" t="s">
        <v>256</v>
      </c>
      <c r="F28" s="156">
        <v>5</v>
      </c>
      <c r="G28" s="153">
        <f>IFERROR(VLOOKUP($A$3:$A$126,'JULY-2026'!$A$4:$ACS$118,MATCH('FY-(26-27)Q2'!$G$2:$H$2,'JULY-2026'!$A$2:$CT$2,0),0),0)</f>
        <v>-98470</v>
      </c>
      <c r="H28" s="155">
        <f>IFERROR(VLOOKUP($A$3:$A$126,'JULY-2026'!$A$4:$ACS$118,MATCH('FY-(26-27)Q2'!$G$2:$H$2,'JULY-2026'!$A$2:$CT$2,0),0),0)</f>
        <v>-0.19694</v>
      </c>
      <c r="I28" s="153">
        <f>IFERROR(VLOOKUP($A$3:$A$126,'AUG-2026'!$A$4:$ADL$124,MATCH('FY-(26-27)Q2'!$I$2:$J$2,'AUG-2026'!$A$2:$DM$2,0),0),0)</f>
        <v>-166448</v>
      </c>
      <c r="J28" s="155">
        <f>IFERROR(VLOOKUP($A$3:$A$126,'AUG-2026'!$A$4:$ADL$124,MATCH('FY-(26-27)Q2'!$I$2:$J$2,'AUG-2026'!$A$2:$DM$2,0),0),0)</f>
        <v>-0.33289600000000003</v>
      </c>
      <c r="K28" s="153">
        <f>IFERROR(VLOOKUP($A$3:$A$126,'SEP-2026'!$A$4:$ADN$124,MATCH('FY-(26-27)Q2'!$K$2:$L$2,'SEP-2026'!$A$2:$DO$2,0),0),0)</f>
        <v>39000</v>
      </c>
      <c r="L28" s="155">
        <f>IFERROR(VLOOKUP($A$3:$A$126,'SEP-2026'!$A$4:$ADN$124,MATCH('FY-(26-27)Q2'!$K$2:$L$2,'SEP-2026'!$A$2:$DO$2,0),0),0)</f>
        <v>7.8E-2</v>
      </c>
      <c r="M28" s="71">
        <f t="shared" si="0"/>
        <v>-225918</v>
      </c>
      <c r="N28" s="166">
        <f t="shared" si="0"/>
        <v>-0.45183599999999996</v>
      </c>
    </row>
    <row r="29" spans="1:15" x14ac:dyDescent="0.25">
      <c r="A29" s="142" t="s">
        <v>28</v>
      </c>
      <c r="B29" s="141" t="s">
        <v>247</v>
      </c>
      <c r="C29" s="141" t="s">
        <v>121</v>
      </c>
      <c r="D29" s="37" t="s">
        <v>91</v>
      </c>
      <c r="E29" s="37" t="s">
        <v>256</v>
      </c>
      <c r="F29" s="156">
        <v>10</v>
      </c>
      <c r="G29" s="153">
        <f>IFERROR(VLOOKUP($A$3:$A$126,'JULY-2026'!$A$4:$ACS$118,MATCH('FY-(26-27)Q2'!$G$2:$H$2,'JULY-2026'!$A$2:$CT$2,0),0),0)</f>
        <v>3272097</v>
      </c>
      <c r="H29" s="155">
        <f>IFERROR(VLOOKUP($A$3:$A$126,'JULY-2026'!$A$4:$ACS$118,MATCH('FY-(26-27)Q2'!$G$2:$H$2,'JULY-2026'!$A$2:$CT$2,0),0),0)</f>
        <v>3.272097</v>
      </c>
      <c r="I29" s="153">
        <f>IFERROR(VLOOKUP($A$3:$A$126,'AUG-2026'!$A$4:$ADL$124,MATCH('FY-(26-27)Q2'!$I$2:$J$2,'AUG-2026'!$A$2:$DM$2,0),0),0)</f>
        <v>195315</v>
      </c>
      <c r="J29" s="155">
        <f>IFERROR(VLOOKUP($A$3:$A$126,'AUG-2026'!$A$4:$ADL$124,MATCH('FY-(26-27)Q2'!$I$2:$J$2,'AUG-2026'!$A$2:$DM$2,0),0),0)</f>
        <v>0.19531499999999999</v>
      </c>
      <c r="K29" s="153">
        <f>IFERROR(VLOOKUP($A$3:$A$126,'SEP-2026'!$A$4:$ADN$124,MATCH('FY-(26-27)Q2'!$K$2:$L$2,'SEP-2026'!$A$2:$DO$2,0),0),0)</f>
        <v>72755</v>
      </c>
      <c r="L29" s="155">
        <f>IFERROR(VLOOKUP($A$3:$A$126,'SEP-2026'!$A$4:$ADN$124,MATCH('FY-(26-27)Q2'!$K$2:$L$2,'SEP-2026'!$A$2:$DO$2,0),0),0)</f>
        <v>7.2755E-2</v>
      </c>
      <c r="M29" s="71">
        <f t="shared" si="0"/>
        <v>3540167</v>
      </c>
      <c r="N29" s="166">
        <f t="shared" si="0"/>
        <v>3.5401669999999998</v>
      </c>
      <c r="O29" s="131"/>
    </row>
    <row r="30" spans="1:15" x14ac:dyDescent="0.25">
      <c r="A30" s="142" t="s">
        <v>191</v>
      </c>
      <c r="B30" s="141" t="s">
        <v>184</v>
      </c>
      <c r="C30" s="141" t="s">
        <v>185</v>
      </c>
      <c r="D30" s="142" t="s">
        <v>91</v>
      </c>
      <c r="E30" s="142" t="s">
        <v>256</v>
      </c>
      <c r="F30" s="156">
        <v>13</v>
      </c>
      <c r="G30" s="153">
        <f>IFERROR(VLOOKUP($A$3:$A$126,'JULY-2026'!$A$4:$ACS$118,MATCH('FY-(26-27)Q2'!$G$2:$H$2,'JULY-2026'!$A$2:$CT$2,0),0),0)</f>
        <v>2523988</v>
      </c>
      <c r="H30" s="155">
        <f>IFERROR(VLOOKUP($A$3:$A$126,'JULY-2026'!$A$4:$ACS$118,MATCH('FY-(26-27)Q2'!$G$2:$H$2,'JULY-2026'!$A$2:$CT$2,0),0),0)</f>
        <v>1.9415292307692309</v>
      </c>
      <c r="I30" s="153">
        <f>IFERROR(VLOOKUP($A$3:$A$126,'AUG-2026'!$A$4:$ADL$124,MATCH('FY-(26-27)Q2'!$I$2:$J$2,'AUG-2026'!$A$2:$DM$2,0),0),0)</f>
        <v>-787722</v>
      </c>
      <c r="J30" s="155">
        <f>IFERROR(VLOOKUP($A$3:$A$126,'AUG-2026'!$A$4:$ADL$124,MATCH('FY-(26-27)Q2'!$I$2:$J$2,'AUG-2026'!$A$2:$DM$2,0),0),0)</f>
        <v>-0.60594000000000003</v>
      </c>
      <c r="K30" s="153">
        <f>IFERROR(VLOOKUP($A$3:$A$126,'SEP-2026'!$A$4:$ADN$124,MATCH('FY-(26-27)Q2'!$K$2:$L$2,'SEP-2026'!$A$2:$DO$2,0),0),0)</f>
        <v>0</v>
      </c>
      <c r="L30" s="155">
        <f>IFERROR(VLOOKUP($A$3:$A$126,'SEP-2026'!$A$4:$ADN$124,MATCH('FY-(26-27)Q2'!$K$2:$L$2,'SEP-2026'!$A$2:$DO$2,0),0),0)</f>
        <v>0</v>
      </c>
      <c r="M30" s="71">
        <f t="shared" si="0"/>
        <v>1736266</v>
      </c>
      <c r="N30" s="166">
        <f t="shared" si="0"/>
        <v>1.335589230769231</v>
      </c>
    </row>
    <row r="31" spans="1:15" ht="18" customHeight="1" x14ac:dyDescent="0.25">
      <c r="A31" s="142" t="s">
        <v>147</v>
      </c>
      <c r="B31" s="141" t="s">
        <v>146</v>
      </c>
      <c r="C31" s="141" t="s">
        <v>140</v>
      </c>
      <c r="D31" s="142" t="s">
        <v>91</v>
      </c>
      <c r="E31" s="142" t="s">
        <v>256</v>
      </c>
      <c r="F31" s="156">
        <v>1.5</v>
      </c>
      <c r="G31" s="153">
        <f>IFERROR(VLOOKUP($A$3:$A$126,'JULY-2026'!$A$4:$ACS$118,MATCH('FY-(26-27)Q2'!$G$2:$H$2,'JULY-2026'!$A$2:$CT$2,0),0),0)</f>
        <v>260765</v>
      </c>
      <c r="H31" s="155">
        <f>IFERROR(VLOOKUP($A$3:$A$126,'JULY-2026'!$A$4:$ACS$118,MATCH('FY-(26-27)Q2'!$G$2:$H$2,'JULY-2026'!$A$2:$CT$2,0),0),0)</f>
        <v>1.7384333333333335</v>
      </c>
      <c r="I31" s="153">
        <f>IFERROR(VLOOKUP($A$3:$A$126,'AUG-2026'!$A$4:$ADL$124,MATCH('FY-(26-27)Q2'!$I$2:$J$2,'AUG-2026'!$A$2:$DM$2,0),0),0)</f>
        <v>-87345</v>
      </c>
      <c r="J31" s="155">
        <f>IFERROR(VLOOKUP($A$3:$A$126,'AUG-2026'!$A$4:$ADL$124,MATCH('FY-(26-27)Q2'!$I$2:$J$2,'AUG-2026'!$A$2:$DM$2,0),0),0)</f>
        <v>-0.58230000000000004</v>
      </c>
      <c r="K31" s="153">
        <f>IFERROR(VLOOKUP($A$3:$A$126,'SEP-2026'!$A$4:$ADN$124,MATCH('FY-(26-27)Q2'!$K$2:$L$2,'SEP-2026'!$A$2:$DO$2,0),0),0)</f>
        <v>0</v>
      </c>
      <c r="L31" s="155">
        <f>IFERROR(VLOOKUP($A$3:$A$126,'SEP-2026'!$A$4:$ADN$124,MATCH('FY-(26-27)Q2'!$K$2:$L$2,'SEP-2026'!$A$2:$DO$2,0),0),0)</f>
        <v>0</v>
      </c>
      <c r="M31" s="71">
        <f t="shared" si="0"/>
        <v>173420</v>
      </c>
      <c r="N31" s="166">
        <f t="shared" si="0"/>
        <v>1.1561333333333335</v>
      </c>
    </row>
    <row r="32" spans="1:15" x14ac:dyDescent="0.25">
      <c r="A32" s="142" t="s">
        <v>194</v>
      </c>
      <c r="B32" s="141" t="s">
        <v>246</v>
      </c>
      <c r="C32" s="141" t="s">
        <v>180</v>
      </c>
      <c r="D32" s="37" t="s">
        <v>91</v>
      </c>
      <c r="E32" s="37" t="s">
        <v>256</v>
      </c>
      <c r="F32" s="156">
        <v>6</v>
      </c>
      <c r="G32" s="153">
        <f>IFERROR(VLOOKUP($A$3:$A$126,'JULY-2026'!$A$4:$ACS$118,MATCH('FY-(26-27)Q2'!$G$2:$H$2,'JULY-2026'!$A$2:$CT$2,0),0),0)</f>
        <v>1051922</v>
      </c>
      <c r="H32" s="155">
        <f>IFERROR(VLOOKUP($A$3:$A$126,'JULY-2026'!$A$4:$ACS$118,MATCH('FY-(26-27)Q2'!$G$2:$H$2,'JULY-2026'!$A$2:$CT$2,0),0),0)</f>
        <v>1.7532033333333337</v>
      </c>
      <c r="I32" s="153">
        <f>IFERROR(VLOOKUP($A$3:$A$126,'AUG-2026'!$A$4:$ADL$124,MATCH('FY-(26-27)Q2'!$I$2:$J$2,'AUG-2026'!$A$2:$DM$2,0),0),0)</f>
        <v>-348894</v>
      </c>
      <c r="J32" s="155">
        <f>IFERROR(VLOOKUP($A$3:$A$126,'AUG-2026'!$A$4:$ADL$124,MATCH('FY-(26-27)Q2'!$I$2:$J$2,'AUG-2026'!$A$2:$DM$2,0),0),0)</f>
        <v>-0.58148999999999995</v>
      </c>
      <c r="K32" s="153">
        <f>IFERROR(VLOOKUP($A$3:$A$126,'SEP-2026'!$A$4:$ADN$124,MATCH('FY-(26-27)Q2'!$K$2:$L$2,'SEP-2026'!$A$2:$DO$2,0),0),0)</f>
        <v>0</v>
      </c>
      <c r="L32" s="155">
        <f>IFERROR(VLOOKUP($A$3:$A$126,'SEP-2026'!$A$4:$ADN$124,MATCH('FY-(26-27)Q2'!$K$2:$L$2,'SEP-2026'!$A$2:$DO$2,0),0),0)</f>
        <v>0</v>
      </c>
      <c r="M32" s="71">
        <f t="shared" si="0"/>
        <v>703028</v>
      </c>
      <c r="N32" s="166">
        <f t="shared" si="0"/>
        <v>1.1717133333333338</v>
      </c>
    </row>
    <row r="33" spans="1:14" x14ac:dyDescent="0.25">
      <c r="A33" s="163" t="s">
        <v>205</v>
      </c>
      <c r="B33" s="141" t="s">
        <v>203</v>
      </c>
      <c r="C33" s="141" t="s">
        <v>204</v>
      </c>
      <c r="D33" s="142" t="s">
        <v>91</v>
      </c>
      <c r="E33" s="163" t="s">
        <v>256</v>
      </c>
      <c r="F33" s="164">
        <v>1.3</v>
      </c>
      <c r="G33" s="153">
        <f>IFERROR(VLOOKUP($A$3:$A$126,'JULY-2026'!$A$4:$ACS$118,MATCH('FY-(26-27)Q2'!$G$2:$H$2,'JULY-2026'!$A$2:$CT$2,0),0),0)</f>
        <v>270747</v>
      </c>
      <c r="H33" s="155">
        <f>IFERROR(VLOOKUP($A$3:$A$126,'JULY-2026'!$A$4:$ACS$118,MATCH('FY-(26-27)Q2'!$G$2:$H$2,'JULY-2026'!$A$2:$CT$2,0),0),0)</f>
        <v>2.1659760000000001</v>
      </c>
      <c r="I33" s="153">
        <f>IFERROR(VLOOKUP($A$3:$A$126,'AUG-2026'!$A$4:$ADL$124,MATCH('FY-(26-27)Q2'!$I$2:$J$2,'AUG-2026'!$A$2:$DM$2,0),0),0)</f>
        <v>-87240</v>
      </c>
      <c r="J33" s="155">
        <f>IFERROR(VLOOKUP($A$3:$A$126,'AUG-2026'!$A$4:$ADL$124,MATCH('FY-(26-27)Q2'!$I$2:$J$2,'AUG-2026'!$A$2:$DM$2,0),0),0)</f>
        <v>-0.69791999999999998</v>
      </c>
      <c r="K33" s="153">
        <f>IFERROR(VLOOKUP($A$3:$A$126,'SEP-2026'!$A$4:$ADN$124,MATCH('FY-(26-27)Q2'!$K$2:$L$2,'SEP-2026'!$A$2:$DO$2,0),0),0)</f>
        <v>0</v>
      </c>
      <c r="L33" s="155">
        <f>IFERROR(VLOOKUP($A$3:$A$126,'SEP-2026'!$A$4:$ADN$124,MATCH('FY-(26-27)Q2'!$K$2:$L$2,'SEP-2026'!$A$2:$DO$2,0),0),0)</f>
        <v>0</v>
      </c>
      <c r="M33" s="71">
        <f t="shared" si="0"/>
        <v>183507</v>
      </c>
      <c r="N33" s="166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1">
        <v>1.5</v>
      </c>
      <c r="G34" s="153">
        <f>IFERROR(VLOOKUP($A$3:$A$126,'JULY-2026'!$A$4:$ACS$118,MATCH('FY-(26-27)Q2'!$G$2:$H$2,'JULY-2026'!$A$2:$CT$2,0),0),0)</f>
        <v>270678</v>
      </c>
      <c r="H34" s="155">
        <f>IFERROR(VLOOKUP($A$3:$A$126,'JULY-2026'!$A$4:$ACS$118,MATCH('FY-(26-27)Q2'!$G$2:$H$2,'JULY-2026'!$A$2:$CT$2,0),0),0)</f>
        <v>1.8045199999999999</v>
      </c>
      <c r="I34" s="153">
        <f>IFERROR(VLOOKUP($A$3:$A$126,'AUG-2026'!$A$4:$ADL$124,MATCH('FY-(26-27)Q2'!$I$2:$J$2,'AUG-2026'!$A$2:$DM$2,0),0),0)</f>
        <v>-87014</v>
      </c>
      <c r="J34" s="155">
        <f>IFERROR(VLOOKUP($A$3:$A$126,'AUG-2026'!$A$4:$ADL$124,MATCH('FY-(26-27)Q2'!$I$2:$J$2,'AUG-2026'!$A$2:$DM$2,0),0),0)</f>
        <v>-0.58009333333333335</v>
      </c>
      <c r="K34" s="153">
        <f>IFERROR(VLOOKUP($A$3:$A$126,'SEP-2026'!$A$4:$ADN$124,MATCH('FY-(26-27)Q2'!$K$2:$L$2,'SEP-2026'!$A$2:$DO$2,0),0),0)</f>
        <v>0</v>
      </c>
      <c r="L34" s="155">
        <f>IFERROR(VLOOKUP($A$3:$A$126,'SEP-2026'!$A$4:$ADN$124,MATCH('FY-(26-27)Q2'!$K$2:$L$2,'SEP-2026'!$A$2:$DO$2,0),0),0)</f>
        <v>0</v>
      </c>
      <c r="M34" s="71">
        <f t="shared" si="0"/>
        <v>183664</v>
      </c>
      <c r="N34" s="166">
        <f t="shared" si="0"/>
        <v>1.2244266666666666</v>
      </c>
    </row>
    <row r="35" spans="1:14" x14ac:dyDescent="0.25">
      <c r="A35" s="142" t="s">
        <v>65</v>
      </c>
      <c r="B35" s="141" t="s">
        <v>64</v>
      </c>
      <c r="C35" s="141" t="s">
        <v>7</v>
      </c>
      <c r="D35" s="141" t="s">
        <v>64</v>
      </c>
      <c r="E35" s="37" t="s">
        <v>256</v>
      </c>
      <c r="F35" s="156">
        <v>5</v>
      </c>
      <c r="G35" s="153">
        <f>IFERROR(VLOOKUP($A$3:$A$126,'JULY-2026'!$A$4:$ACS$118,MATCH('FY-(26-27)Q2'!$G$2:$H$2,'JULY-2026'!$A$2:$CT$2,0),0),0)</f>
        <v>1205315</v>
      </c>
      <c r="H35" s="155">
        <f>IFERROR(VLOOKUP($A$3:$A$126,'JULY-2026'!$A$4:$ACS$118,MATCH('FY-(26-27)Q2'!$G$2:$H$2,'JULY-2026'!$A$2:$CT$2,0),0),0)</f>
        <v>2.4106299999999998</v>
      </c>
      <c r="I35" s="153">
        <f>IFERROR(VLOOKUP($A$3:$A$126,'AUG-2026'!$A$4:$ADL$124,MATCH('FY-(26-27)Q2'!$I$2:$J$2,'AUG-2026'!$A$2:$DM$2,0),0),0)</f>
        <v>-505463</v>
      </c>
      <c r="J35" s="155">
        <f>IFERROR(VLOOKUP($A$3:$A$126,'AUG-2026'!$A$4:$ADL$124,MATCH('FY-(26-27)Q2'!$I$2:$J$2,'AUG-2026'!$A$2:$DM$2,0),0),0)</f>
        <v>-1.010926</v>
      </c>
      <c r="K35" s="153">
        <f>IFERROR(VLOOKUP($A$3:$A$126,'SEP-2026'!$A$4:$ADN$124,MATCH('FY-(26-27)Q2'!$K$2:$L$2,'SEP-2026'!$A$2:$DO$2,0),0),0)</f>
        <v>-475000</v>
      </c>
      <c r="L35" s="155">
        <f>IFERROR(VLOOKUP($A$3:$A$126,'SEP-2026'!$A$4:$ADN$124,MATCH('FY-(26-27)Q2'!$K$2:$L$2,'SEP-2026'!$A$2:$DO$2,0),0),0)</f>
        <v>-0.95</v>
      </c>
      <c r="M35" s="71">
        <f t="shared" si="0"/>
        <v>224852</v>
      </c>
      <c r="N35" s="166">
        <f t="shared" si="0"/>
        <v>0.44970399999999988</v>
      </c>
    </row>
    <row r="36" spans="1:14" x14ac:dyDescent="0.25">
      <c r="A36" s="141" t="s">
        <v>34</v>
      </c>
      <c r="B36" s="143" t="s">
        <v>18</v>
      </c>
      <c r="C36" s="141" t="s">
        <v>10</v>
      </c>
      <c r="D36" s="143" t="s">
        <v>18</v>
      </c>
      <c r="E36" s="37" t="s">
        <v>256</v>
      </c>
      <c r="F36" s="118">
        <v>5</v>
      </c>
      <c r="G36" s="153">
        <f>IFERROR(VLOOKUP($A$3:$A$126,'JULY-2026'!$A$4:$ACS$118,MATCH('FY-(26-27)Q2'!$G$2:$H$2,'JULY-2026'!$A$2:$CT$2,0),0),0)</f>
        <v>457495</v>
      </c>
      <c r="H36" s="155">
        <f>IFERROR(VLOOKUP($A$3:$A$126,'JULY-2026'!$A$4:$ACS$118,MATCH('FY-(26-27)Q2'!$G$2:$H$2,'JULY-2026'!$A$2:$CT$2,0),0),0)</f>
        <v>0.91498999999999997</v>
      </c>
      <c r="I36" s="153">
        <f>IFERROR(VLOOKUP($A$3:$A$126,'AUG-2026'!$A$4:$ADL$124,MATCH('FY-(26-27)Q2'!$I$2:$J$2,'AUG-2026'!$A$2:$DM$2,0),0),0)</f>
        <v>569912</v>
      </c>
      <c r="J36" s="155">
        <f>IFERROR(VLOOKUP($A$3:$A$126,'AUG-2026'!$A$4:$ADL$124,MATCH('FY-(26-27)Q2'!$I$2:$J$2,'AUG-2026'!$A$2:$DM$2,0),0),0)</f>
        <v>1.1398239999999999</v>
      </c>
      <c r="K36" s="153">
        <f>IFERROR(VLOOKUP($A$3:$A$126,'SEP-2026'!$A$4:$ADN$124,MATCH('FY-(26-27)Q2'!$K$2:$L$2,'SEP-2026'!$A$2:$DO$2,0),0),0)</f>
        <v>-172907</v>
      </c>
      <c r="L36" s="155">
        <f>IFERROR(VLOOKUP($A$3:$A$126,'SEP-2026'!$A$4:$ADN$124,MATCH('FY-(26-27)Q2'!$K$2:$L$2,'SEP-2026'!$A$2:$DO$2,0),0),0)</f>
        <v>-0.34581400000000001</v>
      </c>
      <c r="M36" s="71">
        <f t="shared" si="0"/>
        <v>854500</v>
      </c>
      <c r="N36" s="166">
        <f t="shared" si="0"/>
        <v>1.7089999999999999</v>
      </c>
    </row>
    <row r="37" spans="1:14" x14ac:dyDescent="0.25">
      <c r="A37" s="141" t="s">
        <v>131</v>
      </c>
      <c r="B37" s="143" t="s">
        <v>130</v>
      </c>
      <c r="C37" s="141" t="s">
        <v>16</v>
      </c>
      <c r="D37" s="142" t="s">
        <v>262</v>
      </c>
      <c r="E37" s="37" t="s">
        <v>256</v>
      </c>
      <c r="F37" s="118">
        <v>0.5</v>
      </c>
      <c r="G37" s="153">
        <f>IFERROR(VLOOKUP($A$3:$A$126,'JULY-2026'!$A$4:$ACS$118,MATCH('FY-(26-27)Q2'!$G$2:$H$2,'JULY-2026'!$A$2:$CT$2,0),0),0)</f>
        <v>-15025</v>
      </c>
      <c r="H37" s="155">
        <f>IFERROR(VLOOKUP($A$3:$A$126,'JULY-2026'!$A$4:$ACS$118,MATCH('FY-(26-27)Q2'!$G$2:$H$2,'JULY-2026'!$A$2:$CT$2,0),0),0)</f>
        <v>-0.30049999999999999</v>
      </c>
      <c r="I37" s="153">
        <f>IFERROR(VLOOKUP($A$3:$A$126,'AUG-2026'!$A$4:$ADL$124,MATCH('FY-(26-27)Q2'!$I$2:$J$2,'AUG-2026'!$A$2:$DM$2,0),0),0)</f>
        <v>-64339</v>
      </c>
      <c r="J37" s="155">
        <f>IFERROR(VLOOKUP($A$3:$A$126,'AUG-2026'!$A$4:$ADL$124,MATCH('FY-(26-27)Q2'!$I$2:$J$2,'AUG-2026'!$A$2:$DM$2,0),0),0)</f>
        <v>-1.28678</v>
      </c>
      <c r="K37" s="153">
        <f>IFERROR(VLOOKUP($A$3:$A$126,'SEP-2026'!$A$4:$ADN$124,MATCH('FY-(26-27)Q2'!$K$2:$L$2,'SEP-2026'!$A$2:$DO$2,0),0),0)</f>
        <v>-98118</v>
      </c>
      <c r="L37" s="155">
        <f>IFERROR(VLOOKUP($A$3:$A$126,'SEP-2026'!$A$4:$ADN$124,MATCH('FY-(26-27)Q2'!$K$2:$L$2,'SEP-2026'!$A$2:$DO$2,0),0),0)</f>
        <v>-1.9623600000000001</v>
      </c>
      <c r="M37" s="71">
        <f t="shared" si="0"/>
        <v>-177482</v>
      </c>
      <c r="N37" s="166">
        <f t="shared" si="0"/>
        <v>-3.5496400000000001</v>
      </c>
    </row>
    <row r="38" spans="1:14" x14ac:dyDescent="0.25">
      <c r="A38" s="43" t="s">
        <v>67</v>
      </c>
      <c r="B38" s="141" t="s">
        <v>76</v>
      </c>
      <c r="C38" s="141" t="s">
        <v>60</v>
      </c>
      <c r="D38" s="37" t="s">
        <v>4</v>
      </c>
      <c r="E38" s="37" t="s">
        <v>256</v>
      </c>
      <c r="F38" s="156">
        <v>0.4</v>
      </c>
      <c r="G38" s="153">
        <f>IFERROR(VLOOKUP($A$3:$A$126,'JULY-2026'!$A$4:$ACS$118,MATCH('FY-(26-27)Q2'!$G$2:$H$2,'JULY-2026'!$A$2:$CT$2,0),0),0)</f>
        <v>-118745</v>
      </c>
      <c r="H38" s="155">
        <f>IFERROR(VLOOKUP($A$3:$A$126,'JULY-2026'!$A$4:$ACS$118,MATCH('FY-(26-27)Q2'!$G$2:$H$2,'JULY-2026'!$A$2:$CT$2,0),0),0)</f>
        <v>-2.9686249999999998</v>
      </c>
      <c r="I38" s="153">
        <f>IFERROR(VLOOKUP($A$3:$A$126,'AUG-2026'!$A$4:$ADL$124,MATCH('FY-(26-27)Q2'!$I$2:$J$2,'AUG-2026'!$A$2:$DM$2,0),0),0)</f>
        <v>53220</v>
      </c>
      <c r="J38" s="155">
        <f>IFERROR(VLOOKUP($A$3:$A$126,'AUG-2026'!$A$4:$ADL$124,MATCH('FY-(26-27)Q2'!$I$2:$J$2,'AUG-2026'!$A$2:$DM$2,0),0),0)</f>
        <v>1.3305</v>
      </c>
      <c r="K38" s="153">
        <f>IFERROR(VLOOKUP($A$3:$A$126,'SEP-2026'!$A$4:$ADN$124,MATCH('FY-(26-27)Q2'!$K$2:$L$2,'SEP-2026'!$A$2:$DO$2,0),0),0)</f>
        <v>8586</v>
      </c>
      <c r="L38" s="155">
        <f>IFERROR(VLOOKUP($A$3:$A$126,'SEP-2026'!$A$4:$ADN$124,MATCH('FY-(26-27)Q2'!$K$2:$L$2,'SEP-2026'!$A$2:$DO$2,0),0),0)</f>
        <v>0.21465000000000001</v>
      </c>
      <c r="M38" s="71">
        <f t="shared" si="0"/>
        <v>-56939</v>
      </c>
      <c r="N38" s="166">
        <f t="shared" si="0"/>
        <v>-1.4234749999999998</v>
      </c>
    </row>
    <row r="39" spans="1:14" x14ac:dyDescent="0.25">
      <c r="A39" s="43" t="s">
        <v>143</v>
      </c>
      <c r="B39" s="141" t="s">
        <v>19</v>
      </c>
      <c r="C39" s="142" t="s">
        <v>232</v>
      </c>
      <c r="D39" s="142" t="s">
        <v>145</v>
      </c>
      <c r="E39" s="142" t="s">
        <v>256</v>
      </c>
      <c r="F39" s="156">
        <v>0.5</v>
      </c>
      <c r="G39" s="153">
        <f>IFERROR(VLOOKUP($A$3:$A$126,'JULY-2026'!$A$4:$ACS$118,MATCH('FY-(26-27)Q2'!$G$2:$H$2,'JULY-2026'!$A$2:$CT$2,0),0),0)</f>
        <v>-215150</v>
      </c>
      <c r="H39" s="155">
        <f>IFERROR(VLOOKUP($A$3:$A$126,'JULY-2026'!$A$4:$ACS$118,MATCH('FY-(26-27)Q2'!$G$2:$H$2,'JULY-2026'!$A$2:$CT$2,0),0),0)</f>
        <v>-4.3029999999999999</v>
      </c>
      <c r="I39" s="153">
        <f>IFERROR(VLOOKUP($A$3:$A$126,'AUG-2026'!$A$4:$ADL$124,MATCH('FY-(26-27)Q2'!$I$2:$J$2,'AUG-2026'!$A$2:$DM$2,0),0),0)</f>
        <v>6333</v>
      </c>
      <c r="J39" s="155">
        <f>IFERROR(VLOOKUP($A$3:$A$126,'AUG-2026'!$A$4:$ADL$124,MATCH('FY-(26-27)Q2'!$I$2:$J$2,'AUG-2026'!$A$2:$DM$2,0),0),0)</f>
        <v>0.12665999999999999</v>
      </c>
      <c r="K39" s="153">
        <f>IFERROR(VLOOKUP($A$3:$A$126,'SEP-2026'!$A$4:$ADN$124,MATCH('FY-(26-27)Q2'!$K$2:$L$2,'SEP-2026'!$A$2:$DO$2,0),0),0)</f>
        <v>0</v>
      </c>
      <c r="L39" s="155">
        <f>IFERROR(VLOOKUP($A$3:$A$126,'SEP-2026'!$A$4:$ADN$124,MATCH('FY-(26-27)Q2'!$K$2:$L$2,'SEP-2026'!$A$2:$DO$2,0),0),0)</f>
        <v>0</v>
      </c>
      <c r="M39" s="71">
        <f t="shared" si="0"/>
        <v>-208817</v>
      </c>
      <c r="N39" s="166">
        <f t="shared" si="0"/>
        <v>-4.1763399999999997</v>
      </c>
    </row>
    <row r="40" spans="1:14" x14ac:dyDescent="0.25">
      <c r="A40" s="43" t="s">
        <v>144</v>
      </c>
      <c r="B40" s="141" t="s">
        <v>19</v>
      </c>
      <c r="C40" s="142" t="s">
        <v>250</v>
      </c>
      <c r="D40" s="142" t="s">
        <v>256</v>
      </c>
      <c r="E40" s="142" t="s">
        <v>256</v>
      </c>
      <c r="F40" s="156">
        <v>0.5</v>
      </c>
      <c r="G40" s="153">
        <f>IFERROR(VLOOKUP($A$3:$A$126,'JULY-2026'!$A$4:$ACS$118,MATCH('FY-(26-27)Q2'!$G$2:$H$2,'JULY-2026'!$A$2:$CT$2,0),0),0)</f>
        <v>-64553</v>
      </c>
      <c r="H40" s="155">
        <f>IFERROR(VLOOKUP($A$3:$A$126,'JULY-2026'!$A$4:$ACS$118,MATCH('FY-(26-27)Q2'!$G$2:$H$2,'JULY-2026'!$A$2:$CT$2,0),0),0)</f>
        <v>-1.2910600000000001</v>
      </c>
      <c r="I40" s="153">
        <f>IFERROR(VLOOKUP($A$3:$A$126,'AUG-2026'!$A$4:$ADL$124,MATCH('FY-(26-27)Q2'!$I$2:$J$2,'AUG-2026'!$A$2:$DM$2,0),0),0)</f>
        <v>0</v>
      </c>
      <c r="J40" s="155">
        <f>IFERROR(VLOOKUP($A$3:$A$126,'AUG-2026'!$A$4:$ADL$124,MATCH('FY-(26-27)Q2'!$I$2:$J$2,'AUG-2026'!$A$2:$DM$2,0),0),0)</f>
        <v>0</v>
      </c>
      <c r="K40" s="153">
        <f>IFERROR(VLOOKUP($A$3:$A$126,'SEP-2026'!$A$4:$ADN$124,MATCH('FY-(26-27)Q2'!$K$2:$L$2,'SEP-2026'!$A$2:$DO$2,0),0),0)</f>
        <v>0</v>
      </c>
      <c r="L40" s="155">
        <f>IFERROR(VLOOKUP($A$3:$A$126,'SEP-2026'!$A$4:$ADN$124,MATCH('FY-(26-27)Q2'!$K$2:$L$2,'SEP-2026'!$A$2:$DO$2,0),0),0)</f>
        <v>0</v>
      </c>
      <c r="M40" s="71">
        <f t="shared" ref="M40" si="11">G40+I40+K40</f>
        <v>-64553</v>
      </c>
      <c r="N40" s="166">
        <f t="shared" ref="N40" si="12">H40+J40+L40</f>
        <v>-1.2910600000000001</v>
      </c>
    </row>
    <row r="41" spans="1:14" x14ac:dyDescent="0.25">
      <c r="A41" s="142" t="s">
        <v>31</v>
      </c>
      <c r="B41" s="143" t="s">
        <v>153</v>
      </c>
      <c r="C41" s="142" t="s">
        <v>222</v>
      </c>
      <c r="D41" s="142" t="s">
        <v>263</v>
      </c>
      <c r="E41" s="40" t="s">
        <v>256</v>
      </c>
      <c r="F41" s="156">
        <v>4</v>
      </c>
      <c r="G41" s="153">
        <f>IFERROR(VLOOKUP($A$3:$A$126,'JULY-2026'!$A$4:$ACS$118,MATCH('FY-(26-27)Q2'!$G$2:$H$2,'JULY-2026'!$A$2:$CT$2,0),0),0)</f>
        <v>360685</v>
      </c>
      <c r="H41" s="155">
        <f>IFERROR(VLOOKUP($A$3:$A$126,'JULY-2026'!$A$4:$ACS$118,MATCH('FY-(26-27)Q2'!$G$2:$H$2,'JULY-2026'!$A$2:$CT$2,0),0),0)</f>
        <v>0.90171250000000003</v>
      </c>
      <c r="I41" s="153">
        <f>IFERROR(VLOOKUP($A$3:$A$126,'AUG-2026'!$A$4:$ADL$124,MATCH('FY-(26-27)Q2'!$I$2:$J$2,'AUG-2026'!$A$2:$DM$2,0),0),0)</f>
        <v>350251</v>
      </c>
      <c r="J41" s="155">
        <f>IFERROR(VLOOKUP($A$3:$A$126,'AUG-2026'!$A$4:$ADL$124,MATCH('FY-(26-27)Q2'!$I$2:$J$2,'AUG-2026'!$A$2:$DM$2,0),0),0)</f>
        <v>0.8756275</v>
      </c>
      <c r="K41" s="153">
        <f>IFERROR(VLOOKUP($A$3:$A$126,'SEP-2026'!$A$4:$ADN$124,MATCH('FY-(26-27)Q2'!$K$2:$L$2,'SEP-2026'!$A$2:$DO$2,0),0),0)</f>
        <v>-84252</v>
      </c>
      <c r="L41" s="155">
        <f>IFERROR(VLOOKUP($A$3:$A$126,'SEP-2026'!$A$4:$ADN$124,MATCH('FY-(26-27)Q2'!$K$2:$L$2,'SEP-2026'!$A$2:$DO$2,0),0),0)</f>
        <v>-0.21063000000000001</v>
      </c>
      <c r="M41" s="71">
        <f t="shared" si="0"/>
        <v>626684</v>
      </c>
      <c r="N41" s="166">
        <f t="shared" si="0"/>
        <v>1.56671</v>
      </c>
    </row>
    <row r="42" spans="1:14" x14ac:dyDescent="0.25">
      <c r="A42" s="142" t="s">
        <v>104</v>
      </c>
      <c r="B42" s="143" t="s">
        <v>105</v>
      </c>
      <c r="C42" s="142" t="s">
        <v>315</v>
      </c>
      <c r="D42" s="142" t="s">
        <v>106</v>
      </c>
      <c r="E42" s="40" t="s">
        <v>106</v>
      </c>
      <c r="F42" s="156">
        <v>1</v>
      </c>
      <c r="G42" s="153">
        <f>IFERROR(VLOOKUP($A$3:$A$126,'JULY-2026'!$A$4:$ACS$118,MATCH('FY-(26-27)Q2'!$G$2:$H$2,'JULY-2026'!$A$2:$CT$2,0),0),0)</f>
        <v>150383</v>
      </c>
      <c r="H42" s="155">
        <f>IFERROR(VLOOKUP($A$3:$A$126,'JULY-2026'!$A$4:$ACS$118,MATCH('FY-(26-27)Q2'!$G$2:$H$2,'JULY-2026'!$A$2:$CT$2,0),0),0)</f>
        <v>1.50383</v>
      </c>
      <c r="I42" s="153">
        <f>IFERROR(VLOOKUP($A$3:$A$126,'AUG-2026'!$A$4:$ADL$124,MATCH('FY-(26-27)Q2'!$I$2:$J$2,'AUG-2026'!$A$2:$DM$2,0),0),0)</f>
        <v>53249</v>
      </c>
      <c r="J42" s="155">
        <f>IFERROR(VLOOKUP($A$3:$A$126,'AUG-2026'!$A$4:$ADL$124,MATCH('FY-(26-27)Q2'!$I$2:$J$2,'AUG-2026'!$A$2:$DM$2,0),0),0)</f>
        <v>0.53249000000000002</v>
      </c>
      <c r="K42" s="153">
        <f>IFERROR(VLOOKUP($A$3:$A$126,'SEP-2026'!$A$4:$ADN$124,MATCH('FY-(26-27)Q2'!$K$2:$L$2,'SEP-2026'!$A$2:$DO$2,0),0),0)</f>
        <v>-7417</v>
      </c>
      <c r="L42" s="155">
        <f>IFERROR(VLOOKUP($A$3:$A$126,'SEP-2026'!$A$4:$ADN$124,MATCH('FY-(26-27)Q2'!$K$2:$L$2,'SEP-2026'!$A$2:$DO$2,0),0),0)</f>
        <v>-7.417E-2</v>
      </c>
      <c r="M42" s="71">
        <f t="shared" si="0"/>
        <v>196215</v>
      </c>
      <c r="N42" s="166">
        <f t="shared" si="0"/>
        <v>1.9621499999999998</v>
      </c>
    </row>
    <row r="43" spans="1:14" x14ac:dyDescent="0.25">
      <c r="A43" s="142" t="s">
        <v>314</v>
      </c>
      <c r="B43" s="143" t="s">
        <v>105</v>
      </c>
      <c r="C43" s="142" t="s">
        <v>15</v>
      </c>
      <c r="D43" s="142" t="s">
        <v>256</v>
      </c>
      <c r="E43" s="142" t="s">
        <v>256</v>
      </c>
      <c r="F43" s="156"/>
      <c r="G43" s="153">
        <f>IFERROR(VLOOKUP($A$3:$A$126,'JULY-2026'!$A$4:$ACS$118,MATCH('FY-(26-27)Q2'!$G$2:$H$2,'JULY-2026'!$A$2:$CT$2,0),0),0)</f>
        <v>0</v>
      </c>
      <c r="H43" s="155">
        <f>IFERROR(VLOOKUP($A$3:$A$126,'JULY-2026'!$A$4:$ACS$118,MATCH('FY-(26-27)Q2'!$G$2:$H$2,'JULY-2026'!$A$2:$CT$2,0),0),0)</f>
        <v>0</v>
      </c>
      <c r="I43" s="153">
        <f>IFERROR(VLOOKUP($A$3:$A$126,'AUG-2026'!$A$4:$ADL$124,MATCH('FY-(26-27)Q2'!$I$2:$J$2,'AUG-2026'!$A$2:$DM$2,0),0),0)</f>
        <v>0</v>
      </c>
      <c r="J43" s="155">
        <f>IFERROR(VLOOKUP($A$3:$A$126,'AUG-2026'!$A$4:$ADL$124,MATCH('FY-(26-27)Q2'!$I$2:$J$2,'AUG-2026'!$A$2:$DM$2,0),0),0)</f>
        <v>0</v>
      </c>
      <c r="K43" s="153">
        <f>IFERROR(VLOOKUP($A$3:$A$126,'SEP-2026'!$A$4:$ADN$124,MATCH('FY-(26-27)Q2'!$K$2:$L$2,'SEP-2026'!$A$2:$DO$2,0),0),0)</f>
        <v>0</v>
      </c>
      <c r="L43" s="155">
        <f>IFERROR(VLOOKUP($A$3:$A$126,'SEP-2026'!$A$4:$ADN$124,MATCH('FY-(26-27)Q2'!$K$2:$L$2,'SEP-2026'!$A$2:$DO$2,0),0),0)</f>
        <v>0</v>
      </c>
      <c r="M43" s="71">
        <f t="shared" ref="M43" si="13">G43+I43+K43</f>
        <v>0</v>
      </c>
      <c r="N43" s="166">
        <f t="shared" ref="N43" si="14">H43+J43+L43</f>
        <v>0</v>
      </c>
    </row>
    <row r="44" spans="1:14" x14ac:dyDescent="0.25">
      <c r="A44" s="142" t="s">
        <v>229</v>
      </c>
      <c r="B44" s="143" t="s">
        <v>105</v>
      </c>
      <c r="C44" s="142" t="s">
        <v>218</v>
      </c>
      <c r="D44" s="142" t="s">
        <v>269</v>
      </c>
      <c r="E44" s="142" t="s">
        <v>256</v>
      </c>
      <c r="F44" s="156">
        <v>0.5</v>
      </c>
      <c r="G44" s="153">
        <f>IFERROR(VLOOKUP($A$3:$A$126,'JULY-2026'!$A$4:$ACS$118,MATCH('FY-(26-27)Q2'!$G$2:$H$2,'JULY-2026'!$A$2:$CT$2,0),0),0)</f>
        <v>-52106</v>
      </c>
      <c r="H44" s="155">
        <f>IFERROR(VLOOKUP($A$3:$A$126,'JULY-2026'!$A$4:$ACS$118,MATCH('FY-(26-27)Q2'!$G$2:$H$2,'JULY-2026'!$A$2:$CT$2,0),0),0)</f>
        <v>-1.0421199999999999</v>
      </c>
      <c r="I44" s="153">
        <f>IFERROR(VLOOKUP($A$3:$A$126,'AUG-2026'!$A$4:$ADL$124,MATCH('FY-(26-27)Q2'!$I$2:$J$2,'AUG-2026'!$A$2:$DM$2,0),0),0)</f>
        <v>-14277</v>
      </c>
      <c r="J44" s="155">
        <f>IFERROR(VLOOKUP($A$3:$A$126,'AUG-2026'!$A$4:$ADL$124,MATCH('FY-(26-27)Q2'!$I$2:$J$2,'AUG-2026'!$A$2:$DM$2,0),0),0)</f>
        <v>-0.28554000000000002</v>
      </c>
      <c r="K44" s="153">
        <f>IFERROR(VLOOKUP($A$3:$A$126,'SEP-2026'!$A$4:$ADN$124,MATCH('FY-(26-27)Q2'!$K$2:$L$2,'SEP-2026'!$A$2:$DO$2,0),0),0)</f>
        <v>-28760</v>
      </c>
      <c r="L44" s="155">
        <f>IFERROR(VLOOKUP($A$3:$A$126,'SEP-2026'!$A$4:$ADN$124,MATCH('FY-(26-27)Q2'!$K$2:$L$2,'SEP-2026'!$A$2:$DO$2,0),0),0)</f>
        <v>-0.57520000000000004</v>
      </c>
      <c r="M44" s="71">
        <f t="shared" si="0"/>
        <v>-95143</v>
      </c>
      <c r="N44" s="166">
        <f t="shared" si="0"/>
        <v>-1.90286</v>
      </c>
    </row>
    <row r="45" spans="1:14" x14ac:dyDescent="0.25">
      <c r="A45" s="142" t="s">
        <v>45</v>
      </c>
      <c r="B45" s="143" t="s">
        <v>98</v>
      </c>
      <c r="C45" s="142" t="s">
        <v>220</v>
      </c>
      <c r="D45" s="142" t="s">
        <v>265</v>
      </c>
      <c r="E45" s="60" t="s">
        <v>256</v>
      </c>
      <c r="F45" s="156">
        <v>1</v>
      </c>
      <c r="G45" s="153">
        <f>IFERROR(VLOOKUP($A$3:$A$126,'JULY-2026'!$A$4:$ACS$118,MATCH('FY-(26-27)Q2'!$G$2:$H$2,'JULY-2026'!$A$2:$CT$2,0),0),0)</f>
        <v>79198</v>
      </c>
      <c r="H45" s="155">
        <f>IFERROR(VLOOKUP($A$3:$A$126,'JULY-2026'!$A$4:$ACS$118,MATCH('FY-(26-27)Q2'!$G$2:$H$2,'JULY-2026'!$A$2:$CT$2,0),0),0)</f>
        <v>0.2639933333333333</v>
      </c>
      <c r="I45" s="153">
        <f>IFERROR(VLOOKUP($A$3:$A$126,'AUG-2026'!$A$4:$ADL$124,MATCH('FY-(26-27)Q2'!$I$2:$J$2,'AUG-2026'!$A$2:$DM$2,0),0),0)</f>
        <v>-189990</v>
      </c>
      <c r="J45" s="155">
        <f>IFERROR(VLOOKUP($A$3:$A$126,'AUG-2026'!$A$4:$ADL$124,MATCH('FY-(26-27)Q2'!$I$2:$J$2,'AUG-2026'!$A$2:$DM$2,0),0),0)</f>
        <v>-0.63329999999999997</v>
      </c>
      <c r="K45" s="153">
        <f>IFERROR(VLOOKUP($A$3:$A$126,'SEP-2026'!$A$4:$ADN$124,MATCH('FY-(26-27)Q2'!$K$2:$L$2,'SEP-2026'!$A$2:$DO$2,0),0),0)</f>
        <v>-56406</v>
      </c>
      <c r="L45" s="155">
        <f>IFERROR(VLOOKUP($A$3:$A$126,'SEP-2026'!$A$4:$ADN$124,MATCH('FY-(26-27)Q2'!$K$2:$L$2,'SEP-2026'!$A$2:$DO$2,0),0),0)</f>
        <v>-0.18801999999999999</v>
      </c>
      <c r="M45" s="71">
        <f t="shared" si="0"/>
        <v>-167198</v>
      </c>
      <c r="N45" s="166">
        <f t="shared" si="0"/>
        <v>-0.55732666666666664</v>
      </c>
    </row>
    <row r="46" spans="1:14" x14ac:dyDescent="0.25">
      <c r="A46" s="142" t="s">
        <v>193</v>
      </c>
      <c r="B46" s="143" t="s">
        <v>186</v>
      </c>
      <c r="C46" s="142" t="s">
        <v>221</v>
      </c>
      <c r="D46" s="142" t="s">
        <v>265</v>
      </c>
      <c r="E46" s="142" t="s">
        <v>256</v>
      </c>
      <c r="F46" s="156">
        <v>3</v>
      </c>
      <c r="G46" s="153">
        <f>IFERROR(VLOOKUP($A$3:$A$126,'JULY-2026'!$A$4:$ACS$118,MATCH('FY-(26-27)Q2'!$G$2:$H$2,'JULY-2026'!$A$2:$CT$2,0),0),0)</f>
        <v>64077</v>
      </c>
      <c r="H46" s="155">
        <f>IFERROR(VLOOKUP($A$3:$A$126,'JULY-2026'!$A$4:$ACS$118,MATCH('FY-(26-27)Q2'!$G$2:$H$2,'JULY-2026'!$A$2:$CT$2,0),0),0)</f>
        <v>0.21359</v>
      </c>
      <c r="I46" s="153">
        <f>IFERROR(VLOOKUP($A$3:$A$126,'AUG-2026'!$A$4:$ADL$124,MATCH('FY-(26-27)Q2'!$I$2:$J$2,'AUG-2026'!$A$2:$DM$2,0),0),0)</f>
        <v>-103924</v>
      </c>
      <c r="J46" s="155">
        <f>IFERROR(VLOOKUP($A$3:$A$126,'AUG-2026'!$A$4:$ADL$124,MATCH('FY-(26-27)Q2'!$I$2:$J$2,'AUG-2026'!$A$2:$DM$2,0),0),0)</f>
        <v>-0.34641333333333335</v>
      </c>
      <c r="K46" s="153">
        <f>IFERROR(VLOOKUP($A$3:$A$126,'SEP-2026'!$A$4:$ADN$124,MATCH('FY-(26-27)Q2'!$K$2:$L$2,'SEP-2026'!$A$2:$DO$2,0),0),0)</f>
        <v>0</v>
      </c>
      <c r="L46" s="155">
        <f>IFERROR(VLOOKUP($A$3:$A$126,'SEP-2026'!$A$4:$ADN$124,MATCH('FY-(26-27)Q2'!$K$2:$L$2,'SEP-2026'!$A$2:$DO$2,0),0),0)</f>
        <v>0</v>
      </c>
      <c r="M46" s="71">
        <f t="shared" si="0"/>
        <v>-39847</v>
      </c>
      <c r="N46" s="166">
        <f t="shared" si="0"/>
        <v>-0.13282333333333335</v>
      </c>
    </row>
    <row r="47" spans="1:14" x14ac:dyDescent="0.25">
      <c r="A47" s="142" t="s">
        <v>52</v>
      </c>
      <c r="B47" s="143" t="s">
        <v>115</v>
      </c>
      <c r="C47" s="142" t="s">
        <v>219</v>
      </c>
      <c r="D47" s="142" t="s">
        <v>269</v>
      </c>
      <c r="E47" s="37" t="s">
        <v>256</v>
      </c>
      <c r="F47" s="156">
        <v>3</v>
      </c>
      <c r="G47" s="153">
        <f>IFERROR(VLOOKUP($A$3:$A$126,'JULY-2026'!$A$4:$ACS$118,MATCH('FY-(26-27)Q2'!$G$2:$H$2,'JULY-2026'!$A$2:$CT$2,0),0),0)</f>
        <v>142838</v>
      </c>
      <c r="H47" s="155">
        <f>IFERROR(VLOOKUP($A$3:$A$126,'JULY-2026'!$A$4:$ACS$118,MATCH('FY-(26-27)Q2'!$G$2:$H$2,'JULY-2026'!$A$2:$CT$2,0),0),0)</f>
        <v>0.47612666666666659</v>
      </c>
      <c r="I47" s="153">
        <f>IFERROR(VLOOKUP($A$3:$A$126,'AUG-2026'!$A$4:$ADL$124,MATCH('FY-(26-27)Q2'!$I$2:$J$2,'AUG-2026'!$A$2:$DM$2,0),0),0)</f>
        <v>-111880</v>
      </c>
      <c r="J47" s="155">
        <f>IFERROR(VLOOKUP($A$3:$A$126,'AUG-2026'!$A$4:$ADL$124,MATCH('FY-(26-27)Q2'!$I$2:$J$2,'AUG-2026'!$A$2:$DM$2,0),0),0)</f>
        <v>-0.37293333333333334</v>
      </c>
      <c r="K47" s="153">
        <f>IFERROR(VLOOKUP($A$3:$A$126,'SEP-2026'!$A$4:$ADN$124,MATCH('FY-(26-27)Q2'!$K$2:$L$2,'SEP-2026'!$A$2:$DO$2,0),0),0)</f>
        <v>0</v>
      </c>
      <c r="L47" s="155">
        <f>IFERROR(VLOOKUP($A$3:$A$126,'SEP-2026'!$A$4:$ADN$124,MATCH('FY-(26-27)Q2'!$K$2:$L$2,'SEP-2026'!$A$2:$DO$2,0),0),0)</f>
        <v>0</v>
      </c>
      <c r="M47" s="71">
        <f t="shared" si="0"/>
        <v>30958</v>
      </c>
      <c r="N47" s="166">
        <f t="shared" si="0"/>
        <v>0.10319333333333325</v>
      </c>
    </row>
    <row r="48" spans="1:14" x14ac:dyDescent="0.25">
      <c r="A48" s="142" t="s">
        <v>292</v>
      </c>
      <c r="B48" s="143" t="s">
        <v>291</v>
      </c>
      <c r="C48" s="142" t="s">
        <v>293</v>
      </c>
      <c r="D48" s="142"/>
      <c r="E48" s="142" t="s">
        <v>256</v>
      </c>
      <c r="F48" s="156">
        <v>0.1</v>
      </c>
      <c r="G48" s="153">
        <f>IFERROR(VLOOKUP($A$3:$A$126,'JULY-2026'!$A$4:$ACS$118,MATCH('FY-(26-27)Q2'!$G$2:$H$2,'JULY-2026'!$A$2:$CT$2,0),0),0)</f>
        <v>-12015</v>
      </c>
      <c r="H48" s="155">
        <f>IFERROR(VLOOKUP($A$3:$A$126,'JULY-2026'!$A$4:$ACS$118,MATCH('FY-(26-27)Q2'!$G$2:$H$2,'JULY-2026'!$A$2:$CT$2,0),0),0)</f>
        <v>-1.2015</v>
      </c>
      <c r="I48" s="153">
        <f>IFERROR(VLOOKUP($A$3:$A$126,'AUG-2026'!$A$4:$ADL$124,MATCH('FY-(26-27)Q2'!$I$2:$J$2,'AUG-2026'!$A$2:$DM$2,0),0),0)</f>
        <v>-4917</v>
      </c>
      <c r="J48" s="155">
        <f>IFERROR(VLOOKUP($A$3:$A$126,'AUG-2026'!$A$4:$ADL$124,MATCH('FY-(26-27)Q2'!$I$2:$J$2,'AUG-2026'!$A$2:$DM$2,0),0),0)</f>
        <v>-0.49170000000000003</v>
      </c>
      <c r="K48" s="153">
        <f>IFERROR(VLOOKUP($A$3:$A$126,'SEP-2026'!$A$4:$ADN$124,MATCH('FY-(26-27)Q2'!$K$2:$L$2,'SEP-2026'!$A$2:$DO$2,0),0),0)</f>
        <v>20345</v>
      </c>
      <c r="L48" s="155">
        <f>IFERROR(VLOOKUP($A$3:$A$126,'SEP-2026'!$A$4:$ADN$124,MATCH('FY-(26-27)Q2'!$K$2:$L$2,'SEP-2026'!$A$2:$DO$2,0),0),0)</f>
        <v>2.0345</v>
      </c>
      <c r="M48" s="71">
        <f t="shared" ref="M48" si="15">G48+I48+K48</f>
        <v>3413</v>
      </c>
      <c r="N48" s="166">
        <f t="shared" ref="N48" si="16">H48+J48+L48</f>
        <v>0.34129999999999994</v>
      </c>
    </row>
    <row r="49" spans="1:14" x14ac:dyDescent="0.25">
      <c r="A49" s="142" t="s">
        <v>132</v>
      </c>
      <c r="B49" s="143" t="s">
        <v>129</v>
      </c>
      <c r="C49" s="142" t="s">
        <v>17</v>
      </c>
      <c r="D49" s="142" t="s">
        <v>267</v>
      </c>
      <c r="E49" s="37" t="s">
        <v>256</v>
      </c>
      <c r="F49" s="156">
        <v>1</v>
      </c>
      <c r="G49" s="153">
        <f>IFERROR(VLOOKUP($A$3:$A$126,'JULY-2026'!$A$4:$ACS$118,MATCH('FY-(26-27)Q2'!$G$2:$H$2,'JULY-2026'!$A$2:$CT$2,0),0),0)</f>
        <v>32060</v>
      </c>
      <c r="H49" s="155">
        <f>IFERROR(VLOOKUP($A$3:$A$126,'JULY-2026'!$A$4:$ACS$118,MATCH('FY-(26-27)Q2'!$G$2:$H$2,'JULY-2026'!$A$2:$CT$2,0),0),0)</f>
        <v>0.3206</v>
      </c>
      <c r="I49" s="153">
        <f>IFERROR(VLOOKUP($A$3:$A$126,'AUG-2026'!$A$4:$ADL$124,MATCH('FY-(26-27)Q2'!$I$2:$J$2,'AUG-2026'!$A$2:$DM$2,0),0),0)</f>
        <v>2268</v>
      </c>
      <c r="J49" s="155">
        <f>IFERROR(VLOOKUP($A$3:$A$126,'AUG-2026'!$A$4:$ADL$124,MATCH('FY-(26-27)Q2'!$I$2:$J$2,'AUG-2026'!$A$2:$DM$2,0),0),0)</f>
        <v>4.5359999999999998E-2</v>
      </c>
      <c r="K49" s="153">
        <f>IFERROR(VLOOKUP($A$3:$A$126,'SEP-2026'!$A$4:$ADN$124,MATCH('FY-(26-27)Q2'!$K$2:$L$2,'SEP-2026'!$A$2:$DO$2,0),0),0)</f>
        <v>2285</v>
      </c>
      <c r="L49" s="155">
        <f>IFERROR(VLOOKUP($A$3:$A$126,'SEP-2026'!$A$4:$ADN$124,MATCH('FY-(26-27)Q2'!$K$2:$L$2,'SEP-2026'!$A$2:$DO$2,0),0),0)</f>
        <v>4.5699999999999998E-2</v>
      </c>
      <c r="M49" s="71">
        <f t="shared" si="0"/>
        <v>36613</v>
      </c>
      <c r="N49" s="166">
        <f t="shared" si="0"/>
        <v>0.41166000000000003</v>
      </c>
    </row>
    <row r="50" spans="1:14" x14ac:dyDescent="0.25">
      <c r="A50" s="142" t="s">
        <v>48</v>
      </c>
      <c r="B50" s="141" t="s">
        <v>95</v>
      </c>
      <c r="C50" s="142" t="s">
        <v>50</v>
      </c>
      <c r="D50" s="40" t="s">
        <v>107</v>
      </c>
      <c r="E50" s="40" t="s">
        <v>107</v>
      </c>
      <c r="F50" s="118">
        <v>1</v>
      </c>
      <c r="G50" s="153">
        <f>IFERROR(VLOOKUP($A$3:$A$126,'JULY-2026'!$A$4:$ACS$118,MATCH('FY-(26-27)Q2'!$G$2:$H$2,'JULY-2026'!$A$2:$CT$2,0),0),0)</f>
        <v>184217</v>
      </c>
      <c r="H50" s="155">
        <f>IFERROR(VLOOKUP($A$3:$A$126,'JULY-2026'!$A$4:$ACS$118,MATCH('FY-(26-27)Q2'!$G$2:$H$2,'JULY-2026'!$A$2:$CT$2,0),0),0)</f>
        <v>1.8421700000000001</v>
      </c>
      <c r="I50" s="153">
        <f>IFERROR(VLOOKUP($A$3:$A$126,'AUG-2026'!$A$4:$ADL$124,MATCH('FY-(26-27)Q2'!$I$2:$J$2,'AUG-2026'!$A$2:$DM$2,0),0),0)</f>
        <v>703157</v>
      </c>
      <c r="J50" s="155">
        <f>IFERROR(VLOOKUP($A$3:$A$126,'AUG-2026'!$A$4:$ADL$124,MATCH('FY-(26-27)Q2'!$I$2:$J$2,'AUG-2026'!$A$2:$DM$2,0),0),0)</f>
        <v>7.0315700000000003</v>
      </c>
      <c r="K50" s="153">
        <f>IFERROR(VLOOKUP($A$3:$A$126,'SEP-2026'!$A$4:$ADN$124,MATCH('FY-(26-27)Q2'!$K$2:$L$2,'SEP-2026'!$A$2:$DO$2,0),0),0)</f>
        <v>-35567</v>
      </c>
      <c r="L50" s="155">
        <f>IFERROR(VLOOKUP($A$3:$A$126,'SEP-2026'!$A$4:$ADN$124,MATCH('FY-(26-27)Q2'!$K$2:$L$2,'SEP-2026'!$A$2:$DO$2,0),0),0)</f>
        <v>-0.35566999999999999</v>
      </c>
      <c r="M50" s="71">
        <f t="shared" si="0"/>
        <v>851807</v>
      </c>
      <c r="N50" s="166">
        <f t="shared" si="0"/>
        <v>8.5180699999999998</v>
      </c>
    </row>
    <row r="51" spans="1:14" x14ac:dyDescent="0.25">
      <c r="A51" s="142" t="s">
        <v>301</v>
      </c>
      <c r="B51" s="141" t="s">
        <v>295</v>
      </c>
      <c r="C51" s="163" t="s">
        <v>296</v>
      </c>
      <c r="D51" s="163"/>
      <c r="E51" s="163" t="s">
        <v>256</v>
      </c>
      <c r="F51" s="164">
        <v>0.1</v>
      </c>
      <c r="G51" s="153">
        <f>IFERROR(VLOOKUP($A$3:$A$126,'JULY-2026'!$A$4:$ACS$118,MATCH('FY-(26-27)Q2'!$G$2:$H$2,'JULY-2026'!$A$2:$CT$2,0),0),0)</f>
        <v>-4465</v>
      </c>
      <c r="H51" s="155">
        <f>IFERROR(VLOOKUP($A$3:$A$126,'JULY-2026'!$A$4:$ACS$118,MATCH('FY-(26-27)Q2'!$G$2:$H$2,'JULY-2026'!$A$2:$CT$2,0),0),0)</f>
        <v>-0.44650000000000001</v>
      </c>
      <c r="I51" s="153">
        <f>IFERROR(VLOOKUP($A$3:$A$126,'AUG-2026'!$A$4:$ADL$124,MATCH('FY-(26-27)Q2'!$I$2:$J$2,'AUG-2026'!$A$2:$DM$2,0),0),0)</f>
        <v>919</v>
      </c>
      <c r="J51" s="155">
        <f>IFERROR(VLOOKUP($A$3:$A$126,'AUG-2026'!$A$4:$ADL$124,MATCH('FY-(26-27)Q2'!$I$2:$J$2,'AUG-2026'!$A$2:$DM$2,0),0),0)</f>
        <v>9.1899999999999996E-2</v>
      </c>
      <c r="K51" s="153">
        <f>IFERROR(VLOOKUP($A$3:$A$126,'SEP-2026'!$A$4:$ADN$124,MATCH('FY-(26-27)Q2'!$K$2:$L$2,'SEP-2026'!$A$2:$DO$2,0),0),0)</f>
        <v>6480</v>
      </c>
      <c r="L51" s="155">
        <f>IFERROR(VLOOKUP($A$3:$A$126,'SEP-2026'!$A$4:$ADN$124,MATCH('FY-(26-27)Q2'!$K$2:$L$2,'SEP-2026'!$A$2:$DO$2,0),0),0)</f>
        <v>0.64800000000000002</v>
      </c>
      <c r="M51" s="71">
        <f t="shared" ref="M51" si="17">G51+I51+K51</f>
        <v>2934</v>
      </c>
      <c r="N51" s="166">
        <f t="shared" ref="N51" si="18">H51+J51+L51</f>
        <v>0.29339999999999999</v>
      </c>
    </row>
    <row r="52" spans="1:14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37" t="s">
        <v>256</v>
      </c>
      <c r="F52" s="118">
        <v>1</v>
      </c>
      <c r="G52" s="153">
        <f>IFERROR(VLOOKUP($A$3:$A$126,'JULY-2026'!$A$4:$ACS$118,MATCH('FY-(26-27)Q2'!$G$2:$H$2,'JULY-2026'!$A$2:$CT$2,0),0),0)</f>
        <v>352978</v>
      </c>
      <c r="H52" s="155">
        <f>IFERROR(VLOOKUP($A$3:$A$126,'JULY-2026'!$A$4:$ACS$118,MATCH('FY-(26-27)Q2'!$G$2:$H$2,'JULY-2026'!$A$2:$CT$2,0),0),0)</f>
        <v>1.1765933333333332</v>
      </c>
      <c r="I52" s="153">
        <f>IFERROR(VLOOKUP($A$3:$A$126,'AUG-2026'!$A$4:$ADL$124,MATCH('FY-(26-27)Q2'!$I$2:$J$2,'AUG-2026'!$A$2:$DM$2,0),0),0)</f>
        <v>-361711</v>
      </c>
      <c r="J52" s="155">
        <f>IFERROR(VLOOKUP($A$3:$A$126,'AUG-2026'!$A$4:$ADL$124,MATCH('FY-(26-27)Q2'!$I$2:$J$2,'AUG-2026'!$A$2:$DM$2,0),0),0)</f>
        <v>-1.2057033333333331</v>
      </c>
      <c r="K52" s="153">
        <f>IFERROR(VLOOKUP($A$3:$A$126,'SEP-2026'!$A$4:$ADN$124,MATCH('FY-(26-27)Q2'!$K$2:$L$2,'SEP-2026'!$A$2:$DO$2,0),0),0)</f>
        <v>32664</v>
      </c>
      <c r="L52" s="155">
        <f>IFERROR(VLOOKUP($A$3:$A$126,'SEP-2026'!$A$4:$ADN$124,MATCH('FY-(26-27)Q2'!$K$2:$L$2,'SEP-2026'!$A$2:$DO$2,0),0),0)</f>
        <v>0.10888</v>
      </c>
      <c r="M52" s="71">
        <f t="shared" si="0"/>
        <v>23931</v>
      </c>
      <c r="N52" s="166">
        <f t="shared" si="0"/>
        <v>7.9770000000000035E-2</v>
      </c>
    </row>
    <row r="53" spans="1:14" x14ac:dyDescent="0.25">
      <c r="A53" s="142" t="s">
        <v>201</v>
      </c>
      <c r="B53" s="141" t="s">
        <v>169</v>
      </c>
      <c r="C53" s="143"/>
      <c r="D53" s="62"/>
      <c r="E53" s="60"/>
      <c r="F53" s="114">
        <v>1</v>
      </c>
      <c r="G53" s="153">
        <f>IFERROR(VLOOKUP($A$3:$A$126,'JULY-2026'!$A$4:$ACS$118,MATCH('FY-(26-27)Q2'!$G$2:$H$2,'JULY-2026'!$A$2:$CT$2,0),0),0)</f>
        <v>-11154</v>
      </c>
      <c r="H53" s="155">
        <f>IFERROR(VLOOKUP($A$3:$A$126,'JULY-2026'!$A$4:$ACS$118,MATCH('FY-(26-27)Q2'!$G$2:$H$2,'JULY-2026'!$A$2:$CT$2,0),0),0)</f>
        <v>-0.11154</v>
      </c>
      <c r="I53" s="153">
        <f>IFERROR(VLOOKUP($A$3:$A$126,'AUG-2026'!$A$4:$ADL$124,MATCH('FY-(26-27)Q2'!$I$2:$J$2,'AUG-2026'!$A$2:$DM$2,0),0),0)</f>
        <v>-9015</v>
      </c>
      <c r="J53" s="155">
        <f>IFERROR(VLOOKUP($A$3:$A$126,'AUG-2026'!$A$4:$ADL$124,MATCH('FY-(26-27)Q2'!$I$2:$J$2,'AUG-2026'!$A$2:$DM$2,0),0),0)</f>
        <v>-9.0149999999999994E-2</v>
      </c>
      <c r="K53" s="153">
        <f>IFERROR(VLOOKUP($A$3:$A$126,'SEP-2026'!$A$4:$ADN$124,MATCH('FY-(26-27)Q2'!$K$2:$L$2,'SEP-2026'!$A$2:$DO$2,0),0),0)</f>
        <v>0</v>
      </c>
      <c r="L53" s="155">
        <f>IFERROR(VLOOKUP($A$3:$A$126,'SEP-2026'!$A$4:$ADN$124,MATCH('FY-(26-27)Q2'!$K$2:$L$2,'SEP-2026'!$A$2:$DO$2,0),0),0)</f>
        <v>0</v>
      </c>
      <c r="M53" s="71">
        <f t="shared" ref="M53" si="19">G53+I53+K53</f>
        <v>-20169</v>
      </c>
      <c r="N53" s="166">
        <f t="shared" ref="N53" si="20">H53+J53+L53</f>
        <v>-0.20168999999999998</v>
      </c>
    </row>
    <row r="54" spans="1:14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53">
        <f>IFERROR(VLOOKUP($A$3:$A$126,'JULY-2026'!$A$4:$ACS$118,MATCH('FY-(26-27)Q2'!$G$2:$H$2,'JULY-2026'!$A$2:$CT$2,0),0),0)</f>
        <v>414410</v>
      </c>
      <c r="H54" s="155">
        <f>IFERROR(VLOOKUP($A$3:$A$126,'JULY-2026'!$A$4:$ACS$118,MATCH('FY-(26-27)Q2'!$G$2:$H$2,'JULY-2026'!$A$2:$CT$2,0),0),0)</f>
        <v>1.036025</v>
      </c>
      <c r="I54" s="153">
        <f>IFERROR(VLOOKUP($A$3:$A$126,'AUG-2026'!$A$4:$ADL$124,MATCH('FY-(26-27)Q2'!$I$2:$J$2,'AUG-2026'!$A$2:$DM$2,0),0),0)</f>
        <v>60792</v>
      </c>
      <c r="J54" s="155">
        <f>IFERROR(VLOOKUP($A$3:$A$126,'AUG-2026'!$A$4:$ADL$124,MATCH('FY-(26-27)Q2'!$I$2:$J$2,'AUG-2026'!$A$2:$DM$2,0),0),0)</f>
        <v>0.15198</v>
      </c>
      <c r="K54" s="153">
        <f>IFERROR(VLOOKUP($A$3:$A$126,'SEP-2026'!$A$4:$ADN$124,MATCH('FY-(26-27)Q2'!$K$2:$L$2,'SEP-2026'!$A$2:$DO$2,0),0),0)</f>
        <v>-156125</v>
      </c>
      <c r="L54" s="155">
        <f>IFERROR(VLOOKUP($A$3:$A$126,'SEP-2026'!$A$4:$ADN$124,MATCH('FY-(26-27)Q2'!$K$2:$L$2,'SEP-2026'!$A$2:$DO$2,0),0),0)</f>
        <v>-0.39031250000000001</v>
      </c>
      <c r="M54" s="71">
        <f t="shared" si="0"/>
        <v>319077</v>
      </c>
      <c r="N54" s="166">
        <f t="shared" si="0"/>
        <v>0.79769249999999992</v>
      </c>
    </row>
    <row r="55" spans="1:14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53">
        <f>IFERROR(VLOOKUP($A$3:$A$126,'JULY-2026'!$A$4:$ACS$118,MATCH('FY-(26-27)Q2'!$G$2:$H$2,'JULY-2026'!$A$2:$CT$2,0),0),0)</f>
        <v>443915</v>
      </c>
      <c r="H55" s="155">
        <f>IFERROR(VLOOKUP($A$3:$A$126,'JULY-2026'!$A$4:$ACS$118,MATCH('FY-(26-27)Q2'!$G$2:$H$2,'JULY-2026'!$A$2:$CT$2,0),0),0)</f>
        <v>1.1097874999999999</v>
      </c>
      <c r="I55" s="153">
        <f>IFERROR(VLOOKUP($A$3:$A$126,'AUG-2026'!$A$4:$ADL$124,MATCH('FY-(26-27)Q2'!$I$2:$J$2,'AUG-2026'!$A$2:$DM$2,0),0),0)</f>
        <v>-101641</v>
      </c>
      <c r="J55" s="155">
        <f>IFERROR(VLOOKUP($A$3:$A$126,'AUG-2026'!$A$4:$ADL$124,MATCH('FY-(26-27)Q2'!$I$2:$J$2,'AUG-2026'!$A$2:$DM$2,0),0),0)</f>
        <v>-0.25410250000000001</v>
      </c>
      <c r="K55" s="153">
        <f>IFERROR(VLOOKUP($A$3:$A$126,'SEP-2026'!$A$4:$ADN$124,MATCH('FY-(26-27)Q2'!$K$2:$L$2,'SEP-2026'!$A$2:$DO$2,0),0),0)</f>
        <v>31259</v>
      </c>
      <c r="L55" s="155">
        <f>IFERROR(VLOOKUP($A$3:$A$126,'SEP-2026'!$A$4:$ADN$124,MATCH('FY-(26-27)Q2'!$K$2:$L$2,'SEP-2026'!$A$2:$DO$2,0),0),0)</f>
        <v>7.8147499999999995E-2</v>
      </c>
      <c r="M55" s="71">
        <f t="shared" si="0"/>
        <v>373533</v>
      </c>
      <c r="N55" s="166">
        <f t="shared" si="0"/>
        <v>0.93383249999999995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1"/>
      <c r="E56" s="141" t="s">
        <v>256</v>
      </c>
      <c r="F56" s="114">
        <v>0.1</v>
      </c>
      <c r="G56" s="153">
        <f>IFERROR(VLOOKUP($A$3:$A$126,'JULY-2026'!$A$4:$ACS$118,MATCH('FY-(26-27)Q2'!$G$2:$H$2,'JULY-2026'!$A$2:$CT$2,0),0),0)</f>
        <v>100</v>
      </c>
      <c r="H56" s="155">
        <f>IFERROR(VLOOKUP($A$3:$A$126,'JULY-2026'!$A$4:$ACS$118,MATCH('FY-(26-27)Q2'!$G$2:$H$2,'JULY-2026'!$A$2:$CT$2,0),0),0)</f>
        <v>0</v>
      </c>
      <c r="I56" s="153">
        <f>IFERROR(VLOOKUP($A$3:$A$126,'AUG-2026'!$A$4:$ADL$124,MATCH('FY-(26-27)Q2'!$I$2:$J$2,'AUG-2026'!$A$2:$DM$2,0),0),0)</f>
        <v>-1035180</v>
      </c>
      <c r="J56" s="155">
        <f>IFERROR(VLOOKUP($A$3:$A$126,'AUG-2026'!$A$4:$ADL$124,MATCH('FY-(26-27)Q2'!$I$2:$J$2,'AUG-2026'!$A$2:$DM$2,0),0),0)</f>
        <v>-1.03518</v>
      </c>
      <c r="K56" s="153">
        <f>IFERROR(VLOOKUP($A$3:$A$126,'SEP-2026'!$A$4:$ADN$124,MATCH('FY-(26-27)Q2'!$K$2:$L$2,'SEP-2026'!$A$2:$DO$2,0),0),0)</f>
        <v>-371500</v>
      </c>
      <c r="L56" s="155">
        <f>IFERROR(VLOOKUP($A$3:$A$126,'SEP-2026'!$A$4:$ADN$124,MATCH('FY-(26-27)Q2'!$K$2:$L$2,'SEP-2026'!$A$2:$DO$2,0),0),0)</f>
        <v>-0.3715</v>
      </c>
      <c r="M56" s="71">
        <f t="shared" ref="M56" si="21">G56+I56+K56</f>
        <v>-1406580</v>
      </c>
      <c r="N56" s="166">
        <f t="shared" ref="N56" si="22">H56+J56+L56</f>
        <v>-1.4066799999999999</v>
      </c>
    </row>
    <row r="57" spans="1:14" x14ac:dyDescent="0.25">
      <c r="A57" s="59"/>
      <c r="B57" s="62" t="s">
        <v>304</v>
      </c>
      <c r="C57" s="59" t="s">
        <v>274</v>
      </c>
      <c r="D57" s="141"/>
      <c r="E57" s="141" t="s">
        <v>256</v>
      </c>
      <c r="F57" s="114"/>
      <c r="G57" s="153">
        <f>IFERROR(VLOOKUP($A$3:$A$126,'JULY-2026'!$A$4:$ACS$118,MATCH('FY-(26-27)Q2'!$G$2:$H$2,'JULY-2026'!$A$2:$CT$2,0),0),0)</f>
        <v>0</v>
      </c>
      <c r="H57" s="155">
        <f>IFERROR(VLOOKUP($A$3:$A$126,'JULY-2026'!$A$4:$ACS$118,MATCH('FY-(26-27)Q2'!$G$2:$H$2,'JULY-2026'!$A$2:$CT$2,0),0),0)</f>
        <v>0</v>
      </c>
      <c r="I57" s="153">
        <f>IFERROR(VLOOKUP($A$3:$A$126,'AUG-2026'!$A$4:$ADL$124,MATCH('FY-(26-27)Q2'!$I$2:$J$2,'AUG-2026'!$A$2:$DM$2,0),0),0)</f>
        <v>0</v>
      </c>
      <c r="J57" s="155">
        <f>IFERROR(VLOOKUP($A$3:$A$126,'AUG-2026'!$A$4:$ADL$124,MATCH('FY-(26-27)Q2'!$I$2:$J$2,'AUG-2026'!$A$2:$DM$2,0),0),0)</f>
        <v>0</v>
      </c>
      <c r="K57" s="153">
        <f>IFERROR(VLOOKUP($A$3:$A$126,'SEP-2026'!$A$4:$ADN$124,MATCH('FY-(26-27)Q2'!$K$2:$L$2,'SEP-2026'!$A$2:$DO$2,0),0),0)</f>
        <v>0</v>
      </c>
      <c r="L57" s="155">
        <f>IFERROR(VLOOKUP($A$3:$A$126,'SEP-2026'!$A$4:$ADN$124,MATCH('FY-(26-27)Q2'!$K$2:$L$2,'SEP-2026'!$A$2:$DO$2,0),0),0)</f>
        <v>0</v>
      </c>
      <c r="M57" s="71">
        <f t="shared" ref="M57" si="23">G57+I57+K57</f>
        <v>0</v>
      </c>
      <c r="N57" s="166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153">
        <f>IFERROR(VLOOKUP($A$3:$A$126,'JULY-2026'!$A$4:$ACS$118,MATCH('FY-(26-27)Q2'!$G$2:$H$2,'JULY-2026'!$A$2:$CT$2,0),0),0)</f>
        <v>-27103</v>
      </c>
      <c r="H58" s="155">
        <f>IFERROR(VLOOKUP($A$3:$A$126,'JULY-2026'!$A$4:$ACS$118,MATCH('FY-(26-27)Q2'!$G$2:$H$2,'JULY-2026'!$A$2:$CT$2,0),0),0)</f>
        <v>-0.54205999999999999</v>
      </c>
      <c r="I58" s="153">
        <f>IFERROR(VLOOKUP($A$3:$A$126,'AUG-2026'!$A$4:$ADL$124,MATCH('FY-(26-27)Q2'!$I$2:$J$2,'AUG-2026'!$A$2:$DM$2,0),0),0)</f>
        <v>-7192</v>
      </c>
      <c r="J58" s="155">
        <f>IFERROR(VLOOKUP($A$3:$A$126,'AUG-2026'!$A$4:$ADL$124,MATCH('FY-(26-27)Q2'!$I$2:$J$2,'AUG-2026'!$A$2:$DM$2,0),0),0)</f>
        <v>-0.14384</v>
      </c>
      <c r="K58" s="153">
        <f>IFERROR(VLOOKUP($A$3:$A$126,'[1]SEP-2026'!$A$4:$ADI$113,MATCH('FY-(26-27)Q2'!$K$2:$L$2,'[1]SEP-2026'!$A$2:$DJ$2,0),0),0)</f>
        <v>0</v>
      </c>
      <c r="L58" s="155">
        <f>IFERROR(VLOOKUP($A$3:$A$126,'[1]SEP-2026'!$A$4:$ADI$113,MATCH('FY-(26-27)Q2'!$K$2:$L$2,'[1]SEP-2026'!$A$2:$DJ$2,0),0),0)</f>
        <v>0</v>
      </c>
      <c r="M58" s="71">
        <f t="shared" si="0"/>
        <v>-34295</v>
      </c>
      <c r="N58" s="166">
        <f t="shared" si="0"/>
        <v>-0.68589999999999995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3" t="s">
        <v>256</v>
      </c>
      <c r="F59" s="114">
        <v>5</v>
      </c>
      <c r="G59" s="153">
        <f>IFERROR(VLOOKUP($A$3:$A$126,'JULY-2026'!$A$4:$ACS$118,MATCH('FY-(26-27)Q2'!$G$2:$H$2,'JULY-2026'!$A$2:$CT$2,0),0),0)</f>
        <v>877125</v>
      </c>
      <c r="H59" s="155">
        <f>IFERROR(VLOOKUP($A$3:$A$126,'JULY-2026'!$A$4:$ACS$118,MATCH('FY-(26-27)Q2'!$G$2:$H$2,'JULY-2026'!$A$2:$CT$2,0),0),0)</f>
        <v>2.1928125000000001</v>
      </c>
      <c r="I59" s="153">
        <f>IFERROR(VLOOKUP($A$3:$A$126,'AUG-2026'!$A$4:$ADL$124,MATCH('FY-(26-27)Q2'!$I$2:$J$2,'AUG-2026'!$A$2:$DM$2,0),0),0)</f>
        <v>66819</v>
      </c>
      <c r="J59" s="155">
        <f>IFERROR(VLOOKUP($A$3:$A$126,'AUG-2026'!$A$4:$ADL$124,MATCH('FY-(26-27)Q2'!$I$2:$J$2,'AUG-2026'!$A$2:$DM$2,0),0),0)</f>
        <v>0.10279846153846153</v>
      </c>
      <c r="K59" s="153">
        <f>IFERROR(VLOOKUP($A$3:$A$126,'[1]SEP-2026'!$A$4:$ADI$113,MATCH('FY-(26-27)Q2'!$K$2:$L$2,'[1]SEP-2026'!$A$2:$DJ$2,0),0),0)</f>
        <v>0</v>
      </c>
      <c r="L59" s="155">
        <f>IFERROR(VLOOKUP($A$3:$A$126,'[1]SEP-2026'!$A$4:$ADI$113,MATCH('FY-(26-27)Q2'!$K$2:$L$2,'[1]SEP-2026'!$A$2:$DJ$2,0),0),0)</f>
        <v>0</v>
      </c>
      <c r="M59" s="71">
        <f t="shared" si="0"/>
        <v>943944</v>
      </c>
      <c r="N59" s="166">
        <f t="shared" si="0"/>
        <v>2.2956109615384617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3" t="s">
        <v>256</v>
      </c>
      <c r="F60" s="114">
        <v>1</v>
      </c>
      <c r="G60" s="153">
        <f>IFERROR(VLOOKUP($A$3:$A$126,'JULY-2026'!$A$4:$ACS$118,MATCH('FY-(26-27)Q2'!$G$2:$H$2,'JULY-2026'!$A$2:$CT$2,0),0),0)</f>
        <v>209019</v>
      </c>
      <c r="H60" s="155">
        <f>IFERROR(VLOOKUP($A$3:$A$126,'JULY-2026'!$A$4:$ACS$118,MATCH('FY-(26-27)Q2'!$G$2:$H$2,'JULY-2026'!$A$2:$CT$2,0),0),0)</f>
        <v>1.6721520000000001</v>
      </c>
      <c r="I60" s="153">
        <f>IFERROR(VLOOKUP($A$3:$A$126,'AUG-2026'!$A$4:$ADL$124,MATCH('FY-(26-27)Q2'!$I$2:$J$2,'AUG-2026'!$A$2:$DM$2,0),0),0)</f>
        <v>-25761</v>
      </c>
      <c r="J60" s="155">
        <f>IFERROR(VLOOKUP($A$3:$A$126,'AUG-2026'!$A$4:$ADL$124,MATCH('FY-(26-27)Q2'!$I$2:$J$2,'AUG-2026'!$A$2:$DM$2,0),0),0)</f>
        <v>-0.20608799999999999</v>
      </c>
      <c r="K60" s="153">
        <f>IFERROR(VLOOKUP($A$3:$A$126,'[1]SEP-2026'!$A$4:$ADI$113,MATCH('FY-(26-27)Q2'!$K$2:$L$2,'[1]SEP-2026'!$A$2:$DJ$2,0),0),0)</f>
        <v>0</v>
      </c>
      <c r="L60" s="155">
        <f>IFERROR(VLOOKUP($A$3:$A$126,'[1]SEP-2026'!$A$4:$ADI$113,MATCH('FY-(26-27)Q2'!$K$2:$L$2,'[1]SEP-2026'!$A$2:$DJ$2,0),0),0)</f>
        <v>0</v>
      </c>
      <c r="M60" s="71">
        <f t="shared" si="0"/>
        <v>183258</v>
      </c>
      <c r="N60" s="166">
        <f t="shared" si="0"/>
        <v>1.466064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3">
        <f>IFERROR(VLOOKUP($A$3:$A$126,'JULY-2026'!$A$4:$ACS$118,MATCH('FY-(26-27)Q2'!$G$2:$H$2,'JULY-2026'!$A$2:$CT$2,0),0),0)</f>
        <v>964481</v>
      </c>
      <c r="H61" s="155">
        <f>IFERROR(VLOOKUP($A$3:$A$126,'JULY-2026'!$A$4:$ACS$118,MATCH('FY-(26-27)Q2'!$G$2:$H$2,'JULY-2026'!$A$2:$CT$2,0),0),0)</f>
        <v>3.214936666666667</v>
      </c>
      <c r="I61" s="153">
        <f>IFERROR(VLOOKUP($A$3:$A$126,'AUG-2026'!$A$4:$ADL$124,MATCH('FY-(26-27)Q2'!$I$2:$J$2,'AUG-2026'!$A$2:$DM$2,0),0),0)</f>
        <v>-260408</v>
      </c>
      <c r="J61" s="155">
        <f>IFERROR(VLOOKUP($A$3:$A$126,'AUG-2026'!$A$4:$ADL$124,MATCH('FY-(26-27)Q2'!$I$2:$J$2,'AUG-2026'!$A$2:$DM$2,0),0),0)</f>
        <v>-0.86802666666666684</v>
      </c>
      <c r="K61" s="153">
        <f>IFERROR(VLOOKUP($A$3:$A$126,'[1]SEP-2026'!$A$4:$ADI$113,MATCH('FY-(26-27)Q2'!$K$2:$L$2,'[1]SEP-2026'!$A$2:$DJ$2,0),0),0)</f>
        <v>0</v>
      </c>
      <c r="L61" s="155">
        <f>IFERROR(VLOOKUP($A$3:$A$126,'[1]SEP-2026'!$A$4:$ADI$113,MATCH('FY-(26-27)Q2'!$K$2:$L$2,'[1]SEP-2026'!$A$2:$DJ$2,0),0),0)</f>
        <v>0</v>
      </c>
      <c r="M61" s="71">
        <f t="shared" si="0"/>
        <v>704073</v>
      </c>
      <c r="N61" s="166">
        <f t="shared" si="0"/>
        <v>2.3469100000000003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3">
        <f>IFERROR(VLOOKUP($A$3:$A$126,'JULY-2026'!$A$4:$ACS$118,MATCH('FY-(26-27)Q2'!$G$2:$H$2,'JULY-2026'!$A$2:$CT$2,0),0),0)</f>
        <v>-35194</v>
      </c>
      <c r="H62" s="155">
        <f>IFERROR(VLOOKUP($A$3:$A$126,'JULY-2026'!$A$4:$ACS$118,MATCH('FY-(26-27)Q2'!$G$2:$H$2,'JULY-2026'!$A$2:$CT$2,0),0),0)</f>
        <v>-0.14077600000000001</v>
      </c>
      <c r="I62" s="153">
        <f>IFERROR(VLOOKUP($A$3:$A$126,'AUG-2026'!$A$4:$ADL$124,MATCH('FY-(26-27)Q2'!$I$2:$J$2,'AUG-2026'!$A$2:$DM$2,0),0),0)</f>
        <v>-77942</v>
      </c>
      <c r="J62" s="155">
        <f>IFERROR(VLOOKUP($A$3:$A$126,'AUG-2026'!$A$4:$ADL$124,MATCH('FY-(26-27)Q2'!$I$2:$J$2,'AUG-2026'!$A$2:$DM$2,0),0),0)</f>
        <v>-0.31176799999999999</v>
      </c>
      <c r="K62" s="153">
        <f>IFERROR(VLOOKUP($A$3:$A$126,'[1]SEP-2026'!$A$4:$ADI$113,MATCH('FY-(26-27)Q2'!$K$2:$L$2,'[1]SEP-2026'!$A$2:$DJ$2,0),0),0)</f>
        <v>0</v>
      </c>
      <c r="L62" s="155">
        <f>IFERROR(VLOOKUP($A$3:$A$126,'[1]SEP-2026'!$A$4:$ADI$113,MATCH('FY-(26-27)Q2'!$K$2:$L$2,'[1]SEP-2026'!$A$2:$DJ$2,0),0),0)</f>
        <v>0</v>
      </c>
      <c r="M62" s="71">
        <f t="shared" si="0"/>
        <v>-113136</v>
      </c>
      <c r="N62" s="166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3">
        <f>IFERROR(VLOOKUP($A$3:$A$126,'JULY-2026'!$A$4:$ACS$118,MATCH('FY-(26-27)Q2'!$G$2:$H$2,'JULY-2026'!$A$2:$CT$2,0),0),0)</f>
        <v>-2506</v>
      </c>
      <c r="H63" s="155">
        <f>IFERROR(VLOOKUP($A$3:$A$126,'JULY-2026'!$A$4:$ACS$118,MATCH('FY-(26-27)Q2'!$G$2:$H$2,'JULY-2026'!$A$2:$CT$2,0),0),0)</f>
        <v>-0.10024</v>
      </c>
      <c r="I63" s="153">
        <f>IFERROR(VLOOKUP($A$3:$A$126,'AUG-2026'!$A$4:$ADL$124,MATCH('FY-(26-27)Q2'!$I$2:$J$2,'AUG-2026'!$A$2:$DM$2,0),0),0)</f>
        <v>82671</v>
      </c>
      <c r="J63" s="155">
        <f>IFERROR(VLOOKUP($A$3:$A$126,'AUG-2026'!$A$4:$ADL$124,MATCH('FY-(26-27)Q2'!$I$2:$J$2,'AUG-2026'!$A$2:$DM$2,0),0),0)</f>
        <v>0.55113999999999996</v>
      </c>
      <c r="K63" s="153">
        <f>IFERROR(VLOOKUP($A$3:$A$126,'[1]SEP-2026'!$A$4:$ADI$113,MATCH('FY-(26-27)Q2'!$K$2:$L$2,'[1]SEP-2026'!$A$2:$DJ$2,0),0),0)</f>
        <v>0</v>
      </c>
      <c r="L63" s="155">
        <f>IFERROR(VLOOKUP($A$3:$A$126,'[1]SEP-2026'!$A$4:$ADI$113,MATCH('FY-(26-27)Q2'!$K$2:$L$2,'[1]SEP-2026'!$A$2:$DJ$2,0),0),0)</f>
        <v>0</v>
      </c>
      <c r="M63" s="71">
        <f t="shared" ref="M63" si="25">G63+I63+K63</f>
        <v>80165</v>
      </c>
      <c r="N63" s="166">
        <f t="shared" ref="N63" si="26">H63+J63+L63</f>
        <v>0.45089999999999997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3">
        <f>IFERROR(VLOOKUP($A$3:$A$126,'JULY-2026'!$A$4:$ACS$118,MATCH('FY-(26-27)Q2'!$G$2:$H$2,'JULY-2026'!$A$2:$CT$2,0),0),0)</f>
        <v>273147</v>
      </c>
      <c r="H64" s="155">
        <f>IFERROR(VLOOKUP($A$3:$A$126,'JULY-2026'!$A$4:$ACS$118,MATCH('FY-(26-27)Q2'!$G$2:$H$2,'JULY-2026'!$A$2:$CT$2,0),0),0)</f>
        <v>0.54629399999999995</v>
      </c>
      <c r="I64" s="153">
        <f>IFERROR(VLOOKUP($A$3:$A$126,'AUG-2026'!$A$4:$ADL$124,MATCH('FY-(26-27)Q2'!$I$2:$J$2,'AUG-2026'!$A$2:$DM$2,0),0),0)</f>
        <v>216258</v>
      </c>
      <c r="J64" s="155">
        <f>IFERROR(VLOOKUP($A$3:$A$126,'AUG-2026'!$A$4:$ADL$124,MATCH('FY-(26-27)Q2'!$I$2:$J$2,'AUG-2026'!$A$2:$DM$2,0),0),0)</f>
        <v>0.43251600000000001</v>
      </c>
      <c r="K64" s="153">
        <f>IFERROR(VLOOKUP($A$3:$A$126,'[1]SEP-2026'!$A$4:$ADI$113,MATCH('FY-(26-27)Q2'!$K$2:$L$2,'[1]SEP-2026'!$A$2:$DJ$2,0),0),0)</f>
        <v>0</v>
      </c>
      <c r="L64" s="155">
        <f>IFERROR(VLOOKUP($A$3:$A$126,'[1]SEP-2026'!$A$4:$ADI$113,MATCH('FY-(26-27)Q2'!$K$2:$L$2,'[1]SEP-2026'!$A$2:$DJ$2,0),0),0)</f>
        <v>0</v>
      </c>
      <c r="M64" s="71">
        <f t="shared" ref="M64" si="27">G64+I64+K64</f>
        <v>489405</v>
      </c>
      <c r="N64" s="166">
        <f t="shared" ref="N64" si="28">H64+J64+L64</f>
        <v>0.97880999999999996</v>
      </c>
    </row>
    <row r="65" spans="1:14" x14ac:dyDescent="0.25">
      <c r="A65" s="187"/>
      <c r="B65" s="232"/>
      <c r="C65" s="187"/>
      <c r="D65" s="233"/>
      <c r="E65" s="233"/>
      <c r="F65" s="234"/>
      <c r="G65" s="231">
        <f>SUM(G4:G62)</f>
        <v>17424940</v>
      </c>
      <c r="H65" s="90"/>
      <c r="I65" s="99">
        <f>SUM(I4:I62)</f>
        <v>-5644903</v>
      </c>
      <c r="J65" s="100"/>
      <c r="K65" s="109">
        <f>SUM(K4:K62)</f>
        <v>-2112291</v>
      </c>
      <c r="L65" s="109"/>
      <c r="M65" s="154">
        <f>SUM(M4:M62)</f>
        <v>9667746</v>
      </c>
      <c r="N65" s="235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7" t="s">
        <v>90</v>
      </c>
      <c r="N67" s="68" t="s">
        <v>125</v>
      </c>
    </row>
    <row r="68" spans="1:14" ht="15.75" x14ac:dyDescent="0.25">
      <c r="G68" s="223"/>
      <c r="H68" s="224"/>
      <c r="I68" s="225"/>
      <c r="J68" s="226"/>
      <c r="K68" s="227"/>
      <c r="L68" s="228"/>
      <c r="M68" s="229"/>
      <c r="N68" s="230"/>
    </row>
    <row r="69" spans="1:14" x14ac:dyDescent="0.25">
      <c r="A69" s="79" t="s">
        <v>241</v>
      </c>
      <c r="B69" s="141" t="s">
        <v>240</v>
      </c>
      <c r="C69" s="141" t="s">
        <v>57</v>
      </c>
      <c r="D69" s="141"/>
      <c r="E69" s="209"/>
      <c r="F69" s="207"/>
      <c r="G69" s="153">
        <f>IFERROR(VLOOKUP($A$3:$A$126,'JULY-2026'!$A$4:$ACS$118,MATCH('FY-(26-27)Q2'!$G$2:$H$2,'JULY-2026'!$A$2:$CT$2,0),0),0)</f>
        <v>614980</v>
      </c>
      <c r="H69" s="155">
        <f>IFERROR(VLOOKUP($A$3:$A$126,'JULY-2026'!$A$4:$ACS$118,MATCH('FY-(26-27)Q2'!$G$2:$H$2,'JULY-2026'!$A$2:$CT$2,0),0),0)</f>
        <v>2.0499333333333336</v>
      </c>
      <c r="I69" s="153">
        <f>IFERROR(VLOOKUP($A$3:$A$126,'[2]AUG-2026'!$A$4:$ACP$113,MATCH('FY-(26-27)Q2'!$I$2:$J$2,'[2]AUG-2026'!$A$2:$CQ$2,0),0),0)</f>
        <v>0</v>
      </c>
      <c r="J69" s="155">
        <f>IFERROR(VLOOKUP($A$3:$A$126,'[2]AUG-2026'!$A$4:$ACP$113,MATCH('FY-(26-27)Q2'!$I$2:$J$2,'[2]AUG-2026'!$A$2:$CQ$2,0),0),0)</f>
        <v>0</v>
      </c>
      <c r="K69" s="153">
        <f>IFERROR(VLOOKUP($A$3:$A$126,'[1]SEP-2026'!$A$4:$ADI$113,MATCH('FY-(26-27)Q2'!$K$2:$L$2,'[1]SEP-2026'!$A$2:$DJ$2,0),0),0)</f>
        <v>0</v>
      </c>
      <c r="L69" s="155">
        <f>IFERROR(VLOOKUP($A$3:$A$126,'[1]SEP-2026'!$A$4:$ADI$113,MATCH('FY-(26-27)Q2'!$K$2:$L$2,'[1]SEP-2026'!$A$2:$DJ$2,0),0),0)</f>
        <v>0</v>
      </c>
      <c r="M69" s="153">
        <f t="shared" ref="M69:N69" si="29">G69+I69+K69</f>
        <v>614980</v>
      </c>
      <c r="N69" s="167">
        <f t="shared" si="29"/>
        <v>2.0499333333333336</v>
      </c>
    </row>
    <row r="70" spans="1:14" x14ac:dyDescent="0.25">
      <c r="A70" s="202" t="s">
        <v>273</v>
      </c>
      <c r="B70" s="203" t="s">
        <v>272</v>
      </c>
      <c r="C70" s="203" t="s">
        <v>57</v>
      </c>
      <c r="D70" s="203" t="s">
        <v>87</v>
      </c>
      <c r="E70" s="203" t="s">
        <v>256</v>
      </c>
      <c r="F70" s="238"/>
      <c r="G70" s="153">
        <f>IFERROR(VLOOKUP($A$3:$A$126,'JULY-2026'!$A$4:$ACS$118,MATCH('FY-(26-27)Q2'!$G$2:$H$2,'JULY-2026'!$A$2:$CT$2,0),0),0)</f>
        <v>971446</v>
      </c>
      <c r="H70" s="155">
        <f>IFERROR(VLOOKUP($A$3:$A$126,'JULY-2026'!$A$4:$ACS$118,MATCH('FY-(26-27)Q2'!$G$2:$H$2,'JULY-2026'!$A$2:$CT$2,0),0),0)</f>
        <v>0</v>
      </c>
      <c r="I70" s="153">
        <f>IFERROR(VLOOKUP($A$3:$A$126,'[2]AUG-2026'!$A$4:$ACP$113,MATCH('FY-(26-27)Q2'!$I$2:$J$2,'[2]AUG-2026'!$A$2:$CQ$2,0),0),0)</f>
        <v>0</v>
      </c>
      <c r="J70" s="155">
        <f>IFERROR(VLOOKUP($A$3:$A$126,'[2]AUG-2026'!$A$4:$ACP$113,MATCH('FY-(26-27)Q2'!$I$2:$J$2,'[2]AUG-2026'!$A$2:$CQ$2,0),0),0)</f>
        <v>0</v>
      </c>
      <c r="K70" s="153">
        <f>IFERROR(VLOOKUP($A$3:$A$126,'[1]SEP-2026'!$A$4:$ADI$113,MATCH('FY-(26-27)Q2'!$K$2:$L$2,'[1]SEP-2026'!$A$2:$DJ$2,0),0),0)</f>
        <v>0</v>
      </c>
      <c r="L70" s="155">
        <f>IFERROR(VLOOKUP($A$3:$A$126,'[1]SEP-2026'!$A$4:$ADI$113,MATCH('FY-(26-27)Q2'!$K$2:$L$2,'[1]SEP-2026'!$A$2:$DJ$2,0),0),0)</f>
        <v>0</v>
      </c>
      <c r="M70" s="153">
        <f t="shared" ref="M70" si="30">G70+I70+K70</f>
        <v>971446</v>
      </c>
      <c r="N70" s="167">
        <f t="shared" ref="N70" si="31">H70+J70+L70</f>
        <v>0</v>
      </c>
    </row>
    <row r="71" spans="1:14" ht="15.75" thickBot="1" x14ac:dyDescent="0.3">
      <c r="G71" s="93"/>
      <c r="H71" s="94"/>
      <c r="I71" s="103"/>
      <c r="J71" s="104"/>
      <c r="K71" s="112"/>
      <c r="L71" s="113"/>
      <c r="M71" s="93">
        <f>SUM(M69:M70)</f>
        <v>1586426</v>
      </c>
      <c r="N71" s="236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G69:N71 F56:F57 G54:H56 A14:H16 M14:N16 K58:N63 M28:N39 M41:N42 M5:N9 G8:J9 G11:I13 M11:N12 I44:J56 M44:N52 G44:H52 G4:L4 C5:J5 M54:N56 A18:F19 G18:H20 M18:N20 I14:I42 J11:J42 K5:L56 I58:J64 G58:H63">
    <cfRule type="expression" dxfId="394" priority="228">
      <formula>MOD(ROW(),2)=0</formula>
    </cfRule>
  </conditionalFormatting>
  <conditionalFormatting sqref="G2:I3">
    <cfRule type="expression" dxfId="393" priority="227">
      <formula>MOD(ROW(),2)=0</formula>
    </cfRule>
  </conditionalFormatting>
  <conditionalFormatting sqref="J2:J3">
    <cfRule type="expression" dxfId="392" priority="226">
      <formula>MOD(ROW(),2)=0</formula>
    </cfRule>
  </conditionalFormatting>
  <conditionalFormatting sqref="K2:K3">
    <cfRule type="expression" dxfId="391" priority="225">
      <formula>MOD(ROW(),2)=0</formula>
    </cfRule>
  </conditionalFormatting>
  <conditionalFormatting sqref="A42:C42 E42 A43">
    <cfRule type="expression" dxfId="390" priority="221">
      <formula>MOD(ROW(),2)=0</formula>
    </cfRule>
  </conditionalFormatting>
  <conditionalFormatting sqref="E45">
    <cfRule type="expression" dxfId="389" priority="219">
      <formula>MOD(ROW(),2)=0</formula>
    </cfRule>
  </conditionalFormatting>
  <conditionalFormatting sqref="A20:F20">
    <cfRule type="expression" dxfId="388" priority="217">
      <formula>MOD(ROW(),2)=0</formula>
    </cfRule>
  </conditionalFormatting>
  <conditionalFormatting sqref="A47:C47 E47:F47">
    <cfRule type="expression" dxfId="387" priority="211">
      <formula>MOD(ROW(),2)=0</formula>
    </cfRule>
  </conditionalFormatting>
  <conditionalFormatting sqref="M25:N25">
    <cfRule type="expression" dxfId="386" priority="201">
      <formula>MOD(ROW(),2)=0</formula>
    </cfRule>
  </conditionalFormatting>
  <conditionalFormatting sqref="A12:C12 E12:F12">
    <cfRule type="expression" dxfId="385" priority="206">
      <formula>MOD(ROW(),2)=0</formula>
    </cfRule>
  </conditionalFormatting>
  <conditionalFormatting sqref="N25">
    <cfRule type="expression" dxfId="384" priority="202">
      <formula>MOD(ROW(),2)=0</formula>
    </cfRule>
  </conditionalFormatting>
  <conditionalFormatting sqref="M12:N12">
    <cfRule type="expression" dxfId="383" priority="187">
      <formula>MOD(ROW(),2)=0</formula>
    </cfRule>
  </conditionalFormatting>
  <conditionalFormatting sqref="B23:C23 E23:F23">
    <cfRule type="expression" dxfId="382" priority="182">
      <formula>MOD(ROW(),2)=0</formula>
    </cfRule>
  </conditionalFormatting>
  <conditionalFormatting sqref="N12">
    <cfRule type="expression" dxfId="381" priority="188">
      <formula>MOD(ROW(),2)=0</formula>
    </cfRule>
  </conditionalFormatting>
  <conditionalFormatting sqref="A8:C8 E8:F8 A9:F9 A10:B10 D10:F10">
    <cfRule type="expression" dxfId="380" priority="173">
      <formula>MOD(ROW(),2)=0</formula>
    </cfRule>
  </conditionalFormatting>
  <conditionalFormatting sqref="N8:N9">
    <cfRule type="expression" dxfId="379" priority="171">
      <formula>MOD(ROW(),2)=0</formula>
    </cfRule>
  </conditionalFormatting>
  <conditionalFormatting sqref="M8:N9">
    <cfRule type="expression" dxfId="378" priority="170">
      <formula>MOD(ROW(),2)=0</formula>
    </cfRule>
  </conditionalFormatting>
  <conditionalFormatting sqref="A37:C37 E37:F37">
    <cfRule type="expression" dxfId="377" priority="165">
      <formula>MOD(ROW(),2)=0</formula>
    </cfRule>
  </conditionalFormatting>
  <conditionalFormatting sqref="M37:N37">
    <cfRule type="expression" dxfId="376" priority="161">
      <formula>MOD(ROW(),2)=0</formula>
    </cfRule>
  </conditionalFormatting>
  <conditionalFormatting sqref="N37">
    <cfRule type="expression" dxfId="375" priority="162">
      <formula>MOD(ROW(),2)=0</formula>
    </cfRule>
  </conditionalFormatting>
  <conditionalFormatting sqref="A49:C49 E49:F49">
    <cfRule type="expression" dxfId="374" priority="156">
      <formula>MOD(ROW(),2)=0</formula>
    </cfRule>
  </conditionalFormatting>
  <conditionalFormatting sqref="N23">
    <cfRule type="expression" dxfId="373" priority="142">
      <formula>MOD(ROW(),2)=0</formula>
    </cfRule>
  </conditionalFormatting>
  <conditionalFormatting sqref="M23:N23">
    <cfRule type="expression" dxfId="372" priority="141">
      <formula>MOD(ROW(),2)=0</formula>
    </cfRule>
  </conditionalFormatting>
  <conditionalFormatting sqref="A58:C58 E58:F58">
    <cfRule type="expression" dxfId="371" priority="131">
      <formula>MOD(ROW(),2)=0</formula>
    </cfRule>
  </conditionalFormatting>
  <conditionalFormatting sqref="L67:L68">
    <cfRule type="expression" dxfId="370" priority="125">
      <formula>MOD(ROW(),2)=0</formula>
    </cfRule>
  </conditionalFormatting>
  <conditionalFormatting sqref="G67:I68">
    <cfRule type="expression" dxfId="369" priority="124">
      <formula>MOD(ROW(),2)=0</formula>
    </cfRule>
  </conditionalFormatting>
  <conditionalFormatting sqref="J67:J68">
    <cfRule type="expression" dxfId="368" priority="123">
      <formula>MOD(ROW(),2)=0</formula>
    </cfRule>
  </conditionalFormatting>
  <conditionalFormatting sqref="K67:K68">
    <cfRule type="expression" dxfId="367" priority="122">
      <formula>MOD(ROW(),2)=0</formula>
    </cfRule>
  </conditionalFormatting>
  <conditionalFormatting sqref="A30:F30">
    <cfRule type="expression" dxfId="366" priority="121">
      <formula>MOD(ROW(),2)=0</formula>
    </cfRule>
  </conditionalFormatting>
  <conditionalFormatting sqref="A31:F31">
    <cfRule type="expression" dxfId="365" priority="120">
      <formula>MOD(ROW(),2)=0</formula>
    </cfRule>
  </conditionalFormatting>
  <conditionalFormatting sqref="A33:F33">
    <cfRule type="expression" dxfId="364" priority="119">
      <formula>MOD(ROW(),2)=0</formula>
    </cfRule>
  </conditionalFormatting>
  <conditionalFormatting sqref="D11:E11">
    <cfRule type="expression" dxfId="363" priority="108">
      <formula>MOD(ROW(),2)=0</formula>
    </cfRule>
  </conditionalFormatting>
  <conditionalFormatting sqref="A59:C60 E59:E60">
    <cfRule type="expression" dxfId="362" priority="104">
      <formula>MOD(ROW(),2)=0</formula>
    </cfRule>
  </conditionalFormatting>
  <conditionalFormatting sqref="M59:N60">
    <cfRule type="expression" dxfId="361" priority="103">
      <formula>MOD(ROW(),2)=0</formula>
    </cfRule>
  </conditionalFormatting>
  <conditionalFormatting sqref="A46:C46 E46:F46">
    <cfRule type="expression" dxfId="360" priority="100">
      <formula>MOD(ROW(),2)=0</formula>
    </cfRule>
  </conditionalFormatting>
  <conditionalFormatting sqref="A54:B54">
    <cfRule type="expression" dxfId="359" priority="96">
      <formula>MOD(ROW(),2)=0</formula>
    </cfRule>
  </conditionalFormatting>
  <conditionalFormatting sqref="A4:C4 E4:F4">
    <cfRule type="expression" dxfId="358" priority="91">
      <formula>MOD(ROW(),2)=0</formula>
    </cfRule>
  </conditionalFormatting>
  <conditionalFormatting sqref="M4:N4">
    <cfRule type="expression" dxfId="357" priority="90">
      <formula>MOD(ROW(),2)=0</formula>
    </cfRule>
  </conditionalFormatting>
  <conditionalFormatting sqref="M4:N4">
    <cfRule type="expression" dxfId="356" priority="87">
      <formula>MOD(ROW(),2)=0</formula>
    </cfRule>
  </conditionalFormatting>
  <conditionalFormatting sqref="N4">
    <cfRule type="expression" dxfId="355" priority="88">
      <formula>MOD(ROW(),2)=0</formula>
    </cfRule>
  </conditionalFormatting>
  <conditionalFormatting sqref="A44:C44 E44:F44">
    <cfRule type="expression" dxfId="354" priority="82">
      <formula>MOD(ROW(),2)=0</formula>
    </cfRule>
  </conditionalFormatting>
  <conditionalFormatting sqref="A69:F69 F70">
    <cfRule type="expression" dxfId="353" priority="81">
      <formula>MOD(ROW(),2)=0</formula>
    </cfRule>
  </conditionalFormatting>
  <conditionalFormatting sqref="A13:F13">
    <cfRule type="expression" dxfId="352" priority="73">
      <formula>MOD(ROW(),2)=0</formula>
    </cfRule>
  </conditionalFormatting>
  <conditionalFormatting sqref="M13:N13">
    <cfRule type="expression" dxfId="351" priority="72">
      <formula>MOD(ROW(),2)=0</formula>
    </cfRule>
  </conditionalFormatting>
  <conditionalFormatting sqref="M13:N13">
    <cfRule type="expression" dxfId="350" priority="69">
      <formula>MOD(ROW(),2)=0</formula>
    </cfRule>
  </conditionalFormatting>
  <conditionalFormatting sqref="N13">
    <cfRule type="expression" dxfId="349" priority="70">
      <formula>MOD(ROW(),2)=0</formula>
    </cfRule>
  </conditionalFormatting>
  <conditionalFormatting sqref="F54">
    <cfRule type="expression" dxfId="348" priority="62">
      <formula>MOD(ROW(),2)=0</formula>
    </cfRule>
  </conditionalFormatting>
  <conditionalFormatting sqref="D54:E54">
    <cfRule type="expression" dxfId="347" priority="61">
      <formula>MOD(ROW(),2)=0</formula>
    </cfRule>
  </conditionalFormatting>
  <conditionalFormatting sqref="D8">
    <cfRule type="expression" dxfId="346" priority="60">
      <formula>MOD(ROW(),2)=0</formula>
    </cfRule>
  </conditionalFormatting>
  <conditionalFormatting sqref="D4">
    <cfRule type="expression" dxfId="345" priority="59">
      <formula>MOD(ROW(),2)=0</formula>
    </cfRule>
  </conditionalFormatting>
  <conditionalFormatting sqref="D12">
    <cfRule type="expression" dxfId="344" priority="58">
      <formula>MOD(ROW(),2)=0</formula>
    </cfRule>
  </conditionalFormatting>
  <conditionalFormatting sqref="D23">
    <cfRule type="expression" dxfId="343" priority="57">
      <formula>MOD(ROW(),2)=0</formula>
    </cfRule>
  </conditionalFormatting>
  <conditionalFormatting sqref="D59:D60">
    <cfRule type="expression" dxfId="342" priority="46">
      <formula>MOD(ROW(),2)=0</formula>
    </cfRule>
  </conditionalFormatting>
  <conditionalFormatting sqref="D37">
    <cfRule type="expression" dxfId="341" priority="56">
      <formula>MOD(ROW(),2)=0</formula>
    </cfRule>
  </conditionalFormatting>
  <conditionalFormatting sqref="D42 D44">
    <cfRule type="expression" dxfId="340" priority="55">
      <formula>MOD(ROW(),2)=0</formula>
    </cfRule>
  </conditionalFormatting>
  <conditionalFormatting sqref="D41">
    <cfRule type="expression" dxfId="339" priority="54">
      <formula>MOD(ROW(),2)=0</formula>
    </cfRule>
  </conditionalFormatting>
  <conditionalFormatting sqref="D45">
    <cfRule type="expression" dxfId="338" priority="53">
      <formula>MOD(ROW(),2)=0</formula>
    </cfRule>
  </conditionalFormatting>
  <conditionalFormatting sqref="D46">
    <cfRule type="expression" dxfId="337" priority="52">
      <formula>MOD(ROW(),2)=0</formula>
    </cfRule>
  </conditionalFormatting>
  <conditionalFormatting sqref="D47">
    <cfRule type="expression" dxfId="336" priority="51">
      <formula>MOD(ROW(),2)=0</formula>
    </cfRule>
  </conditionalFormatting>
  <conditionalFormatting sqref="D49">
    <cfRule type="expression" dxfId="335" priority="50">
      <formula>MOD(ROW(),2)=0</formula>
    </cfRule>
  </conditionalFormatting>
  <conditionalFormatting sqref="D61">
    <cfRule type="expression" dxfId="334" priority="49">
      <formula>MOD(ROW(),2)=0</formula>
    </cfRule>
  </conditionalFormatting>
  <conditionalFormatting sqref="D58">
    <cfRule type="expression" dxfId="333" priority="47">
      <formula>MOD(ROW(),2)=0</formula>
    </cfRule>
  </conditionalFormatting>
  <conditionalFormatting sqref="A24:F24">
    <cfRule type="expression" dxfId="332" priority="45">
      <formula>MOD(ROW(),2)=0</formula>
    </cfRule>
  </conditionalFormatting>
  <conditionalFormatting sqref="M24:N24">
    <cfRule type="expression" dxfId="331" priority="44">
      <formula>MOD(ROW(),2)=0</formula>
    </cfRule>
  </conditionalFormatting>
  <conditionalFormatting sqref="N24">
    <cfRule type="expression" dxfId="330" priority="41">
      <formula>MOD(ROW(),2)=0</formula>
    </cfRule>
  </conditionalFormatting>
  <conditionalFormatting sqref="M24:N24">
    <cfRule type="expression" dxfId="329" priority="40">
      <formula>MOD(ROW(),2)=0</formula>
    </cfRule>
  </conditionalFormatting>
  <conditionalFormatting sqref="A64:F64">
    <cfRule type="expression" dxfId="328" priority="33">
      <formula>MOD(ROW(),2)=0</formula>
    </cfRule>
  </conditionalFormatting>
  <conditionalFormatting sqref="G64:H64 K64:N64">
    <cfRule type="expression" dxfId="327" priority="32">
      <formula>MOD(ROW(),2)=0</formula>
    </cfRule>
  </conditionalFormatting>
  <conditionalFormatting sqref="A53:B53">
    <cfRule type="expression" dxfId="326" priority="31">
      <formula>MOD(ROW(),2)=0</formula>
    </cfRule>
  </conditionalFormatting>
  <conditionalFormatting sqref="G53:H53 M53:N53">
    <cfRule type="expression" dxfId="325" priority="30">
      <formula>MOD(ROW(),2)=0</formula>
    </cfRule>
  </conditionalFormatting>
  <conditionalFormatting sqref="A40:F40">
    <cfRule type="expression" dxfId="324" priority="29">
      <formula>MOD(ROW(),2)=0</formula>
    </cfRule>
  </conditionalFormatting>
  <conditionalFormatting sqref="G40:H40 M40:N40">
    <cfRule type="expression" dxfId="323" priority="28">
      <formula>MOD(ROW(),2)=0</formula>
    </cfRule>
  </conditionalFormatting>
  <conditionalFormatting sqref="A48:F48">
    <cfRule type="expression" dxfId="322" priority="27">
      <formula>MOD(ROW(),2)=0</formula>
    </cfRule>
  </conditionalFormatting>
  <conditionalFormatting sqref="A17:F17">
    <cfRule type="expression" dxfId="321" priority="26">
      <formula>MOD(ROW(),2)=0</formula>
    </cfRule>
  </conditionalFormatting>
  <conditionalFormatting sqref="G17:H17 M17:N17">
    <cfRule type="expression" dxfId="320" priority="25">
      <formula>MOD(ROW(),2)=0</formula>
    </cfRule>
  </conditionalFormatting>
  <conditionalFormatting sqref="B22:F22 C21:F21">
    <cfRule type="expression" dxfId="319" priority="24">
      <formula>MOD(ROW(),2)=0</formula>
    </cfRule>
  </conditionalFormatting>
  <conditionalFormatting sqref="G21:H22 M21:N22">
    <cfRule type="expression" dxfId="318" priority="23">
      <formula>MOD(ROW(),2)=0</formula>
    </cfRule>
  </conditionalFormatting>
  <conditionalFormatting sqref="G27:H27 M27:N27">
    <cfRule type="expression" dxfId="317" priority="19">
      <formula>MOD(ROW(),2)=0</formula>
    </cfRule>
  </conditionalFormatting>
  <conditionalFormatting sqref="A27:F27">
    <cfRule type="expression" dxfId="316" priority="22">
      <formula>MOD(ROW(),2)=0</formula>
    </cfRule>
  </conditionalFormatting>
  <conditionalFormatting sqref="A51:F51">
    <cfRule type="expression" dxfId="315" priority="21">
      <formula>MOD(ROW(),2)=0</formula>
    </cfRule>
  </conditionalFormatting>
  <conditionalFormatting sqref="A63:F63">
    <cfRule type="expression" dxfId="314" priority="20">
      <formula>MOD(ROW(),2)=0</formula>
    </cfRule>
  </conditionalFormatting>
  <conditionalFormatting sqref="A70:E70">
    <cfRule type="expression" dxfId="313" priority="18">
      <formula>MOD(ROW(),2)=0</formula>
    </cfRule>
  </conditionalFormatting>
  <conditionalFormatting sqref="A56:E56 A57">
    <cfRule type="expression" dxfId="312" priority="16">
      <formula>MOD(ROW(),2)=0</formula>
    </cfRule>
  </conditionalFormatting>
  <conditionalFormatting sqref="A6:F7">
    <cfRule type="expression" dxfId="311" priority="15">
      <formula>MOD(ROW(),2)=0</formula>
    </cfRule>
  </conditionalFormatting>
  <conditionalFormatting sqref="G6:J7">
    <cfRule type="expression" dxfId="310" priority="14">
      <formula>MOD(ROW(),2)=0</formula>
    </cfRule>
  </conditionalFormatting>
  <conditionalFormatting sqref="B57:E57">
    <cfRule type="expression" dxfId="309" priority="13">
      <formula>MOD(ROW(),2)=0</formula>
    </cfRule>
  </conditionalFormatting>
  <conditionalFormatting sqref="B5">
    <cfRule type="expression" dxfId="308" priority="12">
      <formula>MOD(ROW(),2)=0</formula>
    </cfRule>
  </conditionalFormatting>
  <conditionalFormatting sqref="C10">
    <cfRule type="expression" dxfId="307" priority="11">
      <formula>MOD(ROW(),2)=0</formula>
    </cfRule>
  </conditionalFormatting>
  <conditionalFormatting sqref="G10:J10 M10:N10">
    <cfRule type="expression" dxfId="306" priority="10">
      <formula>MOD(ROW(),2)=0</formula>
    </cfRule>
  </conditionalFormatting>
  <conditionalFormatting sqref="N10">
    <cfRule type="expression" dxfId="305" priority="9">
      <formula>MOD(ROW(),2)=0</formula>
    </cfRule>
  </conditionalFormatting>
  <conditionalFormatting sqref="M10:N10">
    <cfRule type="expression" dxfId="304" priority="8">
      <formula>MOD(ROW(),2)=0</formula>
    </cfRule>
  </conditionalFormatting>
  <conditionalFormatting sqref="B43">
    <cfRule type="expression" dxfId="303" priority="7">
      <formula>MOD(ROW(),2)=0</formula>
    </cfRule>
  </conditionalFormatting>
  <conditionalFormatting sqref="C43">
    <cfRule type="expression" dxfId="302" priority="6">
      <formula>MOD(ROW(),2)=0</formula>
    </cfRule>
  </conditionalFormatting>
  <conditionalFormatting sqref="D43:E43">
    <cfRule type="expression" dxfId="301" priority="5">
      <formula>MOD(ROW(),2)=0</formula>
    </cfRule>
  </conditionalFormatting>
  <conditionalFormatting sqref="G43:J43 M43:N43">
    <cfRule type="expression" dxfId="300" priority="4">
      <formula>MOD(ROW(),2)=0</formula>
    </cfRule>
  </conditionalFormatting>
  <conditionalFormatting sqref="B21">
    <cfRule type="expression" dxfId="299" priority="3">
      <formula>MOD(ROW(),2)=0</formula>
    </cfRule>
  </conditionalFormatting>
  <conditionalFormatting sqref="A21:A22">
    <cfRule type="expression" dxfId="298" priority="2">
      <formula>MOD(ROW(),2)=0</formula>
    </cfRule>
  </conditionalFormatting>
  <conditionalFormatting sqref="G57:N57">
    <cfRule type="expression" dxfId="297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customWidth="1" outlineLevel="1"/>
    <col min="31" max="31" width="10.7109375" style="133" customWidth="1" outlineLevel="1"/>
    <col min="32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96" priority="13">
      <formula>MOD(ROW(),2)=0</formula>
    </cfRule>
  </conditionalFormatting>
  <conditionalFormatting sqref="AE40">
    <cfRule type="expression" dxfId="295" priority="12">
      <formula>MOD(ROW(),2)=0</formula>
    </cfRule>
  </conditionalFormatting>
  <conditionalFormatting sqref="AE42">
    <cfRule type="expression" dxfId="294" priority="11">
      <formula>MOD(ROW(),2)=0</formula>
    </cfRule>
  </conditionalFormatting>
  <conditionalFormatting sqref="B48:B49">
    <cfRule type="expression" dxfId="293" priority="5">
      <formula>MOD(ROW(),2)=0</formula>
    </cfRule>
  </conditionalFormatting>
  <conditionalFormatting sqref="AD5:AE5">
    <cfRule type="expression" dxfId="292" priority="4">
      <formula>MOD(ROW(),2)=0</formula>
    </cfRule>
  </conditionalFormatting>
  <conditionalFormatting sqref="AD41">
    <cfRule type="expression" dxfId="291" priority="3">
      <formula>MOD(ROW(),2)=0</formula>
    </cfRule>
  </conditionalFormatting>
  <conditionalFormatting sqref="AE41">
    <cfRule type="expression" dxfId="290" priority="2">
      <formula>MOD(ROW(),2)=0</formula>
    </cfRule>
  </conditionalFormatting>
  <conditionalFormatting sqref="AD20:AE20">
    <cfRule type="expression" dxfId="289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315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8" priority="28">
      <formula>MOD(ROW(),2)=0</formula>
    </cfRule>
  </conditionalFormatting>
  <conditionalFormatting sqref="AC47">
    <cfRule type="expression" dxfId="287" priority="27">
      <formula>MOD(ROW(),2)=0</formula>
    </cfRule>
  </conditionalFormatting>
  <conditionalFormatting sqref="AC49">
    <cfRule type="expression" dxfId="286" priority="26">
      <formula>MOD(ROW(),2)=0</formula>
    </cfRule>
  </conditionalFormatting>
  <conditionalFormatting sqref="A30:C30 F30">
    <cfRule type="expression" dxfId="285" priority="25">
      <formula>MOD(ROW(),2)=0</formula>
    </cfRule>
  </conditionalFormatting>
  <conditionalFormatting sqref="A14:F14 A15:C15 E15:F15">
    <cfRule type="expression" dxfId="284" priority="23">
      <formula>MOD(ROW(),2)=0</formula>
    </cfRule>
  </conditionalFormatting>
  <conditionalFormatting sqref="D30:E30">
    <cfRule type="expression" dxfId="283" priority="22">
      <formula>MOD(ROW(),2)=0</formula>
    </cfRule>
  </conditionalFormatting>
  <conditionalFormatting sqref="A58:F58">
    <cfRule type="expression" dxfId="282" priority="20">
      <formula>MOD(ROW(),2)=0</formula>
    </cfRule>
  </conditionalFormatting>
  <conditionalFormatting sqref="B55:B56">
    <cfRule type="expression" dxfId="281" priority="19">
      <formula>MOD(ROW(),2)=0</formula>
    </cfRule>
  </conditionalFormatting>
  <conditionalFormatting sqref="AB6:AC6">
    <cfRule type="expression" dxfId="280" priority="15">
      <formula>MOD(ROW(),2)=0</formula>
    </cfRule>
  </conditionalFormatting>
  <conditionalFormatting sqref="AB48">
    <cfRule type="expression" dxfId="279" priority="14">
      <formula>MOD(ROW(),2)=0</formula>
    </cfRule>
  </conditionalFormatting>
  <conditionalFormatting sqref="AC48">
    <cfRule type="expression" dxfId="278" priority="13">
      <formula>MOD(ROW(),2)=0</formula>
    </cfRule>
  </conditionalFormatting>
  <conditionalFormatting sqref="D6">
    <cfRule type="expression" dxfId="277" priority="12">
      <formula>MOD(ROW(),2)=0</formula>
    </cfRule>
  </conditionalFormatting>
  <conditionalFormatting sqref="D9">
    <cfRule type="expression" dxfId="276" priority="11">
      <formula>MOD(ROW(),2)=0</formula>
    </cfRule>
  </conditionalFormatting>
  <conditionalFormatting sqref="D15">
    <cfRule type="expression" dxfId="275" priority="10">
      <formula>MOD(ROW(),2)=0</formula>
    </cfRule>
  </conditionalFormatting>
  <conditionalFormatting sqref="D28">
    <cfRule type="expression" dxfId="274" priority="9">
      <formula>MOD(ROW(),2)=0</formula>
    </cfRule>
  </conditionalFormatting>
  <conditionalFormatting sqref="D41">
    <cfRule type="expression" dxfId="273" priority="8">
      <formula>MOD(ROW(),2)=0</formula>
    </cfRule>
  </conditionalFormatting>
  <conditionalFormatting sqref="D46">
    <cfRule type="expression" dxfId="272" priority="7">
      <formula>MOD(ROW(),2)=0</formula>
    </cfRule>
  </conditionalFormatting>
  <conditionalFormatting sqref="D49">
    <cfRule type="expression" dxfId="271" priority="6">
      <formula>MOD(ROW(),2)=0</formula>
    </cfRule>
  </conditionalFormatting>
  <conditionalFormatting sqref="D60:D63">
    <cfRule type="expression" dxfId="270" priority="1">
      <formula>MOD(ROW(),2)=0</formula>
    </cfRule>
  </conditionalFormatting>
  <conditionalFormatting sqref="D50:D51">
    <cfRule type="expression" dxfId="269" priority="5">
      <formula>MOD(ROW(),2)=0</formula>
    </cfRule>
  </conditionalFormatting>
  <conditionalFormatting sqref="D52">
    <cfRule type="expression" dxfId="268" priority="4">
      <formula>MOD(ROW(),2)=0</formula>
    </cfRule>
  </conditionalFormatting>
  <conditionalFormatting sqref="D59">
    <cfRule type="expression" dxfId="267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6" priority="24">
      <formula>MOD(ROW(),2)=0</formula>
    </cfRule>
  </conditionalFormatting>
  <conditionalFormatting sqref="AC47">
    <cfRule type="expression" dxfId="265" priority="23">
      <formula>MOD(ROW(),2)=0</formula>
    </cfRule>
  </conditionalFormatting>
  <conditionalFormatting sqref="AC48">
    <cfRule type="expression" dxfId="264" priority="22">
      <formula>MOD(ROW(),2)=0</formula>
    </cfRule>
  </conditionalFormatting>
  <conditionalFormatting sqref="A29:C29 F29">
    <cfRule type="expression" dxfId="263" priority="21">
      <formula>MOD(ROW(),2)=0</formula>
    </cfRule>
  </conditionalFormatting>
  <conditionalFormatting sqref="AC59">
    <cfRule type="expression" dxfId="262" priority="20">
      <formula>MOD(ROW(),2)=0</formula>
    </cfRule>
  </conditionalFormatting>
  <conditionalFormatting sqref="A13:F13 A14:C14 E14:F14">
    <cfRule type="expression" dxfId="261" priority="19">
      <formula>MOD(ROW(),2)=0</formula>
    </cfRule>
  </conditionalFormatting>
  <conditionalFormatting sqref="D29:E29">
    <cfRule type="expression" dxfId="260" priority="18">
      <formula>MOD(ROW(),2)=0</formula>
    </cfRule>
  </conditionalFormatting>
  <conditionalFormatting sqref="A53:B53 F53">
    <cfRule type="expression" dxfId="259" priority="15">
      <formula>MOD(ROW(),2)=0</formula>
    </cfRule>
  </conditionalFormatting>
  <conditionalFormatting sqref="A57:F57">
    <cfRule type="expression" dxfId="258" priority="14">
      <formula>MOD(ROW(),2)=0</formula>
    </cfRule>
  </conditionalFormatting>
  <conditionalFormatting sqref="B54:B55">
    <cfRule type="expression" dxfId="257" priority="13">
      <formula>MOD(ROW(),2)=0</formula>
    </cfRule>
  </conditionalFormatting>
  <conditionalFormatting sqref="D53:E53 C54:E55">
    <cfRule type="expression" dxfId="256" priority="12">
      <formula>MOD(ROW(),2)=0</formula>
    </cfRule>
  </conditionalFormatting>
  <conditionalFormatting sqref="D58:D61">
    <cfRule type="expression" dxfId="255" priority="1">
      <formula>MOD(ROW(),2)=0</formula>
    </cfRule>
  </conditionalFormatting>
  <conditionalFormatting sqref="D8">
    <cfRule type="expression" dxfId="254" priority="10">
      <formula>MOD(ROW(),2)=0</formula>
    </cfRule>
  </conditionalFormatting>
  <conditionalFormatting sqref="D14">
    <cfRule type="expression" dxfId="253" priority="9">
      <formula>MOD(ROW(),2)=0</formula>
    </cfRule>
  </conditionalFormatting>
  <conditionalFormatting sqref="D27">
    <cfRule type="expression" dxfId="252" priority="8">
      <formula>MOD(ROW(),2)=0</formula>
    </cfRule>
  </conditionalFormatting>
  <conditionalFormatting sqref="D41">
    <cfRule type="expression" dxfId="251" priority="7">
      <formula>MOD(ROW(),2)=0</formula>
    </cfRule>
  </conditionalFormatting>
  <conditionalFormatting sqref="D47:D48">
    <cfRule type="expression" dxfId="250" priority="6">
      <formula>MOD(ROW(),2)=0</formula>
    </cfRule>
  </conditionalFormatting>
  <conditionalFormatting sqref="D46">
    <cfRule type="expression" dxfId="249" priority="5">
      <formula>MOD(ROW(),2)=0</formula>
    </cfRule>
  </conditionalFormatting>
  <conditionalFormatting sqref="D49">
    <cfRule type="expression" dxfId="248" priority="4">
      <formula>MOD(ROW(),2)=0</formula>
    </cfRule>
  </conditionalFormatting>
  <conditionalFormatting sqref="D50">
    <cfRule type="expression" dxfId="247" priority="3">
      <formula>MOD(ROW(),2)=0</formula>
    </cfRule>
  </conditionalFormatting>
  <conditionalFormatting sqref="D51">
    <cfRule type="expression" dxfId="246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zoomScaleNormal="100" workbookViewId="0">
      <selection activeCell="K56" sqref="K56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customWidth="1" outlineLevel="1"/>
    <col min="8" max="8" width="9.42578125" customWidth="1" outlineLevel="1"/>
    <col min="9" max="9" width="11.28515625" customWidth="1" outlineLevel="1"/>
    <col min="10" max="10" width="10" customWidth="1" outlineLevel="1"/>
    <col min="11" max="11" width="11.140625" customWidth="1" outlineLevel="1"/>
    <col min="12" max="12" width="10.5703125" customWidth="1" outlineLevel="1"/>
    <col min="13" max="14" width="10.5703125" style="1" customWidth="1" outlineLevel="1"/>
    <col min="15" max="15" width="10.5703125" style="132" customWidth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hidden="1" customWidth="1" outlineLevel="1"/>
    <col min="21" max="21" width="10.5703125" style="132" customWidth="1" collapsed="1"/>
    <col min="22" max="22" width="10.5703125" hidden="1" customWidth="1" outlineLevel="1"/>
    <col min="23" max="23" width="9.140625" hidden="1" customWidth="1" outlineLevel="1"/>
    <col min="24" max="24" width="8.5703125" customWidth="1" collapsed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5">
        <f>IFERROR(VLOOKUP($A$3:$A$139,'APR-2026'!$A$4:$ABX$112,MATCH('FY-(26-27)Q1'!$G$2:$H$2,'APR-2026'!$A$2:$BY$2,0),0),0)</f>
        <v>1.1000000000000001</v>
      </c>
      <c r="I4" s="153">
        <f>IFERROR(VLOOKUP($A$3:$A$139,'MAY-2026'!$A$4:$ACP$113,MATCH('FY-(26-27)Q1'!$I$2:$J$2,'MAY-2026'!$A$2:$CQ$2,0),0),0)</f>
        <v>-198725</v>
      </c>
      <c r="J4" s="155">
        <f>IFERROR(VLOOKUP($A$3:$A$139,'MAY-2026'!$A$4:$ACP$113,MATCH('FY-(26-27)Q1'!$I$2:$J$2,'MAY-2026'!$A$2:$CQ$2,0),0),0)</f>
        <v>-0.66241666666666665</v>
      </c>
      <c r="K4" s="153">
        <f>IFERROR(VLOOKUP($A$3:$A$139,'JUNE-2026'!$A$4:$ADJ$113,MATCH('FY-(26-27)Q1'!$K$2:$L$2,'JUNE-2026'!$A$2:$DK$2,0),0),0)</f>
        <v>50000</v>
      </c>
      <c r="L4" s="155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IFERROR(VLOOKUP($A$3:$A$139,'FY-(26-27)Q2'!$A$4:$ABW$124,MATCH('FY-(26-27)Q1'!$P$2:$Q$2,'FY-(26-27)Q2'!$A$2:$BX$2,0),0),0)</f>
        <v>0</v>
      </c>
      <c r="Q4" s="155">
        <f>IFERROR(VLOOKUP($A$3:$A$139,'FY-(26-27)Q2'!$A$4:$ABW$124,MATCH('FY-(26-27)Q1'!$P$2:$Q$2,'FY-(26-27)Q2'!$A$2:$BX$2,0),0),0)</f>
        <v>0</v>
      </c>
      <c r="R4" s="159"/>
      <c r="S4" s="88">
        <f>IFERROR(VLOOKUP($A$4:$A$74,#REF!,MATCH('FY-(26-27)Q1'!$S$2:$T$2,#REF!,0),0),0)</f>
        <v>0</v>
      </c>
      <c r="T4" s="124">
        <f>IFERROR(VLOOKUP($A$4:$A$74,#REF!,MATCH('FY-(26-27)Q1'!$S$2:$T$2,#REF!,0),0),0)</f>
        <v>0</v>
      </c>
      <c r="U4" s="217"/>
      <c r="V4" s="71"/>
      <c r="W4" s="72"/>
      <c r="Y4" s="89">
        <f t="shared" ref="Y4:Y38" si="0">M4+P4+S4+V4</f>
        <v>181275</v>
      </c>
      <c r="Z4" s="168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IFERROR(VLOOKUP($A$3:$A$139,'APR-2026'!$A$4:$ABX$112,MATCH('FY-(26-27)Q1'!$G$2:$H$2,'APR-2026'!$A$2:$BY$2,0),0),0)</f>
        <v>-21500</v>
      </c>
      <c r="H5" s="155">
        <f>IFERROR(VLOOKUP($A$3:$A$139,'APR-2026'!$A$4:$ABX$112,MATCH('FY-(26-27)Q1'!$G$2:$H$2,'APR-2026'!$A$2:$BY$2,0),0),0)</f>
        <v>-7.166666666666667E-2</v>
      </c>
      <c r="I5" s="153">
        <f>IFERROR(VLOOKUP($A$3:$A$139,'MAY-2026'!$A$4:$ACP$113,MATCH('FY-(26-27)Q1'!$I$2:$J$2,'MAY-2026'!$A$2:$CQ$2,0),0),0)</f>
        <v>2411</v>
      </c>
      <c r="J5" s="155">
        <f>IFERROR(VLOOKUP($A$3:$A$139,'MAY-2026'!$A$4:$ACP$113,MATCH('FY-(26-27)Q1'!$I$2:$J$2,'MAY-2026'!$A$2:$CQ$2,0),0),0)</f>
        <v>8.0366666666666659E-3</v>
      </c>
      <c r="K5" s="153">
        <f>IFERROR(VLOOKUP($A$3:$A$139,'JUNE-2026'!$A$4:$ADJ$113,MATCH('FY-(26-27)Q1'!$K$2:$L$2,'JUNE-2026'!$A$2:$DK$2,0),0),0)</f>
        <v>0</v>
      </c>
      <c r="L5" s="155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6">
        <f t="shared" ref="N5:N74" si="3">H5+J5+L5</f>
        <v>-6.3630000000000006E-2</v>
      </c>
      <c r="O5" s="215"/>
      <c r="P5" s="153">
        <f>IFERROR(VLOOKUP($A$3:$A$139,'FY-(26-27)Q2'!$A$4:$ABW$124,MATCH('FY-(26-27)Q1'!$P$2:$Q$2,'FY-(26-27)Q2'!$A$2:$BX$2,0),0),0)</f>
        <v>0</v>
      </c>
      <c r="Q5" s="155">
        <f>IFERROR(VLOOKUP($A$3:$A$139,'FY-(26-27)Q2'!$A$4:$ABW$124,MATCH('FY-(26-27)Q1'!$P$2:$Q$2,'FY-(26-27)Q2'!$A$2:$BX$2,0),0),0)</f>
        <v>0</v>
      </c>
      <c r="R5" s="159"/>
      <c r="S5" s="88">
        <f>IFERROR(VLOOKUP($A$4:$A$74,#REF!,MATCH('FY-(26-27)Q1'!$S$2:$T$2,#REF!,0),0),0)</f>
        <v>0</v>
      </c>
      <c r="T5" s="124">
        <f>IFERROR(VLOOKUP($A$4:$A$74,#REF!,MATCH('FY-(26-27)Q1'!$S$2:$T$2,#REF!,0),0),0)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IFERROR(VLOOKUP($A$3:$A$139,'APR-2026'!$A$4:$ABX$112,MATCH('FY-(26-27)Q1'!$G$2:$H$2,'APR-2026'!$A$2:$BY$2,0),0),0)</f>
        <v>0</v>
      </c>
      <c r="H6" s="155">
        <f>IFERROR(VLOOKUP($A$3:$A$139,'APR-2026'!$A$4:$ABX$112,MATCH('FY-(26-27)Q1'!$G$2:$H$2,'APR-2026'!$A$2:$BY$2,0),0),0)</f>
        <v>0</v>
      </c>
      <c r="I6" s="153">
        <f>IFERROR(VLOOKUP($A$3:$A$139,'MAY-2026'!$A$4:$ACP$113,MATCH('FY-(26-27)Q1'!$I$2:$J$2,'MAY-2026'!$A$2:$CQ$2,0),0),0)</f>
        <v>-44821</v>
      </c>
      <c r="J6" s="155">
        <f>IFERROR(VLOOKUP($A$3:$A$139,'MAY-2026'!$A$4:$ACP$113,MATCH('FY-(26-27)Q1'!$I$2:$J$2,'MAY-2026'!$A$2:$CQ$2,0),0),0)</f>
        <v>-0.89641999999999999</v>
      </c>
      <c r="K6" s="153">
        <f>IFERROR(VLOOKUP($A$3:$A$139,'JUNE-2026'!$A$4:$ADJ$113,MATCH('FY-(26-27)Q1'!$K$2:$L$2,'JUNE-2026'!$A$2:$DK$2,0),0),0)</f>
        <v>-3515</v>
      </c>
      <c r="L6" s="155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IFERROR(VLOOKUP($A$3:$A$139,'FY-(26-27)Q2'!$A$4:$ABW$124,MATCH('FY-(26-27)Q1'!$P$2:$Q$2,'FY-(26-27)Q2'!$A$2:$BX$2,0),0),0)</f>
        <v>-38806</v>
      </c>
      <c r="Q6" s="155">
        <f>IFERROR(VLOOKUP($A$3:$A$139,'FY-(26-27)Q2'!$A$4:$ABW$124,MATCH('FY-(26-27)Q1'!$P$2:$Q$2,'FY-(26-27)Q2'!$A$2:$BX$2,0),0),0)</f>
        <v>-0.77612000000000003</v>
      </c>
      <c r="R6" s="159"/>
      <c r="S6" s="153">
        <f>IFERROR(VLOOKUP($A$4:$A$74,#REF!,MATCH('FY-(26-27)Q1'!$S$2:$T$2,#REF!,0),0),0)</f>
        <v>0</v>
      </c>
      <c r="T6" s="159">
        <f>IFERROR(VLOOKUP($A$4:$A$74,#REF!,MATCH('FY-(26-27)Q1'!$S$2:$T$2,#REF!,0),0),0)</f>
        <v>0</v>
      </c>
      <c r="U6" s="217"/>
      <c r="V6" s="71"/>
      <c r="W6" s="150"/>
      <c r="X6" s="132"/>
      <c r="Y6" s="154">
        <f t="shared" si="0"/>
        <v>-87142</v>
      </c>
      <c r="Z6" s="168">
        <f t="shared" si="1"/>
        <v>-1.7428400000000002</v>
      </c>
    </row>
    <row r="7" spans="1:26" s="1" customFormat="1" ht="15" customHeight="1" x14ac:dyDescent="0.25">
      <c r="A7" s="35" t="s">
        <v>30</v>
      </c>
      <c r="B7" s="141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IFERROR(VLOOKUP($A$3:$A$139,'APR-2026'!$A$4:$ABX$112,MATCH('FY-(26-27)Q1'!$G$2:$H$2,'APR-2026'!$A$2:$BY$2,0),0),0)</f>
        <v>602695</v>
      </c>
      <c r="H7" s="155">
        <f>IFERROR(VLOOKUP($A$3:$A$139,'APR-2026'!$A$4:$ABX$112,MATCH('FY-(26-27)Q1'!$G$2:$H$2,'APR-2026'!$A$2:$BY$2,0),0),0)</f>
        <v>2.0089833333333336</v>
      </c>
      <c r="I7" s="153">
        <f>IFERROR(VLOOKUP($A$3:$A$139,'MAY-2026'!$A$4:$ACP$113,MATCH('FY-(26-27)Q1'!$I$2:$J$2,'MAY-2026'!$A$2:$CQ$2,0),0),0)</f>
        <v>-40749</v>
      </c>
      <c r="J7" s="155">
        <f>IFERROR(VLOOKUP($A$3:$A$139,'MAY-2026'!$A$4:$ACP$113,MATCH('FY-(26-27)Q1'!$I$2:$J$2,'MAY-2026'!$A$2:$CQ$2,0),0),0)</f>
        <v>-0.13583000000000001</v>
      </c>
      <c r="K7" s="153">
        <f>IFERROR(VLOOKUP($A$3:$A$139,'JUNE-2026'!$A$4:$ADJ$113,MATCH('FY-(26-27)Q1'!$K$2:$L$2,'JUNE-2026'!$A$2:$DK$2,0),0),0)</f>
        <v>772328</v>
      </c>
      <c r="L7" s="155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IFERROR(VLOOKUP($A$3:$A$139,'FY-(26-27)Q2'!$A$4:$ABW$124,MATCH('FY-(26-27)Q1'!$P$2:$Q$2,'FY-(26-27)Q2'!$A$2:$BX$2,0),0),0)</f>
        <v>-359151</v>
      </c>
      <c r="Q7" s="155">
        <f>IFERROR(VLOOKUP($A$3:$A$139,'FY-(26-27)Q2'!$A$4:$ABW$124,MATCH('FY-(26-27)Q1'!$P$2:$Q$2,'FY-(26-27)Q2'!$A$2:$BX$2,0),0),0)</f>
        <v>-1.1971700000000001</v>
      </c>
      <c r="R7" s="159"/>
      <c r="S7" s="88">
        <f>IFERROR(VLOOKUP($A$4:$A$74,#REF!,MATCH('FY-(26-27)Q1'!$S$2:$T$2,#REF!,0),0),0)</f>
        <v>0</v>
      </c>
      <c r="T7" s="124">
        <f>IFERROR(VLOOKUP($A$4:$A$74,#REF!,MATCH('FY-(26-27)Q1'!$S$2:$T$2,#REF!,0),0),0)</f>
        <v>0</v>
      </c>
      <c r="U7" s="159"/>
      <c r="V7" s="45"/>
      <c r="W7" s="72"/>
      <c r="X7"/>
      <c r="Y7" s="154">
        <f t="shared" si="0"/>
        <v>975123</v>
      </c>
      <c r="Z7" s="168">
        <f t="shared" si="1"/>
        <v>3.2504100000000005</v>
      </c>
    </row>
    <row r="8" spans="1:26" ht="15" customHeight="1" x14ac:dyDescent="0.25">
      <c r="A8" s="142" t="s">
        <v>177</v>
      </c>
      <c r="B8" s="141" t="s">
        <v>309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IFERROR(VLOOKUP($A$3:$A$139,'APR-2026'!$A$4:$ABX$112,MATCH('FY-(26-27)Q1'!$G$2:$H$2,'APR-2026'!$A$2:$BY$2,0),0),0)</f>
        <v>-115177</v>
      </c>
      <c r="H8" s="155">
        <f>IFERROR(VLOOKUP($A$3:$A$139,'APR-2026'!$A$4:$ABX$112,MATCH('FY-(26-27)Q1'!$G$2:$H$2,'APR-2026'!$A$2:$BY$2,0),0),0)</f>
        <v>-1.15177</v>
      </c>
      <c r="I8" s="153">
        <f>IFERROR(VLOOKUP($A$3:$A$139,'MAY-2026'!$A$4:$ACP$113,MATCH('FY-(26-27)Q1'!$I$2:$J$2,'MAY-2026'!$A$2:$CQ$2,0),0),0)</f>
        <v>-270250</v>
      </c>
      <c r="J8" s="155">
        <f>IFERROR(VLOOKUP($A$3:$A$139,'MAY-2026'!$A$4:$ACP$113,MATCH('FY-(26-27)Q1'!$I$2:$J$2,'MAY-2026'!$A$2:$CQ$2,0),0),0)</f>
        <v>-2.7025000000000001</v>
      </c>
      <c r="K8" s="153">
        <f>IFERROR(VLOOKUP($A$3:$A$139,'JUNE-2026'!$A$4:$ADJ$113,MATCH('FY-(26-27)Q1'!$K$2:$L$2,'JUNE-2026'!$A$2:$DK$2,0),0),0)</f>
        <v>0</v>
      </c>
      <c r="L8" s="155">
        <f>IFERROR(VLOOKUP($A$3:$A$139,'JUNE-2026'!$A$4:$ADJ$113,MATCH('FY-(26-27)Q1'!$K$2:$L$2,'JUNE-2026'!$A$2:$DK$2,0),0),0)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IFERROR(VLOOKUP($A$3:$A$139,'FY-(26-27)Q2'!$A$4:$ABW$124,MATCH('FY-(26-27)Q1'!$P$2:$Q$2,'FY-(26-27)Q2'!$A$2:$BX$2,0),0),0)</f>
        <v>116185</v>
      </c>
      <c r="Q8" s="155">
        <f>IFERROR(VLOOKUP($A$3:$A$139,'FY-(26-27)Q2'!$A$4:$ABW$124,MATCH('FY-(26-27)Q1'!$P$2:$Q$2,'FY-(26-27)Q2'!$A$2:$BX$2,0),0),0)</f>
        <v>1.16185</v>
      </c>
      <c r="R8" s="159"/>
      <c r="S8" s="153">
        <f>IFERROR(VLOOKUP($A$4:$A$74,#REF!,MATCH('FY-(26-27)Q1'!$S$2:$T$2,#REF!,0),0),0)</f>
        <v>0</v>
      </c>
      <c r="T8" s="159">
        <f>IFERROR(VLOOKUP($A$4:$A$74,#REF!,MATCH('FY-(26-27)Q1'!$S$2:$T$2,#REF!,0),0),0)</f>
        <v>0</v>
      </c>
      <c r="U8" s="159"/>
      <c r="V8" s="144"/>
      <c r="W8" s="150"/>
      <c r="X8" s="1"/>
      <c r="Y8" s="154">
        <f t="shared" si="0"/>
        <v>-269242</v>
      </c>
      <c r="Z8" s="168">
        <f t="shared" si="1"/>
        <v>-2.6924200000000003</v>
      </c>
    </row>
    <row r="9" spans="1:26" s="132" customFormat="1" ht="15" customHeight="1" x14ac:dyDescent="0.25">
      <c r="A9" s="142"/>
      <c r="B9" s="141" t="s">
        <v>309</v>
      </c>
      <c r="C9" s="141" t="s">
        <v>312</v>
      </c>
      <c r="D9" s="160" t="s">
        <v>311</v>
      </c>
      <c r="E9" s="160"/>
      <c r="F9" s="156"/>
      <c r="G9" s="153"/>
      <c r="H9" s="155"/>
      <c r="I9" s="153"/>
      <c r="J9" s="155"/>
      <c r="K9" s="153"/>
      <c r="L9" s="155"/>
      <c r="M9" s="71"/>
      <c r="N9" s="166"/>
      <c r="O9" s="215"/>
      <c r="P9" s="153"/>
      <c r="Q9" s="155"/>
      <c r="R9" s="159"/>
      <c r="S9" s="153"/>
      <c r="T9" s="159"/>
      <c r="U9" s="159"/>
      <c r="V9" s="144"/>
      <c r="W9" s="150"/>
      <c r="Y9" s="154"/>
      <c r="Z9" s="168"/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60" t="s">
        <v>258</v>
      </c>
      <c r="E10" s="38" t="s">
        <v>256</v>
      </c>
      <c r="F10" s="116">
        <v>3</v>
      </c>
      <c r="G10" s="153">
        <f>IFERROR(VLOOKUP($A$3:$A$139,'APR-2026'!$A$4:$ABX$112,MATCH('FY-(26-27)Q1'!$G$2:$H$2,'APR-2026'!$A$2:$BY$2,0),0),0)</f>
        <v>-86659</v>
      </c>
      <c r="H10" s="155">
        <f>IFERROR(VLOOKUP($A$3:$A$139,'APR-2026'!$A$4:$ABX$112,MATCH('FY-(26-27)Q1'!$G$2:$H$2,'APR-2026'!$A$2:$BY$2,0),0),0)</f>
        <v>-1.7331799999999999</v>
      </c>
      <c r="I10" s="153">
        <f>IFERROR(VLOOKUP($A$3:$A$139,'MAY-2026'!$A$4:$ACP$113,MATCH('FY-(26-27)Q1'!$I$2:$J$2,'MAY-2026'!$A$2:$CQ$2,0),0),0)</f>
        <v>165574</v>
      </c>
      <c r="J10" s="155">
        <f>IFERROR(VLOOKUP($A$3:$A$139,'MAY-2026'!$A$4:$ACP$113,MATCH('FY-(26-27)Q1'!$I$2:$J$2,'MAY-2026'!$A$2:$CQ$2,0),0),0)</f>
        <v>0.55191333333333337</v>
      </c>
      <c r="K10" s="153">
        <f>IFERROR(VLOOKUP($A$3:$A$139,'JUNE-2026'!$A$4:$ADJ$113,MATCH('FY-(26-27)Q1'!$K$2:$L$2,'JUNE-2026'!$A$2:$DK$2,0),0),0)</f>
        <v>-437824</v>
      </c>
      <c r="L10" s="155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6">
        <f t="shared" si="3"/>
        <v>-2.6406800000000001</v>
      </c>
      <c r="O10" s="215"/>
      <c r="P10" s="153">
        <f>IFERROR(VLOOKUP($A$3:$A$139,'FY-(26-27)Q2'!$A$4:$ABW$124,MATCH('FY-(26-27)Q1'!$P$2:$Q$2,'FY-(26-27)Q2'!$A$2:$BX$2,0),0),0)</f>
        <v>-347340</v>
      </c>
      <c r="Q10" s="155">
        <f>IFERROR(VLOOKUP($A$3:$A$139,'FY-(26-27)Q2'!$A$4:$ABW$124,MATCH('FY-(26-27)Q1'!$P$2:$Q$2,'FY-(26-27)Q2'!$A$2:$BX$2,0),0),0)</f>
        <v>-1.1577999999999999</v>
      </c>
      <c r="R10" s="159"/>
      <c r="S10" s="88">
        <f>IFERROR(VLOOKUP($A$4:$A$74,#REF!,MATCH('FY-(26-27)Q1'!$S$2:$T$2,#REF!,0),0),0)</f>
        <v>0</v>
      </c>
      <c r="T10" s="124">
        <f>IFERROR(VLOOKUP($A$4:$A$74,#REF!,MATCH('FY-(26-27)Q1'!$S$2:$T$2,#REF!,0),0),0)</f>
        <v>0</v>
      </c>
      <c r="U10" s="159"/>
      <c r="V10" s="45"/>
      <c r="W10" s="72"/>
      <c r="Y10" s="154">
        <f t="shared" si="0"/>
        <v>-706249</v>
      </c>
      <c r="Z10" s="168">
        <f t="shared" si="1"/>
        <v>-3.7984800000000001</v>
      </c>
    </row>
    <row r="11" spans="1:26" s="132" customFormat="1" ht="15" customHeight="1" x14ac:dyDescent="0.25">
      <c r="A11" s="142" t="s">
        <v>217</v>
      </c>
      <c r="B11" s="141" t="s">
        <v>133</v>
      </c>
      <c r="C11" s="141" t="s">
        <v>96</v>
      </c>
      <c r="D11" s="38" t="s">
        <v>116</v>
      </c>
      <c r="E11" s="38" t="s">
        <v>256</v>
      </c>
      <c r="F11" s="156">
        <v>1.5</v>
      </c>
      <c r="G11" s="153">
        <f>IFERROR(VLOOKUP($A$3:$A$139,'APR-2026'!$A$4:$ABX$112,MATCH('FY-(26-27)Q1'!$G$2:$H$2,'APR-2026'!$A$2:$BY$2,0),0),0)</f>
        <v>0</v>
      </c>
      <c r="H11" s="155">
        <f>IFERROR(VLOOKUP($A$3:$A$139,'APR-2026'!$A$4:$ABX$112,MATCH('FY-(26-27)Q1'!$G$2:$H$2,'APR-2026'!$A$2:$BY$2,0),0),0)</f>
        <v>0</v>
      </c>
      <c r="I11" s="153">
        <f>IFERROR(VLOOKUP($A$3:$A$139,'MAY-2026'!$A$4:$ACP$113,MATCH('FY-(26-27)Q1'!$I$2:$J$2,'MAY-2026'!$A$2:$CQ$2,0),0),0)</f>
        <v>-175097</v>
      </c>
      <c r="J11" s="155">
        <f>IFERROR(VLOOKUP($A$3:$A$139,'MAY-2026'!$A$4:$ACP$113,MATCH('FY-(26-27)Q1'!$I$2:$J$2,'MAY-2026'!$A$2:$CQ$2,0),0),0)</f>
        <v>-1.1673133333333332</v>
      </c>
      <c r="K11" s="153">
        <f>IFERROR(VLOOKUP($A$3:$A$139,'JUNE-2026'!$A$4:$ADJ$113,MATCH('FY-(26-27)Q1'!$K$2:$L$2,'JUNE-2026'!$A$2:$DK$2,0),0),0)</f>
        <v>135</v>
      </c>
      <c r="L11" s="155">
        <f>IFERROR(VLOOKUP($A$3:$A$139,'JUNE-2026'!$A$4:$ADJ$113,MATCH('FY-(26-27)Q1'!$K$2:$L$2,'JUNE-2026'!$A$2:$DK$2,0),0),0)</f>
        <v>8.9999999999999998E-4</v>
      </c>
      <c r="M11" s="71">
        <f t="shared" ref="M11" si="6">G11+I11+K11</f>
        <v>-174962</v>
      </c>
      <c r="N11" s="166">
        <f t="shared" ref="N11" si="7">H11+J11+L11</f>
        <v>-1.1664133333333333</v>
      </c>
      <c r="O11" s="215"/>
      <c r="P11" s="153">
        <f>IFERROR(VLOOKUP($A$3:$A$139,'FY-(26-27)Q2'!$A$4:$ABW$124,MATCH('FY-(26-27)Q1'!$P$2:$Q$2,'FY-(26-27)Q2'!$A$2:$BX$2,0),0),0)</f>
        <v>-212588</v>
      </c>
      <c r="Q11" s="155">
        <f>IFERROR(VLOOKUP($A$3:$A$139,'FY-(26-27)Q2'!$A$4:$ABW$124,MATCH('FY-(26-27)Q1'!$P$2:$Q$2,'FY-(26-27)Q2'!$A$2:$BX$2,0),0),0)</f>
        <v>-1.4172533333333335</v>
      </c>
      <c r="R11" s="159"/>
      <c r="S11" s="153">
        <f>IFERROR(VLOOKUP($A$4:$A$74,#REF!,MATCH('FY-(26-27)Q1'!$S$2:$T$2,#REF!,0),0),0)</f>
        <v>0</v>
      </c>
      <c r="T11" s="159">
        <f>IFERROR(VLOOKUP($A$4:$A$74,#REF!,MATCH('FY-(26-27)Q1'!$S$2:$T$2,#REF!,0),0),0)</f>
        <v>0</v>
      </c>
      <c r="U11" s="159"/>
      <c r="V11" s="144"/>
      <c r="W11" s="150"/>
      <c r="Y11" s="154">
        <f t="shared" si="0"/>
        <v>-387550</v>
      </c>
      <c r="Z11" s="168">
        <f t="shared" si="1"/>
        <v>-2.5836666666666668</v>
      </c>
    </row>
    <row r="12" spans="1:26" s="132" customFormat="1" ht="15" customHeight="1" x14ac:dyDescent="0.25">
      <c r="A12" s="142" t="s">
        <v>313</v>
      </c>
      <c r="B12" s="141" t="s">
        <v>133</v>
      </c>
      <c r="C12" s="141" t="s">
        <v>294</v>
      </c>
      <c r="D12" s="38" t="s">
        <v>116</v>
      </c>
      <c r="E12" s="38" t="s">
        <v>256</v>
      </c>
      <c r="F12" s="156">
        <v>0.6</v>
      </c>
      <c r="G12" s="153">
        <f>IFERROR(VLOOKUP($A$3:$A$139,'APR-2026'!$A$4:$ABX$112,MATCH('FY-(26-27)Q1'!$G$2:$H$2,'APR-2026'!$A$2:$BY$2,0),0),0)</f>
        <v>0</v>
      </c>
      <c r="H12" s="155">
        <f>IFERROR(VLOOKUP($A$3:$A$139,'APR-2026'!$A$4:$ABX$112,MATCH('FY-(26-27)Q1'!$G$2:$H$2,'APR-2026'!$A$2:$BY$2,0),0),0)</f>
        <v>0</v>
      </c>
      <c r="I12" s="153">
        <f>IFERROR(VLOOKUP($A$3:$A$139,'MAY-2026'!$A$4:$ACP$113,MATCH('FY-(26-27)Q1'!$I$2:$J$2,'MAY-2026'!$A$2:$CQ$2,0),0),0)</f>
        <v>0</v>
      </c>
      <c r="J12" s="155">
        <f>IFERROR(VLOOKUP($A$3:$A$139,'MAY-2026'!$A$4:$ACP$113,MATCH('FY-(26-27)Q1'!$I$2:$J$2,'MAY-2026'!$A$2:$CQ$2,0),0),0)</f>
        <v>0</v>
      </c>
      <c r="K12" s="153">
        <f>IFERROR(VLOOKUP($A$3:$A$139,'JUNE-2026'!$A$4:$ADJ$113,MATCH('FY-(26-27)Q1'!$K$2:$L$2,'JUNE-2026'!$A$2:$DK$2,0),0),0)</f>
        <v>0</v>
      </c>
      <c r="L12" s="155">
        <f>IFERROR(VLOOKUP($A$3:$A$139,'JUNE-2026'!$A$4:$ADJ$113,MATCH('FY-(26-27)Q1'!$K$2:$L$2,'JUNE-2026'!$A$2:$DK$2,0),0),0)</f>
        <v>0</v>
      </c>
      <c r="M12" s="71">
        <f t="shared" ref="M12" si="8">G12+I12+K12</f>
        <v>0</v>
      </c>
      <c r="N12" s="166">
        <f t="shared" ref="N12" si="9">H12+J12+L12</f>
        <v>0</v>
      </c>
      <c r="O12" s="215"/>
      <c r="P12" s="153">
        <f>IFERROR(VLOOKUP($A$3:$A$139,'FY-(26-27)Q2'!$A$4:$ABW$124,MATCH('FY-(26-27)Q1'!$P$2:$Q$2,'FY-(26-27)Q2'!$A$2:$BX$2,0),0),0)</f>
        <v>-183975</v>
      </c>
      <c r="Q12" s="155">
        <f>IFERROR(VLOOKUP($A$3:$A$139,'FY-(26-27)Q2'!$A$4:$ABW$124,MATCH('FY-(26-27)Q1'!$P$2:$Q$2,'FY-(26-27)Q2'!$A$2:$BX$2,0),0),0)</f>
        <v>-3.0662500000000001</v>
      </c>
      <c r="R12" s="159"/>
      <c r="S12" s="153">
        <f>IFERROR(VLOOKUP($A$4:$A$74,#REF!,MATCH('FY-(26-27)Q1'!$S$2:$T$2,#REF!,0),0),0)</f>
        <v>0</v>
      </c>
      <c r="T12" s="159">
        <f>IFERROR(VLOOKUP($A$4:$A$74,#REF!,MATCH('FY-(26-27)Q1'!$S$2:$T$2,#REF!,0),0),0)</f>
        <v>0</v>
      </c>
      <c r="U12" s="159"/>
      <c r="V12" s="144"/>
      <c r="W12" s="150"/>
      <c r="Y12" s="154">
        <f t="shared" ref="Y12" si="10">M12+P12+S12+V12</f>
        <v>-183975</v>
      </c>
      <c r="Z12" s="168">
        <f t="shared" ref="Z12" si="11">(N12+Q12+T12+W12)</f>
        <v>-3.0662500000000001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3" t="s">
        <v>112</v>
      </c>
      <c r="E13" s="143" t="s">
        <v>256</v>
      </c>
      <c r="F13" s="117">
        <v>15</v>
      </c>
      <c r="G13" s="153">
        <f>IFERROR(VLOOKUP($A$3:$A$139,'APR-2026'!$A$4:$ABX$112,MATCH('FY-(26-27)Q1'!$G$2:$H$2,'APR-2026'!$A$2:$BY$2,0),0),0)</f>
        <v>194000</v>
      </c>
      <c r="H13" s="155">
        <f>IFERROR(VLOOKUP($A$3:$A$139,'APR-2026'!$A$4:$ABX$112,MATCH('FY-(26-27)Q1'!$G$2:$H$2,'APR-2026'!$A$2:$BY$2,0),0),0)</f>
        <v>0.12933333333333336</v>
      </c>
      <c r="I13" s="153">
        <f>IFERROR(VLOOKUP($A$3:$A$139,'MAY-2026'!$A$4:$ACP$113,MATCH('FY-(26-27)Q1'!$I$2:$J$2,'MAY-2026'!$A$2:$CQ$2,0),0),0)</f>
        <v>-774466</v>
      </c>
      <c r="J13" s="155">
        <f>IFERROR(VLOOKUP($A$3:$A$139,'MAY-2026'!$A$4:$ACP$113,MATCH('FY-(26-27)Q1'!$I$2:$J$2,'MAY-2026'!$A$2:$CQ$2,0),0),0)</f>
        <v>-0.5163106666666667</v>
      </c>
      <c r="K13" s="153">
        <f>IFERROR(VLOOKUP($A$3:$A$139,'JUNE-2026'!$A$4:$ADJ$113,MATCH('FY-(26-27)Q1'!$K$2:$L$2,'JUNE-2026'!$A$2:$DK$2,0),0),0)</f>
        <v>-787733</v>
      </c>
      <c r="L13" s="155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6">
        <f t="shared" si="3"/>
        <v>-0.9121326666666667</v>
      </c>
      <c r="O13" s="215"/>
      <c r="P13" s="153">
        <f>IFERROR(VLOOKUP($A$3:$A$139,'FY-(26-27)Q2'!$A$4:$ABW$124,MATCH('FY-(26-27)Q1'!$P$2:$Q$2,'FY-(26-27)Q2'!$A$2:$BX$2,0),0),0)</f>
        <v>553525</v>
      </c>
      <c r="Q13" s="155">
        <f>IFERROR(VLOOKUP($A$3:$A$139,'FY-(26-27)Q2'!$A$4:$ABW$124,MATCH('FY-(26-27)Q1'!$P$2:$Q$2,'FY-(26-27)Q2'!$A$2:$BX$2,0),0),0)</f>
        <v>0.36901666666666672</v>
      </c>
      <c r="R13" s="159"/>
      <c r="S13" s="88">
        <f>IFERROR(VLOOKUP($A$4:$A$74,#REF!,MATCH('FY-(26-27)Q1'!$S$2:$T$2,#REF!,0),0),0)</f>
        <v>0</v>
      </c>
      <c r="T13" s="124">
        <f>IFERROR(VLOOKUP($A$4:$A$74,#REF!,MATCH('FY-(26-27)Q1'!$S$2:$T$2,#REF!,0),0),0)</f>
        <v>0</v>
      </c>
      <c r="U13" s="159"/>
      <c r="V13" s="45"/>
      <c r="W13" s="72"/>
      <c r="X13"/>
      <c r="Y13" s="154">
        <f t="shared" si="0"/>
        <v>-814674</v>
      </c>
      <c r="Z13" s="168">
        <f t="shared" si="1"/>
        <v>-0.54311599999999993</v>
      </c>
    </row>
    <row r="14" spans="1:26" s="132" customFormat="1" ht="15" customHeight="1" x14ac:dyDescent="0.25">
      <c r="A14" s="143" t="s">
        <v>81</v>
      </c>
      <c r="B14" s="141" t="s">
        <v>55</v>
      </c>
      <c r="C14" s="141" t="s">
        <v>80</v>
      </c>
      <c r="D14" s="143" t="s">
        <v>107</v>
      </c>
      <c r="E14" s="143" t="s">
        <v>107</v>
      </c>
      <c r="F14" s="157">
        <v>2</v>
      </c>
      <c r="G14" s="153">
        <f>IFERROR(VLOOKUP($A$3:$A$139,'APR-2026'!$A$4:$ABX$112,MATCH('FY-(26-27)Q1'!$G$2:$H$2,'APR-2026'!$A$2:$BY$2,0),0),0)</f>
        <v>803317</v>
      </c>
      <c r="H14" s="155">
        <f>IFERROR(VLOOKUP($A$3:$A$139,'APR-2026'!$A$4:$ABX$112,MATCH('FY-(26-27)Q1'!$G$2:$H$2,'APR-2026'!$A$2:$BY$2,0),0),0)</f>
        <v>4.0165850000000001</v>
      </c>
      <c r="I14" s="153">
        <f>IFERROR(VLOOKUP($A$3:$A$139,'MAY-2026'!$A$4:$ACP$113,MATCH('FY-(26-27)Q1'!$I$2:$J$2,'MAY-2026'!$A$2:$CQ$2,0),0),0)</f>
        <v>0</v>
      </c>
      <c r="J14" s="155">
        <f>IFERROR(VLOOKUP($A$3:$A$139,'MAY-2026'!$A$4:$ACP$113,MATCH('FY-(26-27)Q1'!$I$2:$J$2,'MAY-2026'!$A$2:$CQ$2,0),0),0)</f>
        <v>0</v>
      </c>
      <c r="K14" s="153">
        <f>IFERROR(VLOOKUP($A$3:$A$139,'JUNE-2026'!$A$4:$ADJ$113,MATCH('FY-(26-27)Q1'!$K$2:$L$2,'JUNE-2026'!$A$2:$DK$2,0),0),0)</f>
        <v>0</v>
      </c>
      <c r="L14" s="155">
        <f>IFERROR(VLOOKUP($A$3:$A$139,'JUNE-2026'!$A$4:$ADJ$113,MATCH('FY-(26-27)Q1'!$K$2:$L$2,'JUNE-2026'!$A$2:$DK$2,0),0),0)</f>
        <v>0</v>
      </c>
      <c r="M14" s="71">
        <f t="shared" si="2"/>
        <v>803317</v>
      </c>
      <c r="N14" s="166">
        <f t="shared" si="3"/>
        <v>4.0165850000000001</v>
      </c>
      <c r="O14" s="215"/>
      <c r="P14" s="153">
        <f>IFERROR(VLOOKUP($A$3:$A$139,'FY-(26-27)Q2'!$A$4:$ABW$124,MATCH('FY-(26-27)Q1'!$P$2:$Q$2,'FY-(26-27)Q2'!$A$2:$BX$2,0),0),0)</f>
        <v>0</v>
      </c>
      <c r="Q14" s="155">
        <f>IFERROR(VLOOKUP($A$3:$A$139,'FY-(26-27)Q2'!$A$4:$ABW$124,MATCH('FY-(26-27)Q1'!$P$2:$Q$2,'FY-(26-27)Q2'!$A$2:$BX$2,0),0),0)</f>
        <v>0</v>
      </c>
      <c r="R14" s="159"/>
      <c r="S14" s="153">
        <f>IFERROR(VLOOKUP($A$4:$A$74,#REF!,MATCH('FY-(26-27)Q1'!$S$2:$T$2,#REF!,0),0),0)</f>
        <v>0</v>
      </c>
      <c r="T14" s="159">
        <f>IFERROR(VLOOKUP($A$4:$A$74,#REF!,MATCH('FY-(26-27)Q1'!$S$2:$T$2,#REF!,0),0),0)</f>
        <v>0</v>
      </c>
      <c r="U14" s="159"/>
      <c r="V14" s="144"/>
      <c r="W14" s="150"/>
      <c r="X14" s="1"/>
      <c r="Y14" s="154">
        <f t="shared" si="0"/>
        <v>803317</v>
      </c>
      <c r="Z14" s="168">
        <f t="shared" si="1"/>
        <v>4.0165850000000001</v>
      </c>
    </row>
    <row r="15" spans="1:26" s="1" customFormat="1" ht="15" customHeight="1" x14ac:dyDescent="0.25">
      <c r="A15" s="143" t="s">
        <v>190</v>
      </c>
      <c r="B15" s="141" t="s">
        <v>182</v>
      </c>
      <c r="C15" s="141" t="s">
        <v>181</v>
      </c>
      <c r="D15" s="143" t="s">
        <v>112</v>
      </c>
      <c r="E15" s="143" t="s">
        <v>256</v>
      </c>
      <c r="F15" s="157">
        <v>3</v>
      </c>
      <c r="G15" s="153">
        <f>IFERROR(VLOOKUP($A$3:$A$139,'APR-2026'!$A$4:$ABX$112,MATCH('FY-(26-27)Q1'!$G$2:$H$2,'APR-2026'!$A$2:$BY$2,0),0),0)</f>
        <v>88900</v>
      </c>
      <c r="H15" s="155">
        <f>IFERROR(VLOOKUP($A$3:$A$139,'APR-2026'!$A$4:$ABX$112,MATCH('FY-(26-27)Q1'!$G$2:$H$2,'APR-2026'!$A$2:$BY$2,0),0),0)</f>
        <v>0.29633333333333328</v>
      </c>
      <c r="I15" s="153">
        <f>IFERROR(VLOOKUP($A$3:$A$139,'MAY-2026'!$A$4:$ACP$113,MATCH('FY-(26-27)Q1'!$I$2:$J$2,'MAY-2026'!$A$2:$CQ$2,0),0),0)</f>
        <v>-191000</v>
      </c>
      <c r="J15" s="155">
        <f>IFERROR(VLOOKUP($A$3:$A$139,'MAY-2026'!$A$4:$ACP$113,MATCH('FY-(26-27)Q1'!$I$2:$J$2,'MAY-2026'!$A$2:$CQ$2,0),0),0)</f>
        <v>-0.6366666666666666</v>
      </c>
      <c r="K15" s="153">
        <f>IFERROR(VLOOKUP($A$3:$A$139,'JUNE-2026'!$A$4:$ADJ$113,MATCH('FY-(26-27)Q1'!$K$2:$L$2,'JUNE-2026'!$A$2:$DK$2,0),0),0)</f>
        <v>0</v>
      </c>
      <c r="L15" s="155">
        <f>IFERROR(VLOOKUP($A$3:$A$139,'JUNE-2026'!$A$4:$ADJ$113,MATCH('FY-(26-27)Q1'!$K$2:$L$2,'JUNE-2026'!$A$2:$DK$2,0),0),0)</f>
        <v>0</v>
      </c>
      <c r="M15" s="71">
        <f t="shared" ref="M15" si="12">G15+I15+K15</f>
        <v>-102100</v>
      </c>
      <c r="N15" s="166">
        <f t="shared" ref="N15" si="13">H15+J15+L15</f>
        <v>-0.34033333333333332</v>
      </c>
      <c r="O15" s="215"/>
      <c r="P15" s="153">
        <f>IFERROR(VLOOKUP($A$3:$A$139,'FY-(26-27)Q2'!$A$4:$ABW$124,MATCH('FY-(26-27)Q1'!$P$2:$Q$2,'FY-(26-27)Q2'!$A$2:$BX$2,0),0),0)</f>
        <v>0</v>
      </c>
      <c r="Q15" s="155">
        <f>IFERROR(VLOOKUP($A$3:$A$139,'FY-(26-27)Q2'!$A$4:$ABW$124,MATCH('FY-(26-27)Q1'!$P$2:$Q$2,'FY-(26-27)Q2'!$A$2:$BX$2,0),0),0)</f>
        <v>0</v>
      </c>
      <c r="R15" s="159"/>
      <c r="S15" s="153">
        <f>IFERROR(VLOOKUP($A$4:$A$74,#REF!,MATCH('FY-(26-27)Q1'!$S$2:$T$2,#REF!,0),0),0)</f>
        <v>0</v>
      </c>
      <c r="T15" s="159">
        <f>IFERROR(VLOOKUP($A$4:$A$74,#REF!,MATCH('FY-(26-27)Q1'!$S$2:$T$2,#REF!,0),0),0)</f>
        <v>0</v>
      </c>
      <c r="U15" s="159"/>
      <c r="V15" s="144"/>
      <c r="W15" s="150"/>
      <c r="X15" s="132"/>
      <c r="Y15" s="154">
        <f t="shared" si="0"/>
        <v>-102100</v>
      </c>
      <c r="Z15" s="168">
        <f t="shared" si="1"/>
        <v>-0.34033333333333332</v>
      </c>
    </row>
    <row r="16" spans="1:26" ht="15" customHeight="1" x14ac:dyDescent="0.25">
      <c r="A16" s="143" t="s">
        <v>189</v>
      </c>
      <c r="B16" s="141" t="s">
        <v>183</v>
      </c>
      <c r="C16" s="141" t="s">
        <v>179</v>
      </c>
      <c r="D16" s="143" t="s">
        <v>112</v>
      </c>
      <c r="E16" s="143" t="s">
        <v>256</v>
      </c>
      <c r="F16" s="157">
        <v>3</v>
      </c>
      <c r="G16" s="153">
        <f>IFERROR(VLOOKUP($A$3:$A$139,'APR-2026'!$A$4:$ABX$112,MATCH('FY-(26-27)Q1'!$G$2:$H$2,'APR-2026'!$A$2:$BY$2,0),0),0)</f>
        <v>63500</v>
      </c>
      <c r="H16" s="155">
        <f>IFERROR(VLOOKUP($A$3:$A$139,'APR-2026'!$A$4:$ABX$112,MATCH('FY-(26-27)Q1'!$G$2:$H$2,'APR-2026'!$A$2:$BY$2,0),0),0)</f>
        <v>0.2116666666666667</v>
      </c>
      <c r="I16" s="153">
        <f>IFERROR(VLOOKUP($A$3:$A$139,'MAY-2026'!$A$4:$ACP$113,MATCH('FY-(26-27)Q1'!$I$2:$J$2,'MAY-2026'!$A$2:$CQ$2,0),0),0)</f>
        <v>-244500</v>
      </c>
      <c r="J16" s="155">
        <f>IFERROR(VLOOKUP($A$3:$A$139,'MAY-2026'!$A$4:$ACP$113,MATCH('FY-(26-27)Q1'!$I$2:$J$2,'MAY-2026'!$A$2:$CQ$2,0),0),0)</f>
        <v>-0.81499999999999995</v>
      </c>
      <c r="K16" s="153">
        <f>IFERROR(VLOOKUP($A$3:$A$139,'JUNE-2026'!$A$4:$ADJ$113,MATCH('FY-(26-27)Q1'!$K$2:$L$2,'JUNE-2026'!$A$2:$DK$2,0),0),0)</f>
        <v>0</v>
      </c>
      <c r="L16" s="155">
        <f>IFERROR(VLOOKUP($A$3:$A$139,'JUNE-2026'!$A$4:$ADJ$113,MATCH('FY-(26-27)Q1'!$K$2:$L$2,'JUNE-2026'!$A$2:$DK$2,0),0),0)</f>
        <v>0</v>
      </c>
      <c r="M16" s="71">
        <f t="shared" si="2"/>
        <v>-181000</v>
      </c>
      <c r="N16" s="166">
        <f t="shared" si="3"/>
        <v>-0.60333333333333328</v>
      </c>
      <c r="O16" s="215"/>
      <c r="P16" s="153">
        <f>IFERROR(VLOOKUP($A$3:$A$139,'FY-(26-27)Q2'!$A$4:$ABW$124,MATCH('FY-(26-27)Q1'!$P$2:$Q$2,'FY-(26-27)Q2'!$A$2:$BX$2,0),0),0)</f>
        <v>0</v>
      </c>
      <c r="Q16" s="155">
        <f>IFERROR(VLOOKUP($A$3:$A$139,'FY-(26-27)Q2'!$A$4:$ABW$124,MATCH('FY-(26-27)Q1'!$P$2:$Q$2,'FY-(26-27)Q2'!$A$2:$BX$2,0),0),0)</f>
        <v>0</v>
      </c>
      <c r="R16" s="159"/>
      <c r="S16" s="153">
        <f>IFERROR(VLOOKUP($A$4:$A$74,#REF!,MATCH('FY-(26-27)Q1'!$S$2:$T$2,#REF!,0),0),0)</f>
        <v>0</v>
      </c>
      <c r="T16" s="159">
        <f>IFERROR(VLOOKUP($A$4:$A$74,#REF!,MATCH('FY-(26-27)Q1'!$S$2:$T$2,#REF!,0),0),0)</f>
        <v>0</v>
      </c>
      <c r="U16" s="159"/>
      <c r="V16" s="144"/>
      <c r="W16" s="150"/>
      <c r="X16" s="1"/>
      <c r="Y16" s="154">
        <f t="shared" si="0"/>
        <v>-181000</v>
      </c>
      <c r="Z16" s="168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3">
        <f>IFERROR(VLOOKUP($A$3:$A$139,'APR-2026'!$A$4:$ABX$112,MATCH('FY-(26-27)Q1'!$G$2:$H$2,'APR-2026'!$A$2:$BY$2,0),0),0)</f>
        <v>460500</v>
      </c>
      <c r="H17" s="155">
        <f>IFERROR(VLOOKUP($A$3:$A$139,'APR-2026'!$A$4:$ABX$112,MATCH('FY-(26-27)Q1'!$G$2:$H$2,'APR-2026'!$A$2:$BY$2,0),0),0)</f>
        <v>1.5349999999999999</v>
      </c>
      <c r="I17" s="153">
        <f>IFERROR(VLOOKUP($A$3:$A$139,'MAY-2026'!$A$4:$ACP$113,MATCH('FY-(26-27)Q1'!$I$2:$J$2,'MAY-2026'!$A$2:$CQ$2,0),0),0)</f>
        <v>-255000</v>
      </c>
      <c r="J17" s="155">
        <f>IFERROR(VLOOKUP($A$3:$A$139,'MAY-2026'!$A$4:$ACP$113,MATCH('FY-(26-27)Q1'!$I$2:$J$2,'MAY-2026'!$A$2:$CQ$2,0),0),0)</f>
        <v>-0.63749999999999996</v>
      </c>
      <c r="K17" s="153">
        <f>IFERROR(VLOOKUP($A$3:$A$139,'JUNE-2026'!$A$4:$ADJ$113,MATCH('FY-(26-27)Q1'!$K$2:$L$2,'JUNE-2026'!$A$2:$DK$2,0),0),0)</f>
        <v>0</v>
      </c>
      <c r="L17" s="155">
        <f>IFERROR(VLOOKUP($A$3:$A$139,'JUNE-2026'!$A$4:$ADJ$113,MATCH('FY-(26-27)Q1'!$K$2:$L$2,'JUNE-2026'!$A$2:$DK$2,0),0),0)</f>
        <v>0</v>
      </c>
      <c r="M17" s="71">
        <f t="shared" si="2"/>
        <v>205500</v>
      </c>
      <c r="N17" s="166">
        <f t="shared" si="3"/>
        <v>0.89749999999999996</v>
      </c>
      <c r="O17" s="215"/>
      <c r="P17" s="153">
        <f>IFERROR(VLOOKUP($A$3:$A$139,'FY-(26-27)Q2'!$A$4:$ABW$124,MATCH('FY-(26-27)Q1'!$P$2:$Q$2,'FY-(26-27)Q2'!$A$2:$BX$2,0),0),0)</f>
        <v>0</v>
      </c>
      <c r="Q17" s="155">
        <f>IFERROR(VLOOKUP($A$3:$A$139,'FY-(26-27)Q2'!$A$4:$ABW$124,MATCH('FY-(26-27)Q1'!$P$2:$Q$2,'FY-(26-27)Q2'!$A$2:$BX$2,0),0),0)</f>
        <v>0</v>
      </c>
      <c r="R17" s="159"/>
      <c r="S17" s="88">
        <f>IFERROR(VLOOKUP($A$4:$A$74,#REF!,MATCH('FY-(26-27)Q1'!$S$2:$T$2,#REF!,0),0),0)</f>
        <v>0</v>
      </c>
      <c r="T17" s="124">
        <f>IFERROR(VLOOKUP($A$4:$A$74,#REF!,MATCH('FY-(26-27)Q1'!$S$2:$T$2,#REF!,0),0),0)</f>
        <v>0</v>
      </c>
      <c r="U17" s="159"/>
      <c r="V17" s="45"/>
      <c r="W17" s="72"/>
      <c r="Y17" s="154">
        <f t="shared" si="0"/>
        <v>205500</v>
      </c>
      <c r="Z17" s="168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3" t="s">
        <v>259</v>
      </c>
      <c r="E18" s="39" t="s">
        <v>256</v>
      </c>
      <c r="F18" s="117">
        <v>6</v>
      </c>
      <c r="G18" s="153">
        <f>IFERROR(VLOOKUP($A$3:$A$139,'APR-2026'!$A$4:$ABX$112,MATCH('FY-(26-27)Q1'!$G$2:$H$2,'APR-2026'!$A$2:$BY$2,0),0),0)</f>
        <v>-168658</v>
      </c>
      <c r="H18" s="155">
        <f>IFERROR(VLOOKUP($A$3:$A$139,'APR-2026'!$A$4:$ABX$112,MATCH('FY-(26-27)Q1'!$G$2:$H$2,'APR-2026'!$A$2:$BY$2,0),0),0)</f>
        <v>-3.3731599999999999</v>
      </c>
      <c r="I18" s="153">
        <f>IFERROR(VLOOKUP($A$3:$A$139,'MAY-2026'!$A$4:$ACP$113,MATCH('FY-(26-27)Q1'!$I$2:$J$2,'MAY-2026'!$A$2:$CQ$2,0),0),0)</f>
        <v>-103041</v>
      </c>
      <c r="J18" s="155">
        <f>IFERROR(VLOOKUP($A$3:$A$139,'MAY-2026'!$A$4:$ACP$113,MATCH('FY-(26-27)Q1'!$I$2:$J$2,'MAY-2026'!$A$2:$CQ$2,0),0),0)</f>
        <v>-0.171735</v>
      </c>
      <c r="K18" s="153">
        <f>IFERROR(VLOOKUP($A$3:$A$139,'JUNE-2026'!$A$4:$ADJ$113,MATCH('FY-(26-27)Q1'!$K$2:$L$2,'JUNE-2026'!$A$2:$DK$2,0),0),0)</f>
        <v>76365</v>
      </c>
      <c r="L18" s="155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6">
        <f t="shared" si="3"/>
        <v>-3.4176199999999999</v>
      </c>
      <c r="O18" s="215"/>
      <c r="P18" s="153">
        <f>IFERROR(VLOOKUP($A$3:$A$139,'FY-(26-27)Q2'!$A$4:$ABW$124,MATCH('FY-(26-27)Q1'!$P$2:$Q$2,'FY-(26-27)Q2'!$A$2:$BX$2,0),0),0)</f>
        <v>295645</v>
      </c>
      <c r="Q18" s="155">
        <f>IFERROR(VLOOKUP($A$3:$A$139,'FY-(26-27)Q2'!$A$4:$ABW$124,MATCH('FY-(26-27)Q1'!$P$2:$Q$2,'FY-(26-27)Q2'!$A$2:$BX$2,0),0),0)</f>
        <v>0.49274166666666674</v>
      </c>
      <c r="R18" s="159"/>
      <c r="S18" s="88">
        <f>IFERROR(VLOOKUP($A$4:$A$74,#REF!,MATCH('FY-(26-27)Q1'!$S$2:$T$2,#REF!,0),0),0)</f>
        <v>0</v>
      </c>
      <c r="T18" s="124">
        <f>IFERROR(VLOOKUP($A$4:$A$74,#REF!,MATCH('FY-(26-27)Q1'!$S$2:$T$2,#REF!,0),0),0)</f>
        <v>0</v>
      </c>
      <c r="U18" s="159"/>
      <c r="V18" s="45"/>
      <c r="W18" s="72"/>
      <c r="Y18" s="154">
        <f t="shared" si="0"/>
        <v>100311</v>
      </c>
      <c r="Z18" s="168">
        <f t="shared" si="1"/>
        <v>-2.924878333333333</v>
      </c>
    </row>
    <row r="19" spans="1:34" s="132" customFormat="1" ht="15" customHeight="1" x14ac:dyDescent="0.25">
      <c r="A19" s="143" t="s">
        <v>42</v>
      </c>
      <c r="B19" s="141" t="s">
        <v>230</v>
      </c>
      <c r="C19" s="141" t="s">
        <v>85</v>
      </c>
      <c r="D19" s="143" t="s">
        <v>107</v>
      </c>
      <c r="E19" s="143" t="s">
        <v>107</v>
      </c>
      <c r="F19" s="157">
        <v>1</v>
      </c>
      <c r="G19" s="153">
        <f>IFERROR(VLOOKUP($A$3:$A$139,'APR-2026'!$A$4:$ABX$112,MATCH('FY-(26-27)Q1'!$G$2:$H$2,'APR-2026'!$A$2:$BY$2,0),0),0)</f>
        <v>4927</v>
      </c>
      <c r="H19" s="155">
        <f>IFERROR(VLOOKUP($A$3:$A$139,'APR-2026'!$A$4:$ABX$112,MATCH('FY-(26-27)Q1'!$G$2:$H$2,'APR-2026'!$A$2:$BY$2,0),0),0)</f>
        <v>4.9270000000000001E-2</v>
      </c>
      <c r="I19" s="153">
        <f>IFERROR(VLOOKUP($A$3:$A$139,'MAY-2026'!$A$4:$ACP$113,MATCH('FY-(26-27)Q1'!$I$2:$J$2,'MAY-2026'!$A$2:$CQ$2,0),0),0)</f>
        <v>1404</v>
      </c>
      <c r="J19" s="155">
        <f>IFERROR(VLOOKUP($A$3:$A$139,'MAY-2026'!$A$4:$ACP$113,MATCH('FY-(26-27)Q1'!$I$2:$J$2,'MAY-2026'!$A$2:$CQ$2,0),0),0)</f>
        <v>1.404E-2</v>
      </c>
      <c r="K19" s="153">
        <f>IFERROR(VLOOKUP($A$3:$A$139,'JUNE-2026'!$A$4:$ADJ$113,MATCH('FY-(26-27)Q1'!$K$2:$L$2,'JUNE-2026'!$A$2:$DK$2,0),0),0)</f>
        <v>-2652</v>
      </c>
      <c r="L19" s="155">
        <f>IFERROR(VLOOKUP($A$3:$A$139,'JUNE-2026'!$A$4:$ADJ$113,MATCH('FY-(26-27)Q1'!$K$2:$L$2,'JUNE-2026'!$A$2:$DK$2,0),0),0)</f>
        <v>-2.6519999999999998E-2</v>
      </c>
      <c r="M19" s="71">
        <f t="shared" ref="M19" si="14">G19+I19+K19</f>
        <v>3679</v>
      </c>
      <c r="N19" s="166">
        <f t="shared" ref="N19" si="15">H19+J19+L19</f>
        <v>3.6790000000000003E-2</v>
      </c>
      <c r="O19" s="215"/>
      <c r="P19" s="153">
        <f>IFERROR(VLOOKUP($A$3:$A$139,'FY-(26-27)Q2'!$A$4:$ABW$124,MATCH('FY-(26-27)Q1'!$P$2:$Q$2,'FY-(26-27)Q2'!$A$2:$BX$2,0),0),0)</f>
        <v>9309</v>
      </c>
      <c r="Q19" s="155">
        <f>IFERROR(VLOOKUP($A$3:$A$139,'FY-(26-27)Q2'!$A$4:$ABW$124,MATCH('FY-(26-27)Q1'!$P$2:$Q$2,'FY-(26-27)Q2'!$A$2:$BX$2,0),0),0)</f>
        <v>9.3090000000000006E-2</v>
      </c>
      <c r="R19" s="159"/>
      <c r="S19" s="153">
        <f>IFERROR(VLOOKUP($A$4:$A$74,#REF!,MATCH('FY-(26-27)Q1'!$S$2:$T$2,#REF!,0),0),0)</f>
        <v>0</v>
      </c>
      <c r="T19" s="159">
        <f>IFERROR(VLOOKUP($A$4:$A$74,#REF!,MATCH('FY-(26-27)Q1'!$S$2:$T$2,#REF!,0),0),0)</f>
        <v>0</v>
      </c>
      <c r="U19" s="159"/>
      <c r="V19" s="144"/>
      <c r="W19" s="150"/>
      <c r="Y19" s="154">
        <f t="shared" si="0"/>
        <v>12988</v>
      </c>
      <c r="Z19" s="168">
        <f t="shared" si="1"/>
        <v>0.12988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3">
        <f>IFERROR(VLOOKUP($A$3:$A$139,'APR-2026'!$A$4:$ABX$112,MATCH('FY-(26-27)Q1'!$G$2:$H$2,'APR-2026'!$A$2:$BY$2,0),0),0)</f>
        <v>1240967</v>
      </c>
      <c r="H20" s="155">
        <f>IFERROR(VLOOKUP($A$3:$A$139,'APR-2026'!$A$4:$ABX$112,MATCH('FY-(26-27)Q1'!$G$2:$H$2,'APR-2026'!$A$2:$BY$2,0),0),0)</f>
        <v>12.40967</v>
      </c>
      <c r="I20" s="153">
        <f>IFERROR(VLOOKUP($A$3:$A$139,'MAY-2026'!$A$4:$ACP$113,MATCH('FY-(26-27)Q1'!$I$2:$J$2,'MAY-2026'!$A$2:$CQ$2,0),0),0)</f>
        <v>0</v>
      </c>
      <c r="J20" s="155">
        <f>IFERROR(VLOOKUP($A$3:$A$139,'MAY-2026'!$A$4:$ACP$113,MATCH('FY-(26-27)Q1'!$I$2:$J$2,'MAY-2026'!$A$2:$CQ$2,0),0),0)</f>
        <v>0</v>
      </c>
      <c r="K20" s="153">
        <f>IFERROR(VLOOKUP($A$3:$A$139,'JUNE-2026'!$A$4:$ADJ$113,MATCH('FY-(26-27)Q1'!$K$2:$L$2,'JUNE-2026'!$A$2:$DK$2,0),0),0)</f>
        <v>0</v>
      </c>
      <c r="L20" s="155">
        <f>IFERROR(VLOOKUP($A$3:$A$139,'JUNE-2026'!$A$4:$ADJ$113,MATCH('FY-(26-27)Q1'!$K$2:$L$2,'JUNE-2026'!$A$2:$DK$2,0),0),0)</f>
        <v>0</v>
      </c>
      <c r="M20" s="71">
        <f t="shared" si="2"/>
        <v>1240967</v>
      </c>
      <c r="N20" s="166">
        <f t="shared" si="3"/>
        <v>12.40967</v>
      </c>
      <c r="O20" s="215"/>
      <c r="P20" s="153">
        <f>IFERROR(VLOOKUP($A$3:$A$139,'FY-(26-27)Q2'!$A$4:$ABW$124,MATCH('FY-(26-27)Q1'!$P$2:$Q$2,'FY-(26-27)Q2'!$A$2:$BX$2,0),0),0)</f>
        <v>0</v>
      </c>
      <c r="Q20" s="155">
        <f>IFERROR(VLOOKUP($A$3:$A$139,'FY-(26-27)Q2'!$A$4:$ABW$124,MATCH('FY-(26-27)Q1'!$P$2:$Q$2,'FY-(26-27)Q2'!$A$2:$BX$2,0),0),0)</f>
        <v>0</v>
      </c>
      <c r="R20" s="159"/>
      <c r="S20" s="88">
        <f>IFERROR(VLOOKUP($A$4:$A$74,#REF!,MATCH('FY-(26-27)Q1'!$S$2:$T$2,#REF!,0),0),0)</f>
        <v>0</v>
      </c>
      <c r="T20" s="124">
        <f>IFERROR(VLOOKUP($A$4:$A$74,#REF!,MATCH('FY-(26-27)Q1'!$S$2:$T$2,#REF!,0),0),0)</f>
        <v>0</v>
      </c>
      <c r="U20" s="159"/>
      <c r="V20" s="45"/>
      <c r="W20" s="72"/>
      <c r="X20" s="132"/>
      <c r="Y20" s="154">
        <f t="shared" si="0"/>
        <v>1240967</v>
      </c>
      <c r="Z20" s="168">
        <f t="shared" si="1"/>
        <v>12.40967</v>
      </c>
      <c r="AA20" s="132"/>
      <c r="AB20" s="132"/>
      <c r="AC20" s="132"/>
      <c r="AD20" s="132"/>
      <c r="AE20" s="132"/>
      <c r="AF20" s="132"/>
      <c r="AG20" s="132"/>
      <c r="AH20" s="132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3">
        <f>IFERROR(VLOOKUP($A$3:$A$139,'APR-2026'!$A$4:$ABX$112,MATCH('FY-(26-27)Q1'!$G$2:$H$2,'APR-2026'!$A$2:$BY$2,0),0),0)</f>
        <v>0</v>
      </c>
      <c r="H21" s="155">
        <f>IFERROR(VLOOKUP($A$3:$A$139,'APR-2026'!$A$4:$ABX$112,MATCH('FY-(26-27)Q1'!$G$2:$H$2,'APR-2026'!$A$2:$BY$2,0),0),0)</f>
        <v>0</v>
      </c>
      <c r="I21" s="153">
        <f>IFERROR(VLOOKUP($A$3:$A$139,'MAY-2026'!$A$4:$ACP$113,MATCH('FY-(26-27)Q1'!$I$2:$J$2,'MAY-2026'!$A$2:$CQ$2,0),0),0)</f>
        <v>-35229</v>
      </c>
      <c r="J21" s="155">
        <f>IFERROR(VLOOKUP($A$3:$A$139,'MAY-2026'!$A$4:$ACP$113,MATCH('FY-(26-27)Q1'!$I$2:$J$2,'MAY-2026'!$A$2:$CQ$2,0),0),0)</f>
        <v>-0.35228999999999999</v>
      </c>
      <c r="K21" s="153">
        <f>IFERROR(VLOOKUP($A$3:$A$139,'JUNE-2026'!$A$4:$ADJ$113,MATCH('FY-(26-27)Q1'!$K$2:$L$2,'JUNE-2026'!$A$2:$DK$2,0),0),0)</f>
        <v>-232187</v>
      </c>
      <c r="L21" s="155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6">
        <f t="shared" si="3"/>
        <v>-2.6741600000000001</v>
      </c>
      <c r="O21" s="215"/>
      <c r="P21" s="153">
        <f>IFERROR(VLOOKUP($A$3:$A$139,'FY-(26-27)Q2'!$A$4:$ABW$124,MATCH('FY-(26-27)Q1'!$P$2:$Q$2,'FY-(26-27)Q2'!$A$2:$BX$2,0),0),0)</f>
        <v>41816</v>
      </c>
      <c r="Q21" s="155">
        <f>IFERROR(VLOOKUP($A$3:$A$139,'FY-(26-27)Q2'!$A$4:$ABW$124,MATCH('FY-(26-27)Q1'!$P$2:$Q$2,'FY-(26-27)Q2'!$A$2:$BX$2,0),0),0)</f>
        <v>0.16726399999999994</v>
      </c>
      <c r="R21" s="159"/>
      <c r="S21" s="88">
        <f>IFERROR(VLOOKUP($A$4:$A$74,#REF!,MATCH('FY-(26-27)Q1'!$S$2:$T$2,#REF!,0),0),0)</f>
        <v>0</v>
      </c>
      <c r="T21" s="124">
        <f>IFERROR(VLOOKUP($A$4:$A$74,#REF!,MATCH('FY-(26-27)Q1'!$S$2:$T$2,#REF!,0),0),0)</f>
        <v>0</v>
      </c>
      <c r="U21" s="159"/>
      <c r="V21" s="45"/>
      <c r="W21" s="72"/>
      <c r="Y21" s="154">
        <f t="shared" si="0"/>
        <v>-225600</v>
      </c>
      <c r="Z21" s="168">
        <f t="shared" si="1"/>
        <v>-2.5068960000000002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3">
        <f>IFERROR(VLOOKUP($A$3:$A$139,'APR-2026'!$A$4:$ABX$112,MATCH('FY-(26-27)Q1'!$G$2:$H$2,'APR-2026'!$A$2:$BY$2,0),0),0)</f>
        <v>0</v>
      </c>
      <c r="H22" s="155">
        <f>IFERROR(VLOOKUP($A$3:$A$139,'APR-2026'!$A$4:$ABX$112,MATCH('FY-(26-27)Q1'!$G$2:$H$2,'APR-2026'!$A$2:$BY$2,0),0),0)</f>
        <v>0</v>
      </c>
      <c r="I22" s="153">
        <f>IFERROR(VLOOKUP($A$3:$A$139,'MAY-2026'!$A$4:$ACP$113,MATCH('FY-(26-27)Q1'!$I$2:$J$2,'MAY-2026'!$A$2:$CQ$2,0),0),0)</f>
        <v>-88900</v>
      </c>
      <c r="J22" s="155">
        <f>IFERROR(VLOOKUP($A$3:$A$139,'MAY-2026'!$A$4:$ACP$113,MATCH('FY-(26-27)Q1'!$I$2:$J$2,'MAY-2026'!$A$2:$CQ$2,0),0),0)</f>
        <v>-0.88900000000000001</v>
      </c>
      <c r="K22" s="153">
        <f>IFERROR(VLOOKUP($A$3:$A$139,'JUNE-2026'!$A$4:$ADJ$113,MATCH('FY-(26-27)Q1'!$K$2:$L$2,'JUNE-2026'!$A$2:$DK$2,0),0),0)</f>
        <v>0</v>
      </c>
      <c r="L22" s="155">
        <f>IFERROR(VLOOKUP($A$3:$A$139,'JUNE-2026'!$A$4:$ADJ$113,MATCH('FY-(26-27)Q1'!$K$2:$L$2,'JUNE-2026'!$A$2:$DK$2,0),0),0)</f>
        <v>0</v>
      </c>
      <c r="M22" s="71">
        <f t="shared" si="2"/>
        <v>-88900</v>
      </c>
      <c r="N22" s="166">
        <f t="shared" si="3"/>
        <v>-0.88900000000000001</v>
      </c>
      <c r="O22" s="215"/>
      <c r="P22" s="153">
        <f>IFERROR(VLOOKUP($A$3:$A$139,'FY-(26-27)Q2'!$A$4:$ABW$124,MATCH('FY-(26-27)Q1'!$P$2:$Q$2,'FY-(26-27)Q2'!$A$2:$BX$2,0),0),0)</f>
        <v>-92905</v>
      </c>
      <c r="Q22" s="155">
        <f>IFERROR(VLOOKUP($A$3:$A$139,'FY-(26-27)Q2'!$A$4:$ABW$124,MATCH('FY-(26-27)Q1'!$P$2:$Q$2,'FY-(26-27)Q2'!$A$2:$BX$2,0),0),0)</f>
        <v>-0.42229545454545453</v>
      </c>
      <c r="R22" s="159"/>
      <c r="S22" s="88">
        <f>IFERROR(VLOOKUP($A$4:$A$74,#REF!,MATCH('FY-(26-27)Q1'!$S$2:$T$2,#REF!,0),0),0)</f>
        <v>0</v>
      </c>
      <c r="T22" s="124">
        <f>IFERROR(VLOOKUP($A$4:$A$74,#REF!,MATCH('FY-(26-27)Q1'!$S$2:$T$2,#REF!,0),0),0)</f>
        <v>0</v>
      </c>
      <c r="U22" s="159"/>
      <c r="V22" s="45"/>
      <c r="W22" s="72"/>
      <c r="Y22" s="154">
        <f t="shared" si="0"/>
        <v>-181805</v>
      </c>
      <c r="Z22" s="168">
        <f t="shared" si="1"/>
        <v>-1.3112954545454545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3">
        <f>IFERROR(VLOOKUP($A$3:$A$139,'APR-2026'!$A$4:$ABX$112,MATCH('FY-(26-27)Q1'!$G$2:$H$2,'APR-2026'!$A$2:$BY$2,0),0),0)</f>
        <v>141000</v>
      </c>
      <c r="H23" s="155">
        <f>IFERROR(VLOOKUP($A$3:$A$139,'APR-2026'!$A$4:$ABX$112,MATCH('FY-(26-27)Q1'!$G$2:$H$2,'APR-2026'!$A$2:$BY$2,0),0),0)</f>
        <v>1.41</v>
      </c>
      <c r="I23" s="153">
        <f>IFERROR(VLOOKUP($A$3:$A$139,'MAY-2026'!$A$4:$ACP$113,MATCH('FY-(26-27)Q1'!$I$2:$J$2,'MAY-2026'!$A$2:$CQ$2,0),0),0)</f>
        <v>-66086</v>
      </c>
      <c r="J23" s="155">
        <f>IFERROR(VLOOKUP($A$3:$A$139,'MAY-2026'!$A$4:$ACP$113,MATCH('FY-(26-27)Q1'!$I$2:$J$2,'MAY-2026'!$A$2:$CQ$2,0),0),0)</f>
        <v>-0.66086</v>
      </c>
      <c r="K23" s="153">
        <f>IFERROR(VLOOKUP($A$3:$A$139,'JUNE-2026'!$A$4:$ADJ$113,MATCH('FY-(26-27)Q1'!$K$2:$L$2,'JUNE-2026'!$A$2:$DK$2,0),0),0)</f>
        <v>-8863</v>
      </c>
      <c r="L23" s="155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6">
        <f t="shared" si="3"/>
        <v>0.66050999999999993</v>
      </c>
      <c r="O23" s="215"/>
      <c r="P23" s="153">
        <f>IFERROR(VLOOKUP($A$3:$A$139,'FY-(26-27)Q2'!$A$4:$ABW$124,MATCH('FY-(26-27)Q1'!$P$2:$Q$2,'FY-(26-27)Q2'!$A$2:$BX$2,0),0),0)</f>
        <v>7426</v>
      </c>
      <c r="Q23" s="155">
        <f>IFERROR(VLOOKUP($A$3:$A$139,'FY-(26-27)Q2'!$A$4:$ABW$124,MATCH('FY-(26-27)Q1'!$P$2:$Q$2,'FY-(26-27)Q2'!$A$2:$BX$2,0),0),0)</f>
        <v>7.4260000000000007E-2</v>
      </c>
      <c r="R23" s="159"/>
      <c r="S23" s="88">
        <f>IFERROR(VLOOKUP($A$4:$A$74,#REF!,MATCH('FY-(26-27)Q1'!$S$2:$T$2,#REF!,0),0),0)</f>
        <v>0</v>
      </c>
      <c r="T23" s="124">
        <f>IFERROR(VLOOKUP($A$4:$A$74,#REF!,MATCH('FY-(26-27)Q1'!$S$2:$T$2,#REF!,0),0),0)</f>
        <v>0</v>
      </c>
      <c r="U23" s="159"/>
      <c r="V23" s="45"/>
      <c r="W23" s="72"/>
      <c r="Y23" s="154">
        <f t="shared" si="0"/>
        <v>73477</v>
      </c>
      <c r="Z23" s="168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3">
        <f>IFERROR(VLOOKUP($A$3:$A$139,'APR-2026'!$A$4:$ABX$112,MATCH('FY-(26-27)Q1'!$G$2:$H$2,'APR-2026'!$A$2:$BY$2,0),0),0)</f>
        <v>1642522</v>
      </c>
      <c r="H24" s="155">
        <f>IFERROR(VLOOKUP($A$3:$A$139,'APR-2026'!$A$4:$ABX$112,MATCH('FY-(26-27)Q1'!$G$2:$H$2,'APR-2026'!$A$2:$BY$2,0),0),0)</f>
        <v>16.425219999999999</v>
      </c>
      <c r="I24" s="153">
        <f>IFERROR(VLOOKUP($A$3:$A$139,'MAY-2026'!$A$4:$ACP$113,MATCH('FY-(26-27)Q1'!$I$2:$J$2,'MAY-2026'!$A$2:$CQ$2,0),0),0)</f>
        <v>42324</v>
      </c>
      <c r="J24" s="155">
        <f>IFERROR(VLOOKUP($A$3:$A$139,'MAY-2026'!$A$4:$ACP$113,MATCH('FY-(26-27)Q1'!$I$2:$J$2,'MAY-2026'!$A$2:$CQ$2,0),0),0)</f>
        <v>0.42324000000000001</v>
      </c>
      <c r="K24" s="153">
        <f>IFERROR(VLOOKUP($A$3:$A$139,'JUNE-2026'!$A$4:$ADJ$113,MATCH('FY-(26-27)Q1'!$K$2:$L$2,'JUNE-2026'!$A$2:$DK$2,0),0),0)</f>
        <v>30499</v>
      </c>
      <c r="L24" s="155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6">
        <f t="shared" si="3"/>
        <v>17.153449999999999</v>
      </c>
      <c r="O24" s="215"/>
      <c r="P24" s="153">
        <f>IFERROR(VLOOKUP($A$3:$A$139,'FY-(26-27)Q2'!$A$4:$ABW$124,MATCH('FY-(26-27)Q1'!$P$2:$Q$2,'FY-(26-27)Q2'!$A$2:$BX$2,0),0),0)</f>
        <v>66986</v>
      </c>
      <c r="Q24" s="155">
        <f>IFERROR(VLOOKUP($A$3:$A$139,'FY-(26-27)Q2'!$A$4:$ABW$124,MATCH('FY-(26-27)Q1'!$P$2:$Q$2,'FY-(26-27)Q2'!$A$2:$BX$2,0),0),0)</f>
        <v>0.66986000000000001</v>
      </c>
      <c r="R24" s="159"/>
      <c r="S24" s="88">
        <f>IFERROR(VLOOKUP($A$4:$A$74,#REF!,MATCH('FY-(26-27)Q1'!$S$2:$T$2,#REF!,0),0),0)</f>
        <v>0</v>
      </c>
      <c r="T24" s="124">
        <f>IFERROR(VLOOKUP($A$4:$A$74,#REF!,MATCH('FY-(26-27)Q1'!$S$2:$T$2,#REF!,0),0),0)</f>
        <v>0</v>
      </c>
      <c r="U24" s="159"/>
      <c r="V24" s="45"/>
      <c r="W24" s="72"/>
      <c r="Y24" s="154">
        <f t="shared" si="0"/>
        <v>1782331</v>
      </c>
      <c r="Z24" s="168">
        <f t="shared" si="1"/>
        <v>17.823309999999999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3">
        <f>IFERROR(VLOOKUP($A$3:$A$139,'APR-2026'!$A$4:$ABX$112,MATCH('FY-(26-27)Q1'!$G$2:$H$2,'APR-2026'!$A$2:$BY$2,0),0),0)</f>
        <v>10517</v>
      </c>
      <c r="H25" s="155">
        <f>IFERROR(VLOOKUP($A$3:$A$139,'APR-2026'!$A$4:$ABX$112,MATCH('FY-(26-27)Q1'!$G$2:$H$2,'APR-2026'!$A$2:$BY$2,0),0),0)</f>
        <v>0.10517</v>
      </c>
      <c r="I25" s="153">
        <f>IFERROR(VLOOKUP($A$3:$A$139,'MAY-2026'!$A$4:$ACP$113,MATCH('FY-(26-27)Q1'!$I$2:$J$2,'MAY-2026'!$A$2:$CQ$2,0),0),0)</f>
        <v>25727</v>
      </c>
      <c r="J25" s="155">
        <f>IFERROR(VLOOKUP($A$3:$A$139,'MAY-2026'!$A$4:$ACP$113,MATCH('FY-(26-27)Q1'!$I$2:$J$2,'MAY-2026'!$A$2:$CQ$2,0),0),0)</f>
        <v>0.25727</v>
      </c>
      <c r="K25" s="153">
        <f>IFERROR(VLOOKUP($A$3:$A$139,'JUNE-2026'!$A$4:$ADJ$113,MATCH('FY-(26-27)Q1'!$K$2:$L$2,'JUNE-2026'!$A$2:$DK$2,0),0),0)</f>
        <v>-71637</v>
      </c>
      <c r="L25" s="155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6">
        <f t="shared" si="3"/>
        <v>-0.35392999999999997</v>
      </c>
      <c r="O25" s="215"/>
      <c r="P25" s="153">
        <f>IFERROR(VLOOKUP($A$3:$A$139,'FY-(26-27)Q2'!$A$4:$ABW$124,MATCH('FY-(26-27)Q1'!$P$2:$Q$2,'FY-(26-27)Q2'!$A$2:$BX$2,0),0),0)</f>
        <v>0</v>
      </c>
      <c r="Q25" s="155">
        <f>IFERROR(VLOOKUP($A$3:$A$139,'FY-(26-27)Q2'!$A$4:$ABW$124,MATCH('FY-(26-27)Q1'!$P$2:$Q$2,'FY-(26-27)Q2'!$A$2:$BX$2,0),0),0)</f>
        <v>0</v>
      </c>
      <c r="R25" s="159"/>
      <c r="S25" s="88">
        <f>IFERROR(VLOOKUP($A$4:$A$74,#REF!,MATCH('FY-(26-27)Q1'!$S$2:$T$2,#REF!,0),0),0)</f>
        <v>0</v>
      </c>
      <c r="T25" s="124">
        <f>IFERROR(VLOOKUP($A$4:$A$74,#REF!,MATCH('FY-(26-27)Q1'!$S$2:$T$2,#REF!,0),0),0)</f>
        <v>0</v>
      </c>
      <c r="U25" s="159"/>
      <c r="V25" s="45"/>
      <c r="W25" s="72"/>
      <c r="Y25" s="154">
        <f t="shared" si="0"/>
        <v>-35393</v>
      </c>
      <c r="Z25" s="168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3">
        <f>IFERROR(VLOOKUP($A$3:$A$139,'APR-2026'!$A$4:$ABX$112,MATCH('FY-(26-27)Q1'!$G$2:$H$2,'APR-2026'!$A$2:$BY$2,0),0),0)</f>
        <v>-45133</v>
      </c>
      <c r="H26" s="155">
        <f>IFERROR(VLOOKUP($A$3:$A$139,'APR-2026'!$A$4:$ABX$112,MATCH('FY-(26-27)Q1'!$G$2:$H$2,'APR-2026'!$A$2:$BY$2,0),0),0)</f>
        <v>-0.45133000000000001</v>
      </c>
      <c r="I26" s="153">
        <f>IFERROR(VLOOKUP($A$3:$A$139,'MAY-2026'!$A$4:$ACP$113,MATCH('FY-(26-27)Q1'!$I$2:$J$2,'MAY-2026'!$A$2:$CQ$2,0),0),0)</f>
        <v>-98600</v>
      </c>
      <c r="J26" s="155">
        <f>IFERROR(VLOOKUP($A$3:$A$139,'MAY-2026'!$A$4:$ACP$113,MATCH('FY-(26-27)Q1'!$I$2:$J$2,'MAY-2026'!$A$2:$CQ$2,0),0),0)</f>
        <v>-0.98599999999999999</v>
      </c>
      <c r="K26" s="153">
        <f>IFERROR(VLOOKUP($A$3:$A$139,'JUNE-2026'!$A$4:$ADJ$113,MATCH('FY-(26-27)Q1'!$K$2:$L$2,'JUNE-2026'!$A$2:$DK$2,0),0),0)</f>
        <v>-26270</v>
      </c>
      <c r="L26" s="155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6">
        <f t="shared" si="3"/>
        <v>-1.7000299999999999</v>
      </c>
      <c r="O26" s="215"/>
      <c r="P26" s="153">
        <f>IFERROR(VLOOKUP($A$3:$A$139,'FY-(26-27)Q2'!$A$4:$ABW$124,MATCH('FY-(26-27)Q1'!$P$2:$Q$2,'FY-(26-27)Q2'!$A$2:$BX$2,0),0),0)</f>
        <v>0</v>
      </c>
      <c r="Q26" s="155">
        <f>IFERROR(VLOOKUP($A$3:$A$139,'FY-(26-27)Q2'!$A$4:$ABW$124,MATCH('FY-(26-27)Q1'!$P$2:$Q$2,'FY-(26-27)Q2'!$A$2:$BX$2,0),0),0)</f>
        <v>0</v>
      </c>
      <c r="R26" s="159"/>
      <c r="S26" s="88">
        <f>IFERROR(VLOOKUP($A$4:$A$74,#REF!,MATCH('FY-(26-27)Q1'!$S$2:$T$2,#REF!,0),0),0)</f>
        <v>0</v>
      </c>
      <c r="T26" s="124">
        <f>IFERROR(VLOOKUP($A$4:$A$74,#REF!,MATCH('FY-(26-27)Q1'!$S$2:$T$2,#REF!,0),0),0)</f>
        <v>0</v>
      </c>
      <c r="U26" s="159"/>
      <c r="V26" s="45"/>
      <c r="W26" s="72"/>
      <c r="Y26" s="154">
        <f t="shared" si="0"/>
        <v>-170003</v>
      </c>
      <c r="Z26" s="168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3">
        <f>IFERROR(VLOOKUP($A$3:$A$139,'APR-2026'!$A$4:$ABX$112,MATCH('FY-(26-27)Q1'!$G$2:$H$2,'APR-2026'!$A$2:$BY$2,0),0),0)</f>
        <v>100262</v>
      </c>
      <c r="H27" s="155">
        <f>IFERROR(VLOOKUP($A$3:$A$139,'APR-2026'!$A$4:$ABX$112,MATCH('FY-(26-27)Q1'!$G$2:$H$2,'APR-2026'!$A$2:$BY$2,0),0),0)</f>
        <v>1.0026200000000001</v>
      </c>
      <c r="I27" s="153">
        <f>IFERROR(VLOOKUP($A$3:$A$139,'MAY-2026'!$A$4:$ACP$113,MATCH('FY-(26-27)Q1'!$I$2:$J$2,'MAY-2026'!$A$2:$CQ$2,0),0),0)</f>
        <v>-159139</v>
      </c>
      <c r="J27" s="155">
        <f>IFERROR(VLOOKUP($A$3:$A$139,'MAY-2026'!$A$4:$ACP$113,MATCH('FY-(26-27)Q1'!$I$2:$J$2,'MAY-2026'!$A$2:$CQ$2,0),0),0)</f>
        <v>-1.5913900000000001</v>
      </c>
      <c r="K27" s="153">
        <f>IFERROR(VLOOKUP($A$3:$A$139,'JUNE-2026'!$A$4:$ADJ$113,MATCH('FY-(26-27)Q1'!$K$2:$L$2,'JUNE-2026'!$A$2:$DK$2,0),0),0)</f>
        <v>5762</v>
      </c>
      <c r="L27" s="155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6">
        <f t="shared" si="3"/>
        <v>-0.53115000000000001</v>
      </c>
      <c r="O27" s="215"/>
      <c r="P27" s="153">
        <f>IFERROR(VLOOKUP($A$3:$A$139,'FY-(26-27)Q2'!$A$4:$ABW$124,MATCH('FY-(26-27)Q1'!$P$2:$Q$2,'FY-(26-27)Q2'!$A$2:$BX$2,0),0),0)</f>
        <v>0</v>
      </c>
      <c r="Q27" s="155">
        <f>IFERROR(VLOOKUP($A$3:$A$139,'FY-(26-27)Q2'!$A$4:$ABW$124,MATCH('FY-(26-27)Q1'!$P$2:$Q$2,'FY-(26-27)Q2'!$A$2:$BX$2,0),0),0)</f>
        <v>0</v>
      </c>
      <c r="R27" s="159"/>
      <c r="S27" s="88">
        <f>IFERROR(VLOOKUP($A$4:$A$74,#REF!,MATCH('FY-(26-27)Q1'!$S$2:$T$2,#REF!,0),0),0)</f>
        <v>0</v>
      </c>
      <c r="T27" s="124">
        <f>IFERROR(VLOOKUP($A$4:$A$74,#REF!,MATCH('FY-(26-27)Q1'!$S$2:$T$2,#REF!,0),0),0)</f>
        <v>0</v>
      </c>
      <c r="U27" s="159"/>
      <c r="V27" s="45"/>
      <c r="W27" s="72"/>
      <c r="Y27" s="154">
        <f t="shared" si="0"/>
        <v>-53115</v>
      </c>
      <c r="Z27" s="168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3">
        <f>IFERROR(VLOOKUP($A$3:$A$139,'APR-2026'!$A$4:$ABX$112,MATCH('FY-(26-27)Q1'!$G$2:$H$2,'APR-2026'!$A$2:$BY$2,0),0),0)</f>
        <v>308939</v>
      </c>
      <c r="H28" s="155">
        <f>IFERROR(VLOOKUP($A$3:$A$139,'APR-2026'!$A$4:$ABX$112,MATCH('FY-(26-27)Q1'!$G$2:$H$2,'APR-2026'!$A$2:$BY$2,0),0),0)</f>
        <v>1.2357560000000001</v>
      </c>
      <c r="I28" s="153">
        <f>IFERROR(VLOOKUP($A$3:$A$139,'MAY-2026'!$A$4:$ACP$113,MATCH('FY-(26-27)Q1'!$I$2:$J$2,'MAY-2026'!$A$2:$CQ$2,0),0),0)</f>
        <v>79409</v>
      </c>
      <c r="J28" s="155">
        <f>IFERROR(VLOOKUP($A$3:$A$139,'MAY-2026'!$A$4:$ACP$113,MATCH('FY-(26-27)Q1'!$I$2:$J$2,'MAY-2026'!$A$2:$CQ$2,0),0),0)</f>
        <v>0.31763599999999997</v>
      </c>
      <c r="K28" s="153">
        <f>IFERROR(VLOOKUP($A$3:$A$139,'JUNE-2026'!$A$4:$ADJ$113,MATCH('FY-(26-27)Q1'!$K$2:$L$2,'JUNE-2026'!$A$2:$DK$2,0),0),0)</f>
        <v>-30135</v>
      </c>
      <c r="L28" s="155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6">
        <f t="shared" si="3"/>
        <v>1.432852</v>
      </c>
      <c r="O28" s="215"/>
      <c r="P28" s="153">
        <f>IFERROR(VLOOKUP($A$3:$A$139,'FY-(26-27)Q2'!$A$4:$ABW$124,MATCH('FY-(26-27)Q1'!$P$2:$Q$2,'FY-(26-27)Q2'!$A$2:$BX$2,0),0),0)</f>
        <v>-63917</v>
      </c>
      <c r="Q28" s="155">
        <f>IFERROR(VLOOKUP($A$3:$A$139,'FY-(26-27)Q2'!$A$4:$ABW$124,MATCH('FY-(26-27)Q1'!$P$2:$Q$2,'FY-(26-27)Q2'!$A$2:$BX$2,0),0),0)</f>
        <v>-0.25566800000000001</v>
      </c>
      <c r="R28" s="159"/>
      <c r="S28" s="88">
        <f>IFERROR(VLOOKUP($A$4:$A$74,#REF!,MATCH('FY-(26-27)Q1'!$S$2:$T$2,#REF!,0),0),0)</f>
        <v>0</v>
      </c>
      <c r="T28" s="124">
        <f>IFERROR(VLOOKUP($A$4:$A$74,#REF!,MATCH('FY-(26-27)Q1'!$S$2:$T$2,#REF!,0),0),0)</f>
        <v>0</v>
      </c>
      <c r="U28" s="159"/>
      <c r="V28" s="45"/>
      <c r="W28" s="72"/>
      <c r="Y28" s="154">
        <f t="shared" si="0"/>
        <v>294296</v>
      </c>
      <c r="Z28" s="168">
        <f t="shared" si="1"/>
        <v>1.177184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3">
        <f>IFERROR(VLOOKUP($A$3:$A$139,'APR-2026'!$A$4:$ABX$112,MATCH('FY-(26-27)Q1'!$G$2:$H$2,'APR-2026'!$A$2:$BY$2,0),0),0)</f>
        <v>405124</v>
      </c>
      <c r="H29" s="155">
        <f>IFERROR(VLOOKUP($A$3:$A$139,'APR-2026'!$A$4:$ABX$112,MATCH('FY-(26-27)Q1'!$G$2:$H$2,'APR-2026'!$A$2:$BY$2,0),0),0)</f>
        <v>1.01281</v>
      </c>
      <c r="I29" s="153">
        <f>IFERROR(VLOOKUP($A$3:$A$139,'MAY-2026'!$A$4:$ACP$113,MATCH('FY-(26-27)Q1'!$I$2:$J$2,'MAY-2026'!$A$2:$CQ$2,0),0),0)</f>
        <v>-290952</v>
      </c>
      <c r="J29" s="155">
        <f>IFERROR(VLOOKUP($A$3:$A$139,'MAY-2026'!$A$4:$ACP$113,MATCH('FY-(26-27)Q1'!$I$2:$J$2,'MAY-2026'!$A$2:$CQ$2,0),0),0)</f>
        <v>-0.72738000000000003</v>
      </c>
      <c r="K29" s="153">
        <f>IFERROR(VLOOKUP($A$3:$A$139,'JUNE-2026'!$A$4:$ADJ$113,MATCH('FY-(26-27)Q1'!$K$2:$L$2,'JUNE-2026'!$A$2:$DK$2,0),0),0)</f>
        <v>556291</v>
      </c>
      <c r="L29" s="155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6">
        <f t="shared" si="3"/>
        <v>1.6761575</v>
      </c>
      <c r="O29" s="215"/>
      <c r="P29" s="153">
        <f>IFERROR(VLOOKUP($A$3:$A$139,'FY-(26-27)Q2'!$A$4:$ABW$124,MATCH('FY-(26-27)Q1'!$P$2:$Q$2,'FY-(26-27)Q2'!$A$2:$BX$2,0),0),0)</f>
        <v>267315</v>
      </c>
      <c r="Q29" s="155">
        <f>IFERROR(VLOOKUP($A$3:$A$139,'FY-(26-27)Q2'!$A$4:$ABW$124,MATCH('FY-(26-27)Q1'!$P$2:$Q$2,'FY-(26-27)Q2'!$A$2:$BX$2,0),0),0)</f>
        <v>0.66828749999999992</v>
      </c>
      <c r="R29" s="159"/>
      <c r="S29" s="88">
        <f>IFERROR(VLOOKUP($A$4:$A$74,#REF!,MATCH('FY-(26-27)Q1'!$S$2:$T$2,#REF!,0),0),0)</f>
        <v>0</v>
      </c>
      <c r="T29" s="124">
        <f>IFERROR(VLOOKUP($A$4:$A$74,#REF!,MATCH('FY-(26-27)Q1'!$S$2:$T$2,#REF!,0),0),0)</f>
        <v>0</v>
      </c>
      <c r="U29" s="159"/>
      <c r="V29" s="45"/>
      <c r="W29" s="72"/>
      <c r="X29" s="1"/>
      <c r="Y29" s="154">
        <f t="shared" si="0"/>
        <v>937778</v>
      </c>
      <c r="Z29" s="168">
        <f t="shared" si="1"/>
        <v>2.3444449999999999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3">
        <f>IFERROR(VLOOKUP($A$3:$A$139,'APR-2026'!$A$4:$ABX$112,MATCH('FY-(26-27)Q1'!$G$2:$H$2,'APR-2026'!$A$2:$BY$2,0),0),0)</f>
        <v>35922</v>
      </c>
      <c r="H30" s="155">
        <f>IFERROR(VLOOKUP($A$3:$A$139,'APR-2026'!$A$4:$ABX$112,MATCH('FY-(26-27)Q1'!$G$2:$H$2,'APR-2026'!$A$2:$BY$2,0),0),0)</f>
        <v>0.32656363636363633</v>
      </c>
      <c r="I30" s="153">
        <f>IFERROR(VLOOKUP($A$3:$A$139,'MAY-2026'!$A$4:$ACP$113,MATCH('FY-(26-27)Q1'!$I$2:$J$2,'MAY-2026'!$A$2:$CQ$2,0),0),0)</f>
        <v>-178282</v>
      </c>
      <c r="J30" s="155">
        <f>IFERROR(VLOOKUP($A$3:$A$139,'MAY-2026'!$A$4:$ACP$113,MATCH('FY-(26-27)Q1'!$I$2:$J$2,'MAY-2026'!$A$2:$CQ$2,0),0),0)</f>
        <v>-1.6207454545454545</v>
      </c>
      <c r="K30" s="153">
        <f>IFERROR(VLOOKUP($A$3:$A$139,'JUNE-2026'!$A$4:$ADJ$113,MATCH('FY-(26-27)Q1'!$K$2:$L$2,'JUNE-2026'!$A$2:$DK$2,0),0),0)</f>
        <v>142078</v>
      </c>
      <c r="L30" s="155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6">
        <f t="shared" si="3"/>
        <v>-2.5636363636363235E-3</v>
      </c>
      <c r="O30" s="215"/>
      <c r="P30" s="153">
        <f>IFERROR(VLOOKUP($A$3:$A$139,'FY-(26-27)Q2'!$A$4:$ABW$124,MATCH('FY-(26-27)Q1'!$P$2:$Q$2,'FY-(26-27)Q2'!$A$2:$BX$2,0),0),0)</f>
        <v>85624</v>
      </c>
      <c r="Q30" s="155">
        <f>IFERROR(VLOOKUP($A$3:$A$139,'FY-(26-27)Q2'!$A$4:$ABW$124,MATCH('FY-(26-27)Q1'!$P$2:$Q$2,'FY-(26-27)Q2'!$A$2:$BX$2,0),0),0)</f>
        <v>0.77839999999999987</v>
      </c>
      <c r="R30" s="159"/>
      <c r="S30" s="88">
        <f>IFERROR(VLOOKUP($A$4:$A$74,#REF!,MATCH('FY-(26-27)Q1'!$S$2:$T$2,#REF!,0),0),0)</f>
        <v>0</v>
      </c>
      <c r="T30" s="124">
        <f>IFERROR(VLOOKUP($A$4:$A$74,#REF!,MATCH('FY-(26-27)Q1'!$S$2:$T$2,#REF!,0),0),0)</f>
        <v>0</v>
      </c>
      <c r="U30" s="159"/>
      <c r="V30" s="45"/>
      <c r="W30" s="72"/>
      <c r="X30" s="1"/>
      <c r="Y30" s="154">
        <f t="shared" si="0"/>
        <v>85342</v>
      </c>
      <c r="Z30" s="168">
        <f t="shared" si="1"/>
        <v>0.77583636363636355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3">
        <f>IFERROR(VLOOKUP($A$3:$A$139,'APR-2026'!$A$4:$ABX$112,MATCH('FY-(26-27)Q1'!$G$2:$H$2,'APR-2026'!$A$2:$BY$2,0),0),0)</f>
        <v>10003</v>
      </c>
      <c r="H31" s="155">
        <f>IFERROR(VLOOKUP($A$3:$A$139,'APR-2026'!$A$4:$ABX$112,MATCH('FY-(26-27)Q1'!$G$2:$H$2,'APR-2026'!$A$2:$BY$2,0),0),0)</f>
        <v>0.40011999999999998</v>
      </c>
      <c r="I31" s="153">
        <f>IFERROR(VLOOKUP($A$3:$A$139,'MAY-2026'!$A$4:$ACP$113,MATCH('FY-(26-27)Q1'!$I$2:$J$2,'MAY-2026'!$A$2:$CQ$2,0),0),0)</f>
        <v>-76253</v>
      </c>
      <c r="J31" s="155">
        <f>IFERROR(VLOOKUP($A$3:$A$139,'MAY-2026'!$A$4:$ACP$113,MATCH('FY-(26-27)Q1'!$I$2:$J$2,'MAY-2026'!$A$2:$CQ$2,0),0),0)</f>
        <v>-3.0501200000000002</v>
      </c>
      <c r="K31" s="153">
        <f>IFERROR(VLOOKUP($A$3:$A$139,'JUNE-2026'!$A$4:$ADJ$113,MATCH('FY-(26-27)Q1'!$K$2:$L$2,'JUNE-2026'!$A$2:$DK$2,0),0),0)</f>
        <v>0</v>
      </c>
      <c r="L31" s="155">
        <f>IFERROR(VLOOKUP($A$3:$A$139,'JUNE-2026'!$A$4:$ADJ$113,MATCH('FY-(26-27)Q1'!$K$2:$L$2,'JUNE-2026'!$A$2:$DK$2,0),0),0)</f>
        <v>0</v>
      </c>
      <c r="M31" s="71">
        <f t="shared" si="2"/>
        <v>-66250</v>
      </c>
      <c r="N31" s="166">
        <f t="shared" si="3"/>
        <v>-2.6500000000000004</v>
      </c>
      <c r="O31" s="215"/>
      <c r="P31" s="153">
        <f>IFERROR(VLOOKUP($A$3:$A$139,'FY-(26-27)Q2'!$A$4:$ABW$124,MATCH('FY-(26-27)Q1'!$P$2:$Q$2,'FY-(26-27)Q2'!$A$2:$BX$2,0),0),0)</f>
        <v>0</v>
      </c>
      <c r="Q31" s="155">
        <f>IFERROR(VLOOKUP($A$3:$A$139,'FY-(26-27)Q2'!$A$4:$ABW$124,MATCH('FY-(26-27)Q1'!$P$2:$Q$2,'FY-(26-27)Q2'!$A$2:$BX$2,0),0),0)</f>
        <v>0</v>
      </c>
      <c r="R31" s="159"/>
      <c r="S31" s="88">
        <f>IFERROR(VLOOKUP($A$4:$A$74,#REF!,MATCH('FY-(26-27)Q1'!$S$2:$T$2,#REF!,0),0),0)</f>
        <v>0</v>
      </c>
      <c r="T31" s="124">
        <f>IFERROR(VLOOKUP($A$4:$A$74,#REF!,MATCH('FY-(26-27)Q1'!$S$2:$T$2,#REF!,0),0),0)</f>
        <v>0</v>
      </c>
      <c r="U31" s="159"/>
      <c r="V31" s="45"/>
      <c r="W31" s="72"/>
      <c r="X31"/>
      <c r="Y31" s="154">
        <f t="shared" si="0"/>
        <v>-66250</v>
      </c>
      <c r="Z31" s="168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2" t="s">
        <v>261</v>
      </c>
      <c r="E32" s="37" t="s">
        <v>256</v>
      </c>
      <c r="F32" s="116">
        <v>0.5</v>
      </c>
      <c r="G32" s="153">
        <f>IFERROR(VLOOKUP($A$3:$A$139,'APR-2026'!$A$4:$ABX$112,MATCH('FY-(26-27)Q1'!$G$2:$H$2,'APR-2026'!$A$2:$BY$2,0),0),0)</f>
        <v>202276</v>
      </c>
      <c r="H32" s="155">
        <f>IFERROR(VLOOKUP($A$3:$A$139,'APR-2026'!$A$4:$ABX$112,MATCH('FY-(26-27)Q1'!$G$2:$H$2,'APR-2026'!$A$2:$BY$2,0),0),0)</f>
        <v>1.3485066666666665</v>
      </c>
      <c r="I32" s="153">
        <f>IFERROR(VLOOKUP($A$3:$A$139,'MAY-2026'!$A$4:$ACP$113,MATCH('FY-(26-27)Q1'!$I$2:$J$2,'MAY-2026'!$A$2:$CQ$2,0),0),0)</f>
        <v>-2293</v>
      </c>
      <c r="J32" s="155">
        <f>IFERROR(VLOOKUP($A$3:$A$139,'MAY-2026'!$A$4:$ACP$113,MATCH('FY-(26-27)Q1'!$I$2:$J$2,'MAY-2026'!$A$2:$CQ$2,0),0),0)</f>
        <v>-1.5286666666666669E-2</v>
      </c>
      <c r="K32" s="153">
        <f>IFERROR(VLOOKUP($A$3:$A$139,'JUNE-2026'!$A$4:$ADJ$113,MATCH('FY-(26-27)Q1'!$K$2:$L$2,'JUNE-2026'!$A$2:$DK$2,0),0),0)</f>
        <v>-705052</v>
      </c>
      <c r="L32" s="155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6">
        <f t="shared" si="3"/>
        <v>-3.3671266666666675</v>
      </c>
      <c r="O32" s="215"/>
      <c r="P32" s="153">
        <f>IFERROR(VLOOKUP($A$3:$A$139,'FY-(26-27)Q2'!$A$4:$ABW$124,MATCH('FY-(26-27)Q1'!$P$2:$Q$2,'FY-(26-27)Q2'!$A$2:$BX$2,0),0),0)</f>
        <v>117947</v>
      </c>
      <c r="Q32" s="155">
        <f>IFERROR(VLOOKUP($A$3:$A$139,'FY-(26-27)Q2'!$A$4:$ABW$124,MATCH('FY-(26-27)Q1'!$P$2:$Q$2,'FY-(26-27)Q2'!$A$2:$BX$2,0),0),0)</f>
        <v>0.78631333333333342</v>
      </c>
      <c r="R32" s="159"/>
      <c r="S32" s="88">
        <f>IFERROR(VLOOKUP($A$4:$A$74,#REF!,MATCH('FY-(26-27)Q1'!$S$2:$T$2,#REF!,0),0),0)</f>
        <v>0</v>
      </c>
      <c r="T32" s="124">
        <f>IFERROR(VLOOKUP($A$4:$A$74,#REF!,MATCH('FY-(26-27)Q1'!$S$2:$T$2,#REF!,0),0),0)</f>
        <v>0</v>
      </c>
      <c r="U32" s="159"/>
      <c r="V32" s="45"/>
      <c r="W32" s="72"/>
      <c r="X32"/>
      <c r="Y32" s="154">
        <f t="shared" si="0"/>
        <v>-387122</v>
      </c>
      <c r="Z32" s="168">
        <f t="shared" si="1"/>
        <v>-2.5808133333333343</v>
      </c>
    </row>
    <row r="33" spans="1:34" s="132" customFormat="1" ht="15" customHeight="1" x14ac:dyDescent="0.25">
      <c r="A33" s="142" t="s">
        <v>275</v>
      </c>
      <c r="B33" s="141" t="s">
        <v>164</v>
      </c>
      <c r="C33" s="141" t="s">
        <v>274</v>
      </c>
      <c r="D33" s="142" t="s">
        <v>152</v>
      </c>
      <c r="E33" s="142" t="s">
        <v>256</v>
      </c>
      <c r="F33" s="156">
        <v>0.1</v>
      </c>
      <c r="G33" s="153">
        <f>IFERROR(VLOOKUP($A$3:$A$139,'APR-2026'!$A$4:$ABX$112,MATCH('FY-(26-27)Q1'!$G$2:$H$2,'APR-2026'!$A$2:$BY$2,0),0),0)</f>
        <v>0</v>
      </c>
      <c r="H33" s="155">
        <f>IFERROR(VLOOKUP($A$3:$A$139,'APR-2026'!$A$4:$ABX$112,MATCH('FY-(26-27)Q1'!$G$2:$H$2,'APR-2026'!$A$2:$BY$2,0),0),0)</f>
        <v>0</v>
      </c>
      <c r="I33" s="153">
        <f>IFERROR(VLOOKUP($A$3:$A$139,'MAY-2026'!$A$4:$ACP$113,MATCH('FY-(26-27)Q1'!$I$2:$J$2,'MAY-2026'!$A$2:$CQ$2,0),0),0)</f>
        <v>0</v>
      </c>
      <c r="J33" s="155">
        <f>IFERROR(VLOOKUP($A$3:$A$139,'MAY-2026'!$A$4:$ACP$113,MATCH('FY-(26-27)Q1'!$I$2:$J$2,'MAY-2026'!$A$2:$CQ$2,0),0),0)</f>
        <v>0</v>
      </c>
      <c r="K33" s="153">
        <f>IFERROR(VLOOKUP($A$3:$A$139,'JUNE-2026'!$A$4:$ADJ$113,MATCH('FY-(26-27)Q1'!$K$2:$L$2,'JUNE-2026'!$A$2:$DK$2,0),0),0)</f>
        <v>-33738</v>
      </c>
      <c r="L33" s="155">
        <f>IFERROR(VLOOKUP($A$3:$A$139,'JUNE-2026'!$A$4:$ADJ$113,MATCH('FY-(26-27)Q1'!$K$2:$L$2,'JUNE-2026'!$A$2:$DK$2,0),0),0)</f>
        <v>-0.67476000000000003</v>
      </c>
      <c r="M33" s="71">
        <f t="shared" ref="M33" si="16">G33+I33+K33</f>
        <v>-33738</v>
      </c>
      <c r="N33" s="166">
        <f t="shared" ref="N33" si="17">H33+J33+L33</f>
        <v>-0.67476000000000003</v>
      </c>
      <c r="O33" s="215"/>
      <c r="P33" s="153">
        <f>IFERROR(VLOOKUP($A$3:$A$139,'FY-(26-27)Q2'!$A$4:$ABW$124,MATCH('FY-(26-27)Q1'!$P$2:$Q$2,'FY-(26-27)Q2'!$A$2:$BX$2,0),0),0)</f>
        <v>-18550</v>
      </c>
      <c r="Q33" s="155">
        <f>IFERROR(VLOOKUP($A$3:$A$139,'FY-(26-27)Q2'!$A$4:$ABW$124,MATCH('FY-(26-27)Q1'!$P$2:$Q$2,'FY-(26-27)Q2'!$A$2:$BX$2,0),0),0)</f>
        <v>-0.1855</v>
      </c>
      <c r="R33" s="159"/>
      <c r="S33" s="153">
        <f>IFERROR(VLOOKUP($A$4:$A$74,#REF!,MATCH('FY-(26-27)Q1'!$S$2:$T$2,#REF!,0),0),0)</f>
        <v>0</v>
      </c>
      <c r="T33" s="159">
        <f>IFERROR(VLOOKUP($A$4:$A$74,#REF!,MATCH('FY-(26-27)Q1'!$S$2:$T$2,#REF!,0),0),0)</f>
        <v>0</v>
      </c>
      <c r="U33" s="159"/>
      <c r="V33" s="144"/>
      <c r="W33" s="150"/>
      <c r="Y33" s="154">
        <f t="shared" si="0"/>
        <v>-52288</v>
      </c>
      <c r="Z33" s="168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3">
        <f>IFERROR(VLOOKUP($A$3:$A$139,'APR-2026'!$A$4:$ABX$112,MATCH('FY-(26-27)Q1'!$G$2:$H$2,'APR-2026'!$A$2:$BY$2,0),0),0)</f>
        <v>16344</v>
      </c>
      <c r="H34" s="155">
        <f>IFERROR(VLOOKUP($A$3:$A$139,'APR-2026'!$A$4:$ABX$112,MATCH('FY-(26-27)Q1'!$G$2:$H$2,'APR-2026'!$A$2:$BY$2,0),0),0)</f>
        <v>0.14858181818181818</v>
      </c>
      <c r="I34" s="153">
        <f>IFERROR(VLOOKUP($A$3:$A$139,'MAY-2026'!$A$4:$ACP$113,MATCH('FY-(26-27)Q1'!$I$2:$J$2,'MAY-2026'!$A$2:$CQ$2,0),0),0)</f>
        <v>-99601</v>
      </c>
      <c r="J34" s="155">
        <f>IFERROR(VLOOKUP($A$3:$A$139,'MAY-2026'!$A$4:$ACP$113,MATCH('FY-(26-27)Q1'!$I$2:$J$2,'MAY-2026'!$A$2:$CQ$2,0),0),0)</f>
        <v>-0.90546363636363636</v>
      </c>
      <c r="K34" s="153">
        <f>IFERROR(VLOOKUP($A$3:$A$139,'JUNE-2026'!$A$4:$ADJ$113,MATCH('FY-(26-27)Q1'!$K$2:$L$2,'JUNE-2026'!$A$2:$DK$2,0),0),0)</f>
        <v>-235683</v>
      </c>
      <c r="L34" s="155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6">
        <f t="shared" si="3"/>
        <v>-2.8994545454545451</v>
      </c>
      <c r="O34" s="215"/>
      <c r="P34" s="153">
        <f>IFERROR(VLOOKUP($A$3:$A$139,'FY-(26-27)Q2'!$A$4:$ABW$124,MATCH('FY-(26-27)Q1'!$P$2:$Q$2,'FY-(26-27)Q2'!$A$2:$BX$2,0),0),0)</f>
        <v>220672</v>
      </c>
      <c r="Q34" s="155">
        <f>IFERROR(VLOOKUP($A$3:$A$139,'FY-(26-27)Q2'!$A$4:$ABW$124,MATCH('FY-(26-27)Q1'!$P$2:$Q$2,'FY-(26-27)Q2'!$A$2:$BX$2,0),0),0)</f>
        <v>2.0061090909090904</v>
      </c>
      <c r="R34" s="159"/>
      <c r="S34" s="88">
        <f>IFERROR(VLOOKUP($A$4:$A$74,#REF!,MATCH('FY-(26-27)Q1'!$S$2:$T$2,#REF!,0),0),0)</f>
        <v>0</v>
      </c>
      <c r="T34" s="124">
        <f>IFERROR(VLOOKUP($A$4:$A$74,#REF!,MATCH('FY-(26-27)Q1'!$S$2:$T$2,#REF!,0),0),0)</f>
        <v>0</v>
      </c>
      <c r="U34" s="159"/>
      <c r="V34" s="45"/>
      <c r="W34" s="72"/>
      <c r="Y34" s="154">
        <f t="shared" si="0"/>
        <v>-98268</v>
      </c>
      <c r="Z34" s="168">
        <f t="shared" si="1"/>
        <v>-0.89334545454545466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3">
        <f>IFERROR(VLOOKUP($A$3:$A$139,'APR-2026'!$A$4:$ABX$112,MATCH('FY-(26-27)Q1'!$G$2:$H$2,'APR-2026'!$A$2:$BY$2,0),0),0)</f>
        <v>-203101</v>
      </c>
      <c r="H35" s="155">
        <f>IFERROR(VLOOKUP($A$3:$A$139,'APR-2026'!$A$4:$ABX$112,MATCH('FY-(26-27)Q1'!$G$2:$H$2,'APR-2026'!$A$2:$BY$2,0),0),0)</f>
        <v>-4.0620200000000004</v>
      </c>
      <c r="I35" s="153">
        <f>IFERROR(VLOOKUP($A$3:$A$139,'MAY-2026'!$A$4:$ACP$113,MATCH('FY-(26-27)Q1'!$I$2:$J$2,'MAY-2026'!$A$2:$CQ$2,0),0),0)</f>
        <v>-128306</v>
      </c>
      <c r="J35" s="155">
        <f>IFERROR(VLOOKUP($A$3:$A$139,'MAY-2026'!$A$4:$ACP$113,MATCH('FY-(26-27)Q1'!$I$2:$J$2,'MAY-2026'!$A$2:$CQ$2,0),0),0)</f>
        <v>-2.5661200000000002</v>
      </c>
      <c r="K35" s="153">
        <f>IFERROR(VLOOKUP($A$3:$A$139,'JUNE-2026'!$A$4:$ADJ$113,MATCH('FY-(26-27)Q1'!$K$2:$L$2,'JUNE-2026'!$A$2:$DK$2,0),0),0)</f>
        <v>0</v>
      </c>
      <c r="L35" s="155">
        <f>IFERROR(VLOOKUP($A$3:$A$139,'JUNE-2026'!$A$4:$ADJ$113,MATCH('FY-(26-27)Q1'!$K$2:$L$2,'JUNE-2026'!$A$2:$DK$2,0),0),0)</f>
        <v>0</v>
      </c>
      <c r="M35" s="71">
        <f t="shared" si="2"/>
        <v>-331407</v>
      </c>
      <c r="N35" s="166">
        <f t="shared" si="3"/>
        <v>-6.6281400000000001</v>
      </c>
      <c r="O35" s="215"/>
      <c r="P35" s="153">
        <f>IFERROR(VLOOKUP($A$3:$A$139,'FY-(26-27)Q2'!$A$4:$ABW$124,MATCH('FY-(26-27)Q1'!$P$2:$Q$2,'FY-(26-27)Q2'!$A$2:$BX$2,0),0),0)</f>
        <v>0</v>
      </c>
      <c r="Q35" s="155">
        <f>IFERROR(VLOOKUP($A$3:$A$139,'FY-(26-27)Q2'!$A$4:$ABW$124,MATCH('FY-(26-27)Q1'!$P$2:$Q$2,'FY-(26-27)Q2'!$A$2:$BX$2,0),0),0)</f>
        <v>0</v>
      </c>
      <c r="R35" s="159"/>
      <c r="S35" s="88">
        <f>IFERROR(VLOOKUP($A$4:$A$74,#REF!,MATCH('FY-(26-27)Q1'!$S$2:$T$2,#REF!,0),0),0)</f>
        <v>0</v>
      </c>
      <c r="T35" s="124">
        <f>IFERROR(VLOOKUP($A$4:$A$74,#REF!,MATCH('FY-(26-27)Q1'!$S$2:$T$2,#REF!,0),0),0)</f>
        <v>0</v>
      </c>
      <c r="U35" s="159"/>
      <c r="V35" s="45"/>
      <c r="W35" s="72"/>
      <c r="Y35" s="154">
        <f t="shared" si="0"/>
        <v>-331407</v>
      </c>
      <c r="Z35" s="168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3">
        <f>IFERROR(VLOOKUP($A$3:$A$139,'APR-2026'!$A$4:$ABX$112,MATCH('FY-(26-27)Q1'!$G$2:$H$2,'APR-2026'!$A$2:$BY$2,0),0),0)</f>
        <v>3190697</v>
      </c>
      <c r="H36" s="155">
        <f>IFERROR(VLOOKUP($A$3:$A$139,'APR-2026'!$A$4:$ABX$112,MATCH('FY-(26-27)Q1'!$G$2:$H$2,'APR-2026'!$A$2:$BY$2,0),0),0)</f>
        <v>13.872595652173912</v>
      </c>
      <c r="I36" s="153">
        <f>IFERROR(VLOOKUP($A$3:$A$139,'MAY-2026'!$A$4:$ACP$113,MATCH('FY-(26-27)Q1'!$I$2:$J$2,'MAY-2026'!$A$2:$CQ$2,0),0),0)</f>
        <v>688029</v>
      </c>
      <c r="J36" s="155">
        <f>IFERROR(VLOOKUP($A$3:$A$139,'MAY-2026'!$A$4:$ACP$113,MATCH('FY-(26-27)Q1'!$I$2:$J$2,'MAY-2026'!$A$2:$CQ$2,0),0),0)</f>
        <v>2.9914304347826084</v>
      </c>
      <c r="K36" s="153">
        <f>IFERROR(VLOOKUP($A$3:$A$139,'JUNE-2026'!$A$4:$ADJ$113,MATCH('FY-(26-27)Q1'!$K$2:$L$2,'JUNE-2026'!$A$2:$DK$2,0),0),0)</f>
        <v>282377</v>
      </c>
      <c r="L36" s="155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6">
        <f t="shared" si="3"/>
        <v>18.091752173913044</v>
      </c>
      <c r="O36" s="215"/>
      <c r="P36" s="153">
        <f>IFERROR(VLOOKUP($A$3:$A$139,'FY-(26-27)Q2'!$A$4:$ABW$124,MATCH('FY-(26-27)Q1'!$P$2:$Q$2,'FY-(26-27)Q2'!$A$2:$BX$2,0),0),0)</f>
        <v>-52839</v>
      </c>
      <c r="Q36" s="155">
        <f>IFERROR(VLOOKUP($A$3:$A$139,'FY-(26-27)Q2'!$A$4:$ABW$124,MATCH('FY-(26-27)Q1'!$P$2:$Q$2,'FY-(26-27)Q2'!$A$2:$BX$2,0),0),0)</f>
        <v>-0.2297347826086964</v>
      </c>
      <c r="R36" s="159"/>
      <c r="S36" s="88">
        <f>IFERROR(VLOOKUP($A$4:$A$74,#REF!,MATCH('FY-(26-27)Q1'!$S$2:$T$2,#REF!,0),0),0)</f>
        <v>0</v>
      </c>
      <c r="T36" s="124">
        <f>IFERROR(VLOOKUP($A$4:$A$74,#REF!,MATCH('FY-(26-27)Q1'!$S$2:$T$2,#REF!,0),0),0)</f>
        <v>0</v>
      </c>
      <c r="U36" s="159"/>
      <c r="V36" s="45"/>
      <c r="W36" s="72"/>
      <c r="Y36" s="154">
        <f t="shared" si="0"/>
        <v>4108264</v>
      </c>
      <c r="Z36" s="168">
        <f t="shared" si="1"/>
        <v>17.862017391304349</v>
      </c>
    </row>
    <row r="37" spans="1:34" s="132" customFormat="1" ht="15" customHeight="1" x14ac:dyDescent="0.25">
      <c r="A37" s="142" t="s">
        <v>302</v>
      </c>
      <c r="B37" s="141" t="s">
        <v>297</v>
      </c>
      <c r="C37" s="141" t="s">
        <v>298</v>
      </c>
      <c r="D37" s="142"/>
      <c r="E37" s="142" t="s">
        <v>256</v>
      </c>
      <c r="F37" s="156">
        <v>0.2</v>
      </c>
      <c r="G37" s="153">
        <f>IFERROR(VLOOKUP($A$3:$A$139,'APR-2026'!$A$4:$ABX$112,MATCH('FY-(26-27)Q1'!$G$2:$H$2,'APR-2026'!$A$2:$BY$2,0),0),0)</f>
        <v>0</v>
      </c>
      <c r="H37" s="155">
        <f>IFERROR(VLOOKUP($A$3:$A$139,'APR-2026'!$A$4:$ABX$112,MATCH('FY-(26-27)Q1'!$G$2:$H$2,'APR-2026'!$A$2:$BY$2,0),0),0)</f>
        <v>0</v>
      </c>
      <c r="I37" s="153">
        <f>IFERROR(VLOOKUP($A$3:$A$139,'MAY-2026'!$A$4:$ACP$113,MATCH('FY-(26-27)Q1'!$I$2:$J$2,'MAY-2026'!$A$2:$CQ$2,0),0),0)</f>
        <v>0</v>
      </c>
      <c r="J37" s="155">
        <f>IFERROR(VLOOKUP($A$3:$A$139,'MAY-2026'!$A$4:$ACP$113,MATCH('FY-(26-27)Q1'!$I$2:$J$2,'MAY-2026'!$A$2:$CQ$2,0),0),0)</f>
        <v>0</v>
      </c>
      <c r="K37" s="153">
        <f>IFERROR(VLOOKUP($A$3:$A$139,'JUNE-2026'!$A$4:$ADJ$113,MATCH('FY-(26-27)Q1'!$K$2:$L$2,'JUNE-2026'!$A$2:$DK$2,0),0),0)</f>
        <v>0</v>
      </c>
      <c r="L37" s="155">
        <f>IFERROR(VLOOKUP($A$3:$A$139,'JUNE-2026'!$A$4:$ADJ$113,MATCH('FY-(26-27)Q1'!$K$2:$L$2,'JUNE-2026'!$A$2:$DK$2,0),0),0)</f>
        <v>0</v>
      </c>
      <c r="M37" s="71">
        <f t="shared" ref="M37" si="18">G37+I37+K37</f>
        <v>0</v>
      </c>
      <c r="N37" s="166">
        <f t="shared" ref="N37" si="19">H37+J37+L37</f>
        <v>0</v>
      </c>
      <c r="O37" s="215"/>
      <c r="P37" s="153">
        <f>IFERROR(VLOOKUP($A$3:$A$139,'FY-(26-27)Q2'!$A$4:$ABW$124,MATCH('FY-(26-27)Q1'!$P$2:$Q$2,'FY-(26-27)Q2'!$A$2:$BX$2,0),0),0)</f>
        <v>-15236</v>
      </c>
      <c r="Q37" s="155">
        <f>IFERROR(VLOOKUP($A$3:$A$139,'FY-(26-27)Q2'!$A$4:$ABW$124,MATCH('FY-(26-27)Q1'!$P$2:$Q$2,'FY-(26-27)Q2'!$A$2:$BX$2,0),0),0)</f>
        <v>-0.76179999999999992</v>
      </c>
      <c r="R37" s="159"/>
      <c r="S37" s="153">
        <f>IFERROR(VLOOKUP($A$4:$A$74,#REF!,MATCH('FY-(26-27)Q1'!$S$2:$T$2,#REF!,0),0),0)</f>
        <v>0</v>
      </c>
      <c r="T37" s="159">
        <f>IFERROR(VLOOKUP($A$4:$A$74,#REF!,MATCH('FY-(26-27)Q1'!$S$2:$T$2,#REF!,0),0),0)</f>
        <v>0</v>
      </c>
      <c r="U37" s="159"/>
      <c r="V37" s="144"/>
      <c r="W37" s="150"/>
      <c r="Y37" s="154">
        <f t="shared" ref="Y37" si="20">M37+P37+S37+V37</f>
        <v>-15236</v>
      </c>
      <c r="Z37" s="168">
        <f t="shared" ref="Z37" si="21">(N37+Q37+T37+W37)</f>
        <v>-0.76179999999999992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3">
        <f>IFERROR(VLOOKUP($A$3:$A$139,'APR-2026'!$A$4:$ABX$112,MATCH('FY-(26-27)Q1'!$G$2:$H$2,'APR-2026'!$A$2:$BY$2,0),0),0)</f>
        <v>1319283</v>
      </c>
      <c r="H38" s="155">
        <f>IFERROR(VLOOKUP($A$3:$A$139,'APR-2026'!$A$4:$ABX$112,MATCH('FY-(26-27)Q1'!$G$2:$H$2,'APR-2026'!$A$2:$BY$2,0),0),0)</f>
        <v>2.6385659999999995</v>
      </c>
      <c r="I38" s="153">
        <f>IFERROR(VLOOKUP($A$3:$A$139,'MAY-2026'!$A$4:$ACP$113,MATCH('FY-(26-27)Q1'!$I$2:$J$2,'MAY-2026'!$A$2:$CQ$2,0),0),0)</f>
        <v>841036</v>
      </c>
      <c r="J38" s="155">
        <f>IFERROR(VLOOKUP($A$3:$A$139,'MAY-2026'!$A$4:$ACP$113,MATCH('FY-(26-27)Q1'!$I$2:$J$2,'MAY-2026'!$A$2:$CQ$2,0),0),0)</f>
        <v>1.682072</v>
      </c>
      <c r="K38" s="153">
        <f>IFERROR(VLOOKUP($A$3:$A$139,'JUNE-2026'!$A$4:$ADJ$113,MATCH('FY-(26-27)Q1'!$K$2:$L$2,'JUNE-2026'!$A$2:$DK$2,0),0),0)</f>
        <v>906087</v>
      </c>
      <c r="L38" s="155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6">
        <f t="shared" si="3"/>
        <v>6.1328119999999995</v>
      </c>
      <c r="O38" s="215"/>
      <c r="P38" s="153">
        <f>IFERROR(VLOOKUP($A$3:$A$139,'FY-(26-27)Q2'!$A$4:$ABW$124,MATCH('FY-(26-27)Q1'!$P$2:$Q$2,'FY-(26-27)Q2'!$A$2:$BX$2,0),0),0)</f>
        <v>-225918</v>
      </c>
      <c r="Q38" s="155">
        <f>IFERROR(VLOOKUP($A$3:$A$139,'FY-(26-27)Q2'!$A$4:$ABW$124,MATCH('FY-(26-27)Q1'!$P$2:$Q$2,'FY-(26-27)Q2'!$A$2:$BX$2,0),0),0)</f>
        <v>-0.45183599999999996</v>
      </c>
      <c r="R38" s="159"/>
      <c r="S38" s="88">
        <f>IFERROR(VLOOKUP($A$4:$A$74,#REF!,MATCH('FY-(26-27)Q1'!$S$2:$T$2,#REF!,0),0),0)</f>
        <v>0</v>
      </c>
      <c r="T38" s="124">
        <f>IFERROR(VLOOKUP($A$4:$A$74,#REF!,MATCH('FY-(26-27)Q1'!$S$2:$T$2,#REF!,0),0),0)</f>
        <v>0</v>
      </c>
      <c r="U38" s="159"/>
      <c r="V38" s="45"/>
      <c r="W38" s="72"/>
      <c r="Y38" s="154">
        <f t="shared" si="0"/>
        <v>2840488</v>
      </c>
      <c r="Z38" s="168">
        <f t="shared" si="1"/>
        <v>5.6809759999999994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3">
        <f>IFERROR(VLOOKUP($A$3:$A$139,'APR-2026'!$A$4:$ABX$112,MATCH('FY-(26-27)Q1'!$G$2:$H$2,'APR-2026'!$A$2:$BY$2,0),0),0)</f>
        <v>2899700</v>
      </c>
      <c r="H39" s="155">
        <f>IFERROR(VLOOKUP($A$3:$A$139,'APR-2026'!$A$4:$ABX$112,MATCH('FY-(26-27)Q1'!$G$2:$H$2,'APR-2026'!$A$2:$BY$2,0),0),0)</f>
        <v>2.8997000000000002</v>
      </c>
      <c r="I39" s="153">
        <f>IFERROR(VLOOKUP($A$3:$A$139,'MAY-2026'!$A$4:$ACP$113,MATCH('FY-(26-27)Q1'!$I$2:$J$2,'MAY-2026'!$A$2:$CQ$2,0),0),0)</f>
        <v>-30465</v>
      </c>
      <c r="J39" s="155">
        <f>IFERROR(VLOOKUP($A$3:$A$139,'MAY-2026'!$A$4:$ACP$113,MATCH('FY-(26-27)Q1'!$I$2:$J$2,'MAY-2026'!$A$2:$CQ$2,0),0),0)</f>
        <v>-3.0464999999999999E-2</v>
      </c>
      <c r="K39" s="153">
        <f>IFERROR(VLOOKUP($A$3:$A$139,'JUNE-2026'!$A$4:$ADJ$113,MATCH('FY-(26-27)Q1'!$K$2:$L$2,'JUNE-2026'!$A$2:$DK$2,0),0),0)</f>
        <v>724171</v>
      </c>
      <c r="L39" s="155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6">
        <f t="shared" si="3"/>
        <v>3.5934060000000003</v>
      </c>
      <c r="O39" s="215"/>
      <c r="P39" s="153">
        <f>IFERROR(VLOOKUP($A$3:$A$139,'FY-(26-27)Q2'!$A$4:$ABW$124,MATCH('FY-(26-27)Q1'!$P$2:$Q$2,'FY-(26-27)Q2'!$A$2:$BX$2,0),0),0)</f>
        <v>3540167</v>
      </c>
      <c r="Q39" s="155">
        <f>IFERROR(VLOOKUP($A$3:$A$139,'FY-(26-27)Q2'!$A$4:$ABW$124,MATCH('FY-(26-27)Q1'!$P$2:$Q$2,'FY-(26-27)Q2'!$A$2:$BX$2,0),0),0)</f>
        <v>3.5401669999999998</v>
      </c>
      <c r="R39" s="159"/>
      <c r="S39" s="88">
        <f>IFERROR(VLOOKUP($A$4:$A$74,#REF!,MATCH('FY-(26-27)Q1'!$S$2:$T$2,#REF!,0),0),0)</f>
        <v>0</v>
      </c>
      <c r="T39" s="124">
        <f>IFERROR(VLOOKUP($A$4:$A$74,#REF!,MATCH('FY-(26-27)Q1'!$S$2:$T$2,#REF!,0),0),0)</f>
        <v>0</v>
      </c>
      <c r="U39" s="159"/>
      <c r="V39" s="45"/>
      <c r="W39" s="72"/>
      <c r="X39" s="132"/>
      <c r="Y39" s="154">
        <f t="shared" ref="Y39:Y74" si="22">M39+P39+S39+V39</f>
        <v>7133573</v>
      </c>
      <c r="Z39" s="168">
        <f t="shared" ref="Z39:Z74" si="23">(N39+Q39+T39+W39)</f>
        <v>7.1335730000000002</v>
      </c>
      <c r="AB39" s="131"/>
    </row>
    <row r="40" spans="1:34" s="132" customFormat="1" ht="15" customHeight="1" x14ac:dyDescent="0.25">
      <c r="A40" s="142" t="s">
        <v>191</v>
      </c>
      <c r="B40" s="141" t="s">
        <v>184</v>
      </c>
      <c r="C40" s="141" t="s">
        <v>185</v>
      </c>
      <c r="D40" s="142" t="s">
        <v>91</v>
      </c>
      <c r="E40" s="142" t="s">
        <v>256</v>
      </c>
      <c r="F40" s="156">
        <v>13</v>
      </c>
      <c r="G40" s="153">
        <f>IFERROR(VLOOKUP($A$3:$A$139,'APR-2026'!$A$4:$ABX$112,MATCH('FY-(26-27)Q1'!$G$2:$H$2,'APR-2026'!$A$2:$BY$2,0),0),0)</f>
        <v>2457630</v>
      </c>
      <c r="H40" s="155">
        <f>IFERROR(VLOOKUP($A$3:$A$139,'APR-2026'!$A$4:$ABX$112,MATCH('FY-(26-27)Q1'!$G$2:$H$2,'APR-2026'!$A$2:$BY$2,0),0),0)</f>
        <v>2.45763</v>
      </c>
      <c r="I40" s="153">
        <f>IFERROR(VLOOKUP($A$3:$A$139,'MAY-2026'!$A$4:$ACP$113,MATCH('FY-(26-27)Q1'!$I$2:$J$2,'MAY-2026'!$A$2:$CQ$2,0),0),0)</f>
        <v>357271</v>
      </c>
      <c r="J40" s="155">
        <f>IFERROR(VLOOKUP($A$3:$A$139,'MAY-2026'!$A$4:$ACP$113,MATCH('FY-(26-27)Q1'!$I$2:$J$2,'MAY-2026'!$A$2:$CQ$2,0),0),0)</f>
        <v>0.27482384615384614</v>
      </c>
      <c r="K40" s="153">
        <f>IFERROR(VLOOKUP($A$3:$A$139,'JUNE-2026'!$A$4:$ADJ$113,MATCH('FY-(26-27)Q1'!$K$2:$L$2,'JUNE-2026'!$A$2:$DK$2,0),0),0)</f>
        <v>889184</v>
      </c>
      <c r="L40" s="155">
        <f>IFERROR(VLOOKUP($A$3:$A$139,'JUNE-2026'!$A$4:$ADJ$113,MATCH('FY-(26-27)Q1'!$K$2:$L$2,'JUNE-2026'!$A$2:$DK$2,0),0),0)</f>
        <v>0.6839876923076923</v>
      </c>
      <c r="M40" s="71">
        <f t="shared" ref="M40" si="24">G40+I40+K40</f>
        <v>3704085</v>
      </c>
      <c r="N40" s="166">
        <f t="shared" ref="N40" si="25">H40+J40+L40</f>
        <v>3.4164415384615383</v>
      </c>
      <c r="O40" s="215"/>
      <c r="P40" s="153">
        <f>IFERROR(VLOOKUP($A$3:$A$139,'FY-(26-27)Q2'!$A$4:$ABW$124,MATCH('FY-(26-27)Q1'!$P$2:$Q$2,'FY-(26-27)Q2'!$A$2:$BX$2,0),0),0)</f>
        <v>1736266</v>
      </c>
      <c r="Q40" s="155">
        <f>IFERROR(VLOOKUP($A$3:$A$139,'FY-(26-27)Q2'!$A$4:$ABW$124,MATCH('FY-(26-27)Q1'!$P$2:$Q$2,'FY-(26-27)Q2'!$A$2:$BX$2,0),0),0)</f>
        <v>1.335589230769231</v>
      </c>
      <c r="R40" s="159"/>
      <c r="S40" s="153">
        <f>IFERROR(VLOOKUP($A$4:$A$74,#REF!,MATCH('FY-(26-27)Q1'!$S$2:$T$2,#REF!,0),0),0)</f>
        <v>0</v>
      </c>
      <c r="T40" s="159">
        <f>IFERROR(VLOOKUP($A$4:$A$74,#REF!,MATCH('FY-(26-27)Q1'!$S$2:$T$2,#REF!,0),0),0)</f>
        <v>0</v>
      </c>
      <c r="U40" s="159"/>
      <c r="V40" s="144"/>
      <c r="W40" s="150"/>
      <c r="Y40" s="154">
        <f t="shared" si="22"/>
        <v>5440351</v>
      </c>
      <c r="Z40" s="168">
        <f t="shared" si="23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2" t="s">
        <v>147</v>
      </c>
      <c r="B41" s="141" t="s">
        <v>146</v>
      </c>
      <c r="C41" s="141" t="s">
        <v>140</v>
      </c>
      <c r="D41" s="142" t="s">
        <v>91</v>
      </c>
      <c r="E41" s="142" t="s">
        <v>256</v>
      </c>
      <c r="F41" s="156">
        <v>1.5</v>
      </c>
      <c r="G41" s="153">
        <f>IFERROR(VLOOKUP($A$3:$A$139,'APR-2026'!$A$4:$ABX$112,MATCH('FY-(26-27)Q1'!$G$2:$H$2,'APR-2026'!$A$2:$BY$2,0),0),0)</f>
        <v>339000</v>
      </c>
      <c r="H41" s="155">
        <f>IFERROR(VLOOKUP($A$3:$A$139,'APR-2026'!$A$4:$ABX$112,MATCH('FY-(26-27)Q1'!$G$2:$H$2,'APR-2026'!$A$2:$BY$2,0),0),0)</f>
        <v>2.2599999999999998</v>
      </c>
      <c r="I41" s="153">
        <f>IFERROR(VLOOKUP($A$3:$A$139,'MAY-2026'!$A$4:$ACP$113,MATCH('FY-(26-27)Q1'!$I$2:$J$2,'MAY-2026'!$A$2:$CQ$2,0),0),0)</f>
        <v>-17574</v>
      </c>
      <c r="J41" s="155">
        <f>IFERROR(VLOOKUP($A$3:$A$139,'MAY-2026'!$A$4:$ACP$113,MATCH('FY-(26-27)Q1'!$I$2:$J$2,'MAY-2026'!$A$2:$CQ$2,0),0),0)</f>
        <v>-0.11716</v>
      </c>
      <c r="K41" s="153">
        <f>IFERROR(VLOOKUP($A$3:$A$139,'JUNE-2026'!$A$4:$ADJ$113,MATCH('FY-(26-27)Q1'!$K$2:$L$2,'JUNE-2026'!$A$2:$DK$2,0),0),0)</f>
        <v>103615</v>
      </c>
      <c r="L41" s="155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6">
        <f t="shared" si="3"/>
        <v>2.8336066666666664</v>
      </c>
      <c r="O41" s="215"/>
      <c r="P41" s="153">
        <f>IFERROR(VLOOKUP($A$3:$A$139,'FY-(26-27)Q2'!$A$4:$ABW$124,MATCH('FY-(26-27)Q1'!$P$2:$Q$2,'FY-(26-27)Q2'!$A$2:$BX$2,0),0),0)</f>
        <v>173420</v>
      </c>
      <c r="Q41" s="155">
        <f>IFERROR(VLOOKUP($A$3:$A$139,'FY-(26-27)Q2'!$A$4:$ABW$124,MATCH('FY-(26-27)Q1'!$P$2:$Q$2,'FY-(26-27)Q2'!$A$2:$BX$2,0),0),0)</f>
        <v>1.1561333333333335</v>
      </c>
      <c r="R41" s="159"/>
      <c r="S41" s="153">
        <f>IFERROR(VLOOKUP($A$4:$A$74,#REF!,MATCH('FY-(26-27)Q1'!$S$2:$T$2,#REF!,0),0),0)</f>
        <v>0</v>
      </c>
      <c r="T41" s="159">
        <f>IFERROR(VLOOKUP($A$4:$A$74,#REF!,MATCH('FY-(26-27)Q1'!$S$2:$T$2,#REF!,0),0),0)</f>
        <v>0</v>
      </c>
      <c r="U41" s="159"/>
      <c r="V41" s="144"/>
      <c r="W41" s="150"/>
      <c r="Y41" s="154">
        <f t="shared" si="22"/>
        <v>598461</v>
      </c>
      <c r="Z41" s="168">
        <f t="shared" si="23"/>
        <v>3.9897399999999998</v>
      </c>
      <c r="AA41" s="1"/>
      <c r="AD41" s="132"/>
      <c r="AE41" s="132"/>
      <c r="AF41" s="132"/>
      <c r="AG41" s="132"/>
      <c r="AH41" s="132"/>
    </row>
    <row r="42" spans="1:34" s="1" customFormat="1" ht="15" customHeight="1" x14ac:dyDescent="0.25">
      <c r="A42" s="142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3">
        <f>IFERROR(VLOOKUP($A$3:$A$139,'APR-2026'!$A$4:$ABX$112,MATCH('FY-(26-27)Q1'!$G$2:$H$2,'APR-2026'!$A$2:$BY$2,0),0),0)</f>
        <v>679300</v>
      </c>
      <c r="H42" s="155">
        <f>IFERROR(VLOOKUP($A$3:$A$139,'APR-2026'!$A$4:$ABX$112,MATCH('FY-(26-27)Q1'!$G$2:$H$2,'APR-2026'!$A$2:$BY$2,0),0),0)</f>
        <v>2.2643333333333335</v>
      </c>
      <c r="I42" s="153">
        <f>IFERROR(VLOOKUP($A$3:$A$139,'MAY-2026'!$A$4:$ACP$113,MATCH('FY-(26-27)Q1'!$I$2:$J$2,'MAY-2026'!$A$2:$CQ$2,0),0),0)</f>
        <v>199400</v>
      </c>
      <c r="J42" s="155">
        <f>IFERROR(VLOOKUP($A$3:$A$139,'MAY-2026'!$A$4:$ACP$113,MATCH('FY-(26-27)Q1'!$I$2:$J$2,'MAY-2026'!$A$2:$CQ$2,0),0),0)</f>
        <v>0.33233333333333337</v>
      </c>
      <c r="K42" s="153">
        <f>IFERROR(VLOOKUP($A$3:$A$139,'JUNE-2026'!$A$4:$ADJ$113,MATCH('FY-(26-27)Q1'!$K$2:$L$2,'JUNE-2026'!$A$2:$DK$2,0),0),0)</f>
        <v>436737</v>
      </c>
      <c r="L42" s="155">
        <f>IFERROR(VLOOKUP($A$3:$A$139,'JUNE-2026'!$A$4:$ADJ$113,MATCH('FY-(26-27)Q1'!$K$2:$L$2,'JUNE-2026'!$A$2:$DK$2,0),0),0)</f>
        <v>0.72789499999999996</v>
      </c>
      <c r="M42" s="71">
        <f t="shared" ref="M42:N44" si="26">G42+I42+K42</f>
        <v>1315437</v>
      </c>
      <c r="N42" s="166">
        <f t="shared" si="26"/>
        <v>3.3245616666666669</v>
      </c>
      <c r="O42" s="215"/>
      <c r="P42" s="153">
        <f>IFERROR(VLOOKUP($A$3:$A$139,'FY-(26-27)Q2'!$A$4:$ABW$124,MATCH('FY-(26-27)Q1'!$P$2:$Q$2,'FY-(26-27)Q2'!$A$2:$BX$2,0),0),0)</f>
        <v>703028</v>
      </c>
      <c r="Q42" s="155">
        <f>IFERROR(VLOOKUP($A$3:$A$139,'FY-(26-27)Q2'!$A$4:$ABW$124,MATCH('FY-(26-27)Q1'!$P$2:$Q$2,'FY-(26-27)Q2'!$A$2:$BX$2,0),0),0)</f>
        <v>1.1717133333333338</v>
      </c>
      <c r="R42" s="159"/>
      <c r="S42" s="88">
        <f>IFERROR(VLOOKUP($A$4:$A$74,#REF!,MATCH('FY-(26-27)Q1'!$S$2:$T$2,#REF!,0),0),0)</f>
        <v>0</v>
      </c>
      <c r="T42" s="124">
        <f>IFERROR(VLOOKUP($A$4:$A$74,#REF!,MATCH('FY-(26-27)Q1'!$S$2:$T$2,#REF!,0),0),0)</f>
        <v>0</v>
      </c>
      <c r="U42" s="159"/>
      <c r="V42" s="45"/>
      <c r="W42" s="72"/>
      <c r="X42"/>
      <c r="Y42" s="154">
        <f t="shared" si="22"/>
        <v>2018465</v>
      </c>
      <c r="Z42" s="168">
        <f t="shared" si="23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3" t="s">
        <v>205</v>
      </c>
      <c r="B43" s="141" t="s">
        <v>203</v>
      </c>
      <c r="C43" s="141" t="s">
        <v>204</v>
      </c>
      <c r="D43" s="142" t="s">
        <v>91</v>
      </c>
      <c r="E43" s="163" t="s">
        <v>256</v>
      </c>
      <c r="F43" s="164">
        <v>1.3</v>
      </c>
      <c r="G43" s="153">
        <f>IFERROR(VLOOKUP($A$3:$A$139,'APR-2026'!$A$4:$ABX$112,MATCH('FY-(26-27)Q1'!$G$2:$H$2,'APR-2026'!$A$2:$BY$2,0),0),0)</f>
        <v>114100</v>
      </c>
      <c r="H43" s="155">
        <f>IFERROR(VLOOKUP($A$3:$A$139,'APR-2026'!$A$4:$ABX$112,MATCH('FY-(26-27)Q1'!$G$2:$H$2,'APR-2026'!$A$2:$BY$2,0),0),0)</f>
        <v>0.91279999999999994</v>
      </c>
      <c r="I43" s="153">
        <f>IFERROR(VLOOKUP($A$3:$A$139,'MAY-2026'!$A$4:$ACP$113,MATCH('FY-(26-27)Q1'!$I$2:$J$2,'MAY-2026'!$A$2:$CQ$2,0),0),0)</f>
        <v>-13242</v>
      </c>
      <c r="J43" s="155">
        <f>IFERROR(VLOOKUP($A$3:$A$139,'MAY-2026'!$A$4:$ACP$113,MATCH('FY-(26-27)Q1'!$I$2:$J$2,'MAY-2026'!$A$2:$CQ$2,0),0),0)</f>
        <v>-0.105936</v>
      </c>
      <c r="K43" s="153">
        <f>IFERROR(VLOOKUP($A$3:$A$139,'JUNE-2026'!$A$4:$ADJ$113,MATCH('FY-(26-27)Q1'!$K$2:$L$2,'JUNE-2026'!$A$2:$DK$2,0),0),0)</f>
        <v>102235</v>
      </c>
      <c r="L43" s="155">
        <f>IFERROR(VLOOKUP($A$3:$A$139,'JUNE-2026'!$A$4:$ADJ$113,MATCH('FY-(26-27)Q1'!$K$2:$L$2,'JUNE-2026'!$A$2:$DK$2,0),0),0)</f>
        <v>0.81788000000000005</v>
      </c>
      <c r="M43" s="71">
        <f t="shared" si="26"/>
        <v>203093</v>
      </c>
      <c r="N43" s="166">
        <f t="shared" si="26"/>
        <v>1.624744</v>
      </c>
      <c r="O43" s="215"/>
      <c r="P43" s="153">
        <f>IFERROR(VLOOKUP($A$3:$A$139,'FY-(26-27)Q2'!$A$4:$ABW$124,MATCH('FY-(26-27)Q1'!$P$2:$Q$2,'FY-(26-27)Q2'!$A$2:$BX$2,0),0),0)</f>
        <v>183507</v>
      </c>
      <c r="Q43" s="155">
        <f>IFERROR(VLOOKUP($A$3:$A$139,'FY-(26-27)Q2'!$A$4:$ABW$124,MATCH('FY-(26-27)Q1'!$P$2:$Q$2,'FY-(26-27)Q2'!$A$2:$BX$2,0),0),0)</f>
        <v>1.4680560000000002</v>
      </c>
      <c r="R43" s="159"/>
      <c r="S43" s="153">
        <f>IFERROR(VLOOKUP($A$4:$A$74,#REF!,MATCH('FY-(26-27)Q1'!$S$2:$T$2,#REF!,0),0),0)</f>
        <v>0</v>
      </c>
      <c r="T43" s="159">
        <f>IFERROR(VLOOKUP($A$4:$A$74,#REF!,MATCH('FY-(26-27)Q1'!$S$2:$T$2,#REF!,0),0),0)</f>
        <v>0</v>
      </c>
      <c r="U43" s="159"/>
      <c r="V43" s="144"/>
      <c r="W43" s="150"/>
      <c r="X43" s="132"/>
      <c r="Y43" s="154">
        <f t="shared" si="22"/>
        <v>386600</v>
      </c>
      <c r="Z43" s="168">
        <f t="shared" si="23"/>
        <v>3.0928000000000004</v>
      </c>
      <c r="AD43" s="1"/>
      <c r="AE43" s="1"/>
      <c r="AF43" s="1"/>
      <c r="AG43" s="1"/>
      <c r="AH43" s="1"/>
    </row>
    <row r="44" spans="1:34" s="132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1">
        <v>1.5</v>
      </c>
      <c r="G44" s="153">
        <f>IFERROR(VLOOKUP($A$3:$A$139,'APR-2026'!$A$4:$ABX$112,MATCH('FY-(26-27)Q1'!$G$2:$H$2,'APR-2026'!$A$2:$BY$2,0),0),0)</f>
        <v>354500</v>
      </c>
      <c r="H44" s="155">
        <f>IFERROR(VLOOKUP($A$3:$A$139,'APR-2026'!$A$4:$ABX$112,MATCH('FY-(26-27)Q1'!$G$2:$H$2,'APR-2026'!$A$2:$BY$2,0),0),0)</f>
        <v>2.3633333333333337</v>
      </c>
      <c r="I44" s="153">
        <f>IFERROR(VLOOKUP($A$3:$A$139,'MAY-2026'!$A$4:$ACP$113,MATCH('FY-(26-27)Q1'!$I$2:$J$2,'MAY-2026'!$A$2:$CQ$2,0),0),0)</f>
        <v>-16090</v>
      </c>
      <c r="J44" s="155">
        <f>IFERROR(VLOOKUP($A$3:$A$139,'MAY-2026'!$A$4:$ACP$113,MATCH('FY-(26-27)Q1'!$I$2:$J$2,'MAY-2026'!$A$2:$CQ$2,0),0),0)</f>
        <v>-0.10726666666666665</v>
      </c>
      <c r="K44" s="153">
        <f>IFERROR(VLOOKUP($A$3:$A$139,'JUNE-2026'!$A$4:$ADJ$113,MATCH('FY-(26-27)Q1'!$K$2:$L$2,'JUNE-2026'!$A$2:$DK$2,0),0),0)</f>
        <v>111580</v>
      </c>
      <c r="L44" s="155">
        <f>IFERROR(VLOOKUP($A$3:$A$139,'JUNE-2026'!$A$4:$ADJ$113,MATCH('FY-(26-27)Q1'!$K$2:$L$2,'JUNE-2026'!$A$2:$DK$2,0),0),0)</f>
        <v>0.74386666666666668</v>
      </c>
      <c r="M44" s="71">
        <f t="shared" si="26"/>
        <v>449990</v>
      </c>
      <c r="N44" s="166">
        <f t="shared" si="26"/>
        <v>2.9999333333333338</v>
      </c>
      <c r="O44" s="215"/>
      <c r="P44" s="153">
        <f>IFERROR(VLOOKUP($A$3:$A$139,'FY-(26-27)Q2'!$A$4:$ABW$124,MATCH('FY-(26-27)Q1'!$P$2:$Q$2,'FY-(26-27)Q2'!$A$2:$BX$2,0),0),0)</f>
        <v>183664</v>
      </c>
      <c r="Q44" s="155">
        <f>IFERROR(VLOOKUP($A$3:$A$139,'FY-(26-27)Q2'!$A$4:$ABW$124,MATCH('FY-(26-27)Q1'!$P$2:$Q$2,'FY-(26-27)Q2'!$A$2:$BX$2,0),0),0)</f>
        <v>1.2244266666666666</v>
      </c>
      <c r="R44" s="159"/>
      <c r="S44" s="88">
        <f>IFERROR(VLOOKUP($A$4:$A$74,#REF!,MATCH('FY-(26-27)Q1'!$S$2:$T$2,#REF!,0),0),0)</f>
        <v>0</v>
      </c>
      <c r="T44" s="88">
        <f>IFERROR(VLOOKUP($A$4:$A$74,#REF!,MATCH('FY-(26-27)Q1'!$S$2:$T$2,#REF!,0),0),0)</f>
        <v>0</v>
      </c>
      <c r="U44" s="218"/>
      <c r="V44" s="73"/>
      <c r="W44" s="72"/>
      <c r="X44"/>
      <c r="Y44" s="154">
        <f t="shared" si="22"/>
        <v>633654</v>
      </c>
      <c r="Z44" s="168">
        <f t="shared" si="23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1" t="s">
        <v>64</v>
      </c>
      <c r="E45" s="37" t="s">
        <v>256</v>
      </c>
      <c r="F45" s="116">
        <v>5</v>
      </c>
      <c r="G45" s="153">
        <f>IFERROR(VLOOKUP($A$3:$A$139,'APR-2026'!$A$4:$ABX$112,MATCH('FY-(26-27)Q1'!$G$2:$H$2,'APR-2026'!$A$2:$BY$2,0),0),0)</f>
        <v>213967</v>
      </c>
      <c r="H45" s="155">
        <f>IFERROR(VLOOKUP($A$3:$A$139,'APR-2026'!$A$4:$ABX$112,MATCH('FY-(26-27)Q1'!$G$2:$H$2,'APR-2026'!$A$2:$BY$2,0),0),0)</f>
        <v>0.42793399999999998</v>
      </c>
      <c r="I45" s="153">
        <f>IFERROR(VLOOKUP($A$3:$A$139,'MAY-2026'!$A$4:$ACP$113,MATCH('FY-(26-27)Q1'!$I$2:$J$2,'MAY-2026'!$A$2:$CQ$2,0),0),0)</f>
        <v>844228</v>
      </c>
      <c r="J45" s="155">
        <f>IFERROR(VLOOKUP($A$3:$A$139,'MAY-2026'!$A$4:$ACP$113,MATCH('FY-(26-27)Q1'!$I$2:$J$2,'MAY-2026'!$A$2:$CQ$2,0),0),0)</f>
        <v>1.688456</v>
      </c>
      <c r="K45" s="153">
        <f>IFERROR(VLOOKUP($A$3:$A$139,'JUNE-2026'!$A$4:$ADJ$113,MATCH('FY-(26-27)Q1'!$K$2:$L$2,'JUNE-2026'!$A$2:$DK$2,0),0),0)</f>
        <v>159123</v>
      </c>
      <c r="L45" s="155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6">
        <f t="shared" si="3"/>
        <v>2.4346359999999998</v>
      </c>
      <c r="O45" s="215"/>
      <c r="P45" s="153">
        <f>IFERROR(VLOOKUP($A$3:$A$139,'FY-(26-27)Q2'!$A$4:$ABW$124,MATCH('FY-(26-27)Q1'!$P$2:$Q$2,'FY-(26-27)Q2'!$A$2:$BX$2,0),0),0)</f>
        <v>224852</v>
      </c>
      <c r="Q45" s="155">
        <f>IFERROR(VLOOKUP($A$3:$A$139,'FY-(26-27)Q2'!$A$4:$ABW$124,MATCH('FY-(26-27)Q1'!$P$2:$Q$2,'FY-(26-27)Q2'!$A$2:$BX$2,0),0),0)</f>
        <v>0.44970399999999988</v>
      </c>
      <c r="R45" s="159"/>
      <c r="S45" s="88">
        <f>IFERROR(VLOOKUP($A$4:$A$74,#REF!,MATCH('FY-(26-27)Q1'!$S$2:$T$2,#REF!,0),0),0)</f>
        <v>0</v>
      </c>
      <c r="T45" s="124">
        <f>IFERROR(VLOOKUP($A$4:$A$74,#REF!,MATCH('FY-(26-27)Q1'!$S$2:$T$2,#REF!,0),0),0)</f>
        <v>0</v>
      </c>
      <c r="U45" s="159"/>
      <c r="V45" s="45"/>
      <c r="W45" s="72"/>
      <c r="Y45" s="154">
        <f t="shared" si="22"/>
        <v>1442170</v>
      </c>
      <c r="Z45" s="168">
        <f t="shared" si="23"/>
        <v>2.8843399999999999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3" t="s">
        <v>18</v>
      </c>
      <c r="E46" s="37" t="s">
        <v>256</v>
      </c>
      <c r="F46" s="118">
        <v>5</v>
      </c>
      <c r="G46" s="153">
        <f>IFERROR(VLOOKUP($A$3:$A$139,'APR-2026'!$A$4:$ABX$112,MATCH('FY-(26-27)Q1'!$G$2:$H$2,'APR-2026'!$A$2:$BY$2,0),0),0)</f>
        <v>668954</v>
      </c>
      <c r="H46" s="155">
        <f>IFERROR(VLOOKUP($A$3:$A$139,'APR-2026'!$A$4:$ABX$112,MATCH('FY-(26-27)Q1'!$G$2:$H$2,'APR-2026'!$A$2:$BY$2,0),0),0)</f>
        <v>1.3379079999999999</v>
      </c>
      <c r="I46" s="153">
        <f>IFERROR(VLOOKUP($A$3:$A$139,'MAY-2026'!$A$4:$ACP$113,MATCH('FY-(26-27)Q1'!$I$2:$J$2,'MAY-2026'!$A$2:$CQ$2,0),0),0)</f>
        <v>-630839</v>
      </c>
      <c r="J46" s="155">
        <f>IFERROR(VLOOKUP($A$3:$A$139,'MAY-2026'!$A$4:$ACP$113,MATCH('FY-(26-27)Q1'!$I$2:$J$2,'MAY-2026'!$A$2:$CQ$2,0),0),0)</f>
        <v>-1.2616780000000001</v>
      </c>
      <c r="K46" s="153">
        <f>IFERROR(VLOOKUP($A$3:$A$139,'JUNE-2026'!$A$4:$ADJ$113,MATCH('FY-(26-27)Q1'!$K$2:$L$2,'JUNE-2026'!$A$2:$DK$2,0),0),0)</f>
        <v>-85853</v>
      </c>
      <c r="L46" s="155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6">
        <f t="shared" si="3"/>
        <v>-9.5476000000000172E-2</v>
      </c>
      <c r="O46" s="215"/>
      <c r="P46" s="153">
        <f>IFERROR(VLOOKUP($A$3:$A$139,'FY-(26-27)Q2'!$A$4:$ABW$124,MATCH('FY-(26-27)Q1'!$P$2:$Q$2,'FY-(26-27)Q2'!$A$2:$BX$2,0),0),0)</f>
        <v>854500</v>
      </c>
      <c r="Q46" s="155">
        <f>IFERROR(VLOOKUP($A$3:$A$139,'FY-(26-27)Q2'!$A$4:$ABW$124,MATCH('FY-(26-27)Q1'!$P$2:$Q$2,'FY-(26-27)Q2'!$A$2:$BX$2,0),0),0)</f>
        <v>1.7089999999999999</v>
      </c>
      <c r="R46" s="159"/>
      <c r="S46" s="88">
        <f>IFERROR(VLOOKUP($A$4:$A$74,#REF!,MATCH('FY-(26-27)Q1'!$S$2:$T$2,#REF!,0),0),0)</f>
        <v>0</v>
      </c>
      <c r="T46" s="124">
        <f>IFERROR(VLOOKUP($A$4:$A$74,#REF!,MATCH('FY-(26-27)Q1'!$S$2:$T$2,#REF!,0),0),0)</f>
        <v>0</v>
      </c>
      <c r="U46" s="159"/>
      <c r="V46" s="45"/>
      <c r="W46" s="72"/>
      <c r="X46" s="1"/>
      <c r="Y46" s="154">
        <f t="shared" si="22"/>
        <v>806762</v>
      </c>
      <c r="Z46" s="168">
        <f t="shared" si="23"/>
        <v>1.6135239999999997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2" t="s">
        <v>262</v>
      </c>
      <c r="E47" s="37" t="s">
        <v>256</v>
      </c>
      <c r="F47" s="118">
        <v>0.5</v>
      </c>
      <c r="G47" s="153">
        <f>IFERROR(VLOOKUP($A$3:$A$139,'APR-2026'!$A$4:$ABX$112,MATCH('FY-(26-27)Q1'!$G$2:$H$2,'APR-2026'!$A$2:$BY$2,0),0),0)</f>
        <v>47009</v>
      </c>
      <c r="H47" s="155">
        <f>IFERROR(VLOOKUP($A$3:$A$139,'APR-2026'!$A$4:$ABX$112,MATCH('FY-(26-27)Q1'!$G$2:$H$2,'APR-2026'!$A$2:$BY$2,0),0),0)</f>
        <v>0.94018000000000002</v>
      </c>
      <c r="I47" s="153">
        <f>IFERROR(VLOOKUP($A$3:$A$139,'MAY-2026'!$A$4:$ACP$113,MATCH('FY-(26-27)Q1'!$I$2:$J$2,'MAY-2026'!$A$2:$CQ$2,0),0),0)</f>
        <v>-22476</v>
      </c>
      <c r="J47" s="155">
        <f>IFERROR(VLOOKUP($A$3:$A$139,'MAY-2026'!$A$4:$ACP$113,MATCH('FY-(26-27)Q1'!$I$2:$J$2,'MAY-2026'!$A$2:$CQ$2,0),0),0)</f>
        <v>-0.44951999999999998</v>
      </c>
      <c r="K47" s="153">
        <f>IFERROR(VLOOKUP($A$3:$A$139,'JUNE-2026'!$A$4:$ADJ$113,MATCH('FY-(26-27)Q1'!$K$2:$L$2,'JUNE-2026'!$A$2:$DK$2,0),0),0)</f>
        <v>92362</v>
      </c>
      <c r="L47" s="155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6">
        <f t="shared" si="3"/>
        <v>2.3378999999999999</v>
      </c>
      <c r="O47" s="215"/>
      <c r="P47" s="153">
        <f>IFERROR(VLOOKUP($A$3:$A$139,'FY-(26-27)Q2'!$A$4:$ABW$124,MATCH('FY-(26-27)Q1'!$P$2:$Q$2,'FY-(26-27)Q2'!$A$2:$BX$2,0),0),0)</f>
        <v>-177482</v>
      </c>
      <c r="Q47" s="155">
        <f>IFERROR(VLOOKUP($A$3:$A$139,'FY-(26-27)Q2'!$A$4:$ABW$124,MATCH('FY-(26-27)Q1'!$P$2:$Q$2,'FY-(26-27)Q2'!$A$2:$BX$2,0),0),0)</f>
        <v>-3.5496400000000001</v>
      </c>
      <c r="R47" s="159"/>
      <c r="S47" s="88">
        <f>IFERROR(VLOOKUP($A$4:$A$74,#REF!,MATCH('FY-(26-27)Q1'!$S$2:$T$2,#REF!,0),0),0)</f>
        <v>0</v>
      </c>
      <c r="T47" s="124">
        <f>IFERROR(VLOOKUP($A$4:$A$74,#REF!,MATCH('FY-(26-27)Q1'!$S$2:$T$2,#REF!,0),0),0)</f>
        <v>0</v>
      </c>
      <c r="U47" s="159"/>
      <c r="V47" s="45"/>
      <c r="W47" s="72"/>
      <c r="Y47" s="154">
        <f t="shared" si="22"/>
        <v>-60587</v>
      </c>
      <c r="Z47" s="168">
        <f t="shared" si="23"/>
        <v>-1.2117400000000003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3">
        <f>IFERROR(VLOOKUP($A$3:$A$139,'APR-2026'!$A$4:$ABX$112,MATCH('FY-(26-27)Q1'!$G$2:$H$2,'APR-2026'!$A$2:$BY$2,0),0),0)</f>
        <v>3832</v>
      </c>
      <c r="H48" s="155">
        <f>IFERROR(VLOOKUP($A$3:$A$139,'APR-2026'!$A$4:$ABX$112,MATCH('FY-(26-27)Q1'!$G$2:$H$2,'APR-2026'!$A$2:$BY$2,0),0),0)</f>
        <v>6.3866666666666669E-2</v>
      </c>
      <c r="I48" s="153">
        <f>IFERROR(VLOOKUP($A$3:$A$139,'MAY-2026'!$A$4:$ACP$113,MATCH('FY-(26-27)Q1'!$I$2:$J$2,'MAY-2026'!$A$2:$CQ$2,0),0),0)</f>
        <v>56826</v>
      </c>
      <c r="J48" s="155">
        <f>IFERROR(VLOOKUP($A$3:$A$139,'MAY-2026'!$A$4:$ACP$113,MATCH('FY-(26-27)Q1'!$I$2:$J$2,'MAY-2026'!$A$2:$CQ$2,0),0),0)</f>
        <v>0.94710000000000005</v>
      </c>
      <c r="K48" s="153">
        <f>IFERROR(VLOOKUP($A$3:$A$139,'JUNE-2026'!$A$4:$ADJ$113,MATCH('FY-(26-27)Q1'!$K$2:$L$2,'JUNE-2026'!$A$2:$DK$2,0),0),0)</f>
        <v>0</v>
      </c>
      <c r="L48" s="155">
        <f>IFERROR(VLOOKUP($A$3:$A$139,'JUNE-2026'!$A$4:$ADJ$113,MATCH('FY-(26-27)Q1'!$K$2:$L$2,'JUNE-2026'!$A$2:$DK$2,0),0),0)</f>
        <v>0</v>
      </c>
      <c r="M48" s="71">
        <f t="shared" si="2"/>
        <v>60658</v>
      </c>
      <c r="N48" s="166">
        <f t="shared" si="3"/>
        <v>1.0109666666666668</v>
      </c>
      <c r="O48" s="215"/>
      <c r="P48" s="153">
        <f>IFERROR(VLOOKUP($A$3:$A$139,'FY-(26-27)Q2'!$A$4:$ABW$124,MATCH('FY-(26-27)Q1'!$P$2:$Q$2,'FY-(26-27)Q2'!$A$2:$BX$2,0),0),0)</f>
        <v>0</v>
      </c>
      <c r="Q48" s="155">
        <f>IFERROR(VLOOKUP($A$3:$A$139,'FY-(26-27)Q2'!$A$4:$ABW$124,MATCH('FY-(26-27)Q1'!$P$2:$Q$2,'FY-(26-27)Q2'!$A$2:$BX$2,0),0),0)</f>
        <v>0</v>
      </c>
      <c r="R48" s="159"/>
      <c r="S48" s="88">
        <f>IFERROR(VLOOKUP($A$4:$A$74,#REF!,MATCH('FY-(26-27)Q1'!$S$2:$T$2,#REF!,0),0),0)</f>
        <v>0</v>
      </c>
      <c r="T48" s="124">
        <f>IFERROR(VLOOKUP($A$4:$A$74,#REF!,MATCH('FY-(26-27)Q1'!$S$2:$T$2,#REF!,0),0),0)</f>
        <v>0</v>
      </c>
      <c r="U48" s="159"/>
      <c r="V48" s="45"/>
      <c r="W48" s="72"/>
      <c r="X48" s="1"/>
      <c r="Y48" s="154">
        <f t="shared" si="22"/>
        <v>60658</v>
      </c>
      <c r="Z48" s="168">
        <f t="shared" si="23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3">
        <f>IFERROR(VLOOKUP($A$3:$A$139,'APR-2026'!$A$4:$ABX$112,MATCH('FY-(26-27)Q1'!$G$2:$H$2,'APR-2026'!$A$2:$BY$2,0),0),0)</f>
        <v>104032</v>
      </c>
      <c r="H49" s="155">
        <f>IFERROR(VLOOKUP($A$3:$A$139,'APR-2026'!$A$4:$ABX$112,MATCH('FY-(26-27)Q1'!$G$2:$H$2,'APR-2026'!$A$2:$BY$2,0),0),0)</f>
        <v>2.6008</v>
      </c>
      <c r="I49" s="153">
        <f>IFERROR(VLOOKUP($A$3:$A$139,'MAY-2026'!$A$4:$ACP$113,MATCH('FY-(26-27)Q1'!$I$2:$J$2,'MAY-2026'!$A$2:$CQ$2,0),0),0)</f>
        <v>-9232</v>
      </c>
      <c r="J49" s="155">
        <f>IFERROR(VLOOKUP($A$3:$A$139,'MAY-2026'!$A$4:$ACP$113,MATCH('FY-(26-27)Q1'!$I$2:$J$2,'MAY-2026'!$A$2:$CQ$2,0),0),0)</f>
        <v>-0.23080000000000001</v>
      </c>
      <c r="K49" s="153">
        <f>IFERROR(VLOOKUP($A$3:$A$139,'JUNE-2026'!$A$4:$ADJ$113,MATCH('FY-(26-27)Q1'!$K$2:$L$2,'JUNE-2026'!$A$2:$DK$2,0),0),0)</f>
        <v>-106628</v>
      </c>
      <c r="L49" s="155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6">
        <f t="shared" si="3"/>
        <v>-0.29570000000000007</v>
      </c>
      <c r="O49" s="215"/>
      <c r="P49" s="153">
        <f>IFERROR(VLOOKUP($A$3:$A$139,'FY-(26-27)Q2'!$A$4:$ABW$124,MATCH('FY-(26-27)Q1'!$P$2:$Q$2,'FY-(26-27)Q2'!$A$2:$BX$2,0),0),0)</f>
        <v>-56939</v>
      </c>
      <c r="Q49" s="155">
        <f>IFERROR(VLOOKUP($A$3:$A$139,'FY-(26-27)Q2'!$A$4:$ABW$124,MATCH('FY-(26-27)Q1'!$P$2:$Q$2,'FY-(26-27)Q2'!$A$2:$BX$2,0),0),0)</f>
        <v>-1.4234749999999998</v>
      </c>
      <c r="R49" s="159"/>
      <c r="S49" s="88">
        <f>IFERROR(VLOOKUP($A$4:$A$74,#REF!,MATCH('FY-(26-27)Q1'!$S$2:$T$2,#REF!,0),0),0)</f>
        <v>0</v>
      </c>
      <c r="T49" s="124">
        <f>IFERROR(VLOOKUP($A$4:$A$74,#REF!,MATCH('FY-(26-27)Q1'!$S$2:$T$2,#REF!,0),0),0)</f>
        <v>0</v>
      </c>
      <c r="U49" s="159"/>
      <c r="V49" s="45"/>
      <c r="W49" s="72"/>
      <c r="Y49" s="154">
        <f t="shared" si="22"/>
        <v>-68767</v>
      </c>
      <c r="Z49" s="168">
        <f t="shared" si="23"/>
        <v>-1.7191749999999999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2" t="s">
        <v>107</v>
      </c>
      <c r="F50" s="116">
        <v>0.5</v>
      </c>
      <c r="G50" s="153">
        <f>IFERROR(VLOOKUP($A$3:$A$139,'APR-2026'!$A$4:$ABX$112,MATCH('FY-(26-27)Q1'!$G$2:$H$2,'APR-2026'!$A$2:$BY$2,0),0),0)</f>
        <v>77627</v>
      </c>
      <c r="H50" s="155">
        <f>IFERROR(VLOOKUP($A$3:$A$139,'APR-2026'!$A$4:$ABX$112,MATCH('FY-(26-27)Q1'!$G$2:$H$2,'APR-2026'!$A$2:$BY$2,0),0),0)</f>
        <v>1.55254</v>
      </c>
      <c r="I50" s="153">
        <f>IFERROR(VLOOKUP($A$3:$A$139,'MAY-2026'!$A$4:$ACP$113,MATCH('FY-(26-27)Q1'!$I$2:$J$2,'MAY-2026'!$A$2:$CQ$2,0),0),0)</f>
        <v>-318673</v>
      </c>
      <c r="J50" s="155">
        <f>IFERROR(VLOOKUP($A$3:$A$139,'MAY-2026'!$A$4:$ACP$113,MATCH('FY-(26-27)Q1'!$I$2:$J$2,'MAY-2026'!$A$2:$CQ$2,0),0),0)</f>
        <v>-6.3734599999999997</v>
      </c>
      <c r="K50" s="153">
        <f>IFERROR(VLOOKUP($A$3:$A$139,'JUNE-2026'!$A$4:$ADJ$113,MATCH('FY-(26-27)Q1'!$K$2:$L$2,'JUNE-2026'!$A$2:$DK$2,0),0),0)</f>
        <v>193584</v>
      </c>
      <c r="L50" s="155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6">
        <f t="shared" si="3"/>
        <v>-0.9492399999999992</v>
      </c>
      <c r="O50" s="215"/>
      <c r="P50" s="153">
        <f>IFERROR(VLOOKUP($A$3:$A$139,'FY-(26-27)Q2'!$A$4:$ABW$124,MATCH('FY-(26-27)Q1'!$P$2:$Q$2,'FY-(26-27)Q2'!$A$2:$BX$2,0),0),0)</f>
        <v>-208817</v>
      </c>
      <c r="Q50" s="155">
        <f>IFERROR(VLOOKUP($A$3:$A$139,'FY-(26-27)Q2'!$A$4:$ABW$124,MATCH('FY-(26-27)Q1'!$P$2:$Q$2,'FY-(26-27)Q2'!$A$2:$BX$2,0),0),0)</f>
        <v>-4.1763399999999997</v>
      </c>
      <c r="R50" s="159"/>
      <c r="S50" s="88">
        <f>IFERROR(VLOOKUP($A$4:$A$74,#REF!,MATCH('FY-(26-27)Q1'!$S$2:$T$2,#REF!,0),0),0)</f>
        <v>0</v>
      </c>
      <c r="T50" s="124">
        <f>IFERROR(VLOOKUP($A$4:$A$74,#REF!,MATCH('FY-(26-27)Q1'!$S$2:$T$2,#REF!,0),0),0)</f>
        <v>0</v>
      </c>
      <c r="U50" s="159"/>
      <c r="V50" s="45"/>
      <c r="W50" s="72"/>
      <c r="X50"/>
      <c r="Y50" s="154">
        <f t="shared" si="22"/>
        <v>-256279</v>
      </c>
      <c r="Z50" s="168">
        <f t="shared" si="23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2" t="s">
        <v>256</v>
      </c>
      <c r="F51" s="116">
        <v>0.5</v>
      </c>
      <c r="G51" s="153">
        <f>IFERROR(VLOOKUP($A$3:$A$139,'APR-2026'!$A$4:$ABX$112,MATCH('FY-(26-27)Q1'!$G$2:$H$2,'APR-2026'!$A$2:$BY$2,0),0),0)</f>
        <v>43500</v>
      </c>
      <c r="H51" s="155">
        <f>IFERROR(VLOOKUP($A$3:$A$139,'APR-2026'!$A$4:$ABX$112,MATCH('FY-(26-27)Q1'!$G$2:$H$2,'APR-2026'!$A$2:$BY$2,0),0),0)</f>
        <v>0.87</v>
      </c>
      <c r="I51" s="153">
        <f>IFERROR(VLOOKUP($A$3:$A$139,'MAY-2026'!$A$4:$ACP$113,MATCH('FY-(26-27)Q1'!$I$2:$J$2,'MAY-2026'!$A$2:$CQ$2,0),0),0)</f>
        <v>-206560</v>
      </c>
      <c r="J51" s="155">
        <f>IFERROR(VLOOKUP($A$3:$A$139,'MAY-2026'!$A$4:$ACP$113,MATCH('FY-(26-27)Q1'!$I$2:$J$2,'MAY-2026'!$A$2:$CQ$2,0),0),0)</f>
        <v>-4.1311999999999998</v>
      </c>
      <c r="K51" s="153">
        <f>IFERROR(VLOOKUP($A$3:$A$139,'JUNE-2026'!$A$4:$ADJ$113,MATCH('FY-(26-27)Q1'!$K$2:$L$2,'JUNE-2026'!$A$2:$DK$2,0),0),0)</f>
        <v>-172401</v>
      </c>
      <c r="L51" s="155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6">
        <f t="shared" si="3"/>
        <v>-6.7092200000000002</v>
      </c>
      <c r="O51" s="215"/>
      <c r="P51" s="153">
        <f>IFERROR(VLOOKUP($A$3:$A$139,'FY-(26-27)Q2'!$A$4:$ABW$124,MATCH('FY-(26-27)Q1'!$P$2:$Q$2,'FY-(26-27)Q2'!$A$2:$BX$2,0),0),0)</f>
        <v>-64553</v>
      </c>
      <c r="Q51" s="155">
        <f>IFERROR(VLOOKUP($A$3:$A$139,'FY-(26-27)Q2'!$A$4:$ABW$124,MATCH('FY-(26-27)Q1'!$P$2:$Q$2,'FY-(26-27)Q2'!$A$2:$BX$2,0),0),0)</f>
        <v>-1.2910600000000001</v>
      </c>
      <c r="R51" s="159"/>
      <c r="S51" s="88">
        <f>IFERROR(VLOOKUP($A$4:$A$74,#REF!,MATCH('FY-(26-27)Q1'!$S$2:$T$2,#REF!,0),0),0)</f>
        <v>0</v>
      </c>
      <c r="T51" s="124">
        <f>IFERROR(VLOOKUP($A$4:$A$74,#REF!,MATCH('FY-(26-27)Q1'!$S$2:$T$2,#REF!,0),0),0)</f>
        <v>0</v>
      </c>
      <c r="U51" s="159"/>
      <c r="V51" s="45"/>
      <c r="W51" s="72"/>
      <c r="Y51" s="154">
        <f t="shared" si="22"/>
        <v>-400014</v>
      </c>
      <c r="Z51" s="168">
        <f t="shared" si="23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2" t="s">
        <v>263</v>
      </c>
      <c r="E52" s="40" t="s">
        <v>256</v>
      </c>
      <c r="F52" s="116">
        <v>4</v>
      </c>
      <c r="G52" s="153">
        <f>IFERROR(VLOOKUP($A$3:$A$139,'APR-2026'!$A$4:$ABX$112,MATCH('FY-(26-27)Q1'!$G$2:$H$2,'APR-2026'!$A$2:$BY$2,0),0),0)</f>
        <v>134591</v>
      </c>
      <c r="H52" s="155">
        <f>IFERROR(VLOOKUP($A$3:$A$139,'APR-2026'!$A$4:$ABX$112,MATCH('FY-(26-27)Q1'!$G$2:$H$2,'APR-2026'!$A$2:$BY$2,0),0),0)</f>
        <v>0.33647749999999998</v>
      </c>
      <c r="I52" s="153">
        <f>IFERROR(VLOOKUP($A$3:$A$139,'MAY-2026'!$A$4:$ACP$113,MATCH('FY-(26-27)Q1'!$I$2:$J$2,'MAY-2026'!$A$2:$CQ$2,0),0),0)</f>
        <v>-283771</v>
      </c>
      <c r="J52" s="155">
        <f>IFERROR(VLOOKUP($A$3:$A$139,'MAY-2026'!$A$4:$ACP$113,MATCH('FY-(26-27)Q1'!$I$2:$J$2,'MAY-2026'!$A$2:$CQ$2,0),0),0)</f>
        <v>-0.70942749999999999</v>
      </c>
      <c r="K52" s="153">
        <f>IFERROR(VLOOKUP($A$3:$A$139,'JUNE-2026'!$A$4:$ADJ$113,MATCH('FY-(26-27)Q1'!$K$2:$L$2,'JUNE-2026'!$A$2:$DK$2,0),0),0)</f>
        <v>-251119</v>
      </c>
      <c r="L52" s="155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6">
        <f t="shared" si="3"/>
        <v>-1.0007475000000001</v>
      </c>
      <c r="O52" s="215"/>
      <c r="P52" s="153">
        <f>IFERROR(VLOOKUP($A$3:$A$139,'FY-(26-27)Q2'!$A$4:$ABW$124,MATCH('FY-(26-27)Q1'!$P$2:$Q$2,'FY-(26-27)Q2'!$A$2:$BX$2,0),0),0)</f>
        <v>626684</v>
      </c>
      <c r="Q52" s="155">
        <f>IFERROR(VLOOKUP($A$3:$A$139,'FY-(26-27)Q2'!$A$4:$ABW$124,MATCH('FY-(26-27)Q1'!$P$2:$Q$2,'FY-(26-27)Q2'!$A$2:$BX$2,0),0),0)</f>
        <v>1.56671</v>
      </c>
      <c r="R52" s="159"/>
      <c r="S52" s="88">
        <f>IFERROR(VLOOKUP($A$4:$A$74,#REF!,MATCH('FY-(26-27)Q1'!$S$2:$T$2,#REF!,0),0),0)</f>
        <v>0</v>
      </c>
      <c r="T52" s="124">
        <f>IFERROR(VLOOKUP($A$4:$A$74,#REF!,MATCH('FY-(26-27)Q1'!$S$2:$T$2,#REF!,0),0),0)</f>
        <v>0</v>
      </c>
      <c r="U52" s="159"/>
      <c r="V52" s="45"/>
      <c r="W52" s="72"/>
      <c r="Y52" s="154">
        <f t="shared" si="22"/>
        <v>226385</v>
      </c>
      <c r="Z52" s="168">
        <f t="shared" si="23"/>
        <v>0.56596249999999992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2" t="s">
        <v>106</v>
      </c>
      <c r="E53" s="40" t="s">
        <v>106</v>
      </c>
      <c r="F53" s="116">
        <v>1</v>
      </c>
      <c r="G53" s="153">
        <f>IFERROR(VLOOKUP($A$3:$A$139,'APR-2026'!$A$4:$ABX$112,MATCH('FY-(26-27)Q1'!$G$2:$H$2,'APR-2026'!$A$2:$BY$2,0),0),0)</f>
        <v>601979</v>
      </c>
      <c r="H53" s="155">
        <f>IFERROR(VLOOKUP($A$3:$A$139,'APR-2026'!$A$4:$ABX$112,MATCH('FY-(26-27)Q1'!$G$2:$H$2,'APR-2026'!$A$2:$BY$2,0),0),0)</f>
        <v>6.0197900000000004</v>
      </c>
      <c r="I53" s="153">
        <f>IFERROR(VLOOKUP($A$3:$A$139,'MAY-2026'!$A$4:$ACP$113,MATCH('FY-(26-27)Q1'!$I$2:$J$2,'MAY-2026'!$A$2:$CQ$2,0),0),0)</f>
        <v>74933</v>
      </c>
      <c r="J53" s="155">
        <f>IFERROR(VLOOKUP($A$3:$A$139,'MAY-2026'!$A$4:$ACP$113,MATCH('FY-(26-27)Q1'!$I$2:$J$2,'MAY-2026'!$A$2:$CQ$2,0),0),0)</f>
        <v>0.74933000000000005</v>
      </c>
      <c r="K53" s="153">
        <f>IFERROR(VLOOKUP($A$3:$A$139,'JUNE-2026'!$A$4:$ADJ$113,MATCH('FY-(26-27)Q1'!$K$2:$L$2,'JUNE-2026'!$A$2:$DK$2,0),0),0)</f>
        <v>68881</v>
      </c>
      <c r="L53" s="155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6">
        <f t="shared" si="3"/>
        <v>7.4579300000000011</v>
      </c>
      <c r="O53" s="215"/>
      <c r="P53" s="153">
        <f>IFERROR(VLOOKUP($A$3:$A$139,'FY-(26-27)Q2'!$A$4:$ABW$124,MATCH('FY-(26-27)Q1'!$P$2:$Q$2,'FY-(26-27)Q2'!$A$2:$BX$2,0),0),0)</f>
        <v>196215</v>
      </c>
      <c r="Q53" s="155">
        <f>IFERROR(VLOOKUP($A$3:$A$139,'FY-(26-27)Q2'!$A$4:$ABW$124,MATCH('FY-(26-27)Q1'!$P$2:$Q$2,'FY-(26-27)Q2'!$A$2:$BX$2,0),0),0)</f>
        <v>1.9621499999999998</v>
      </c>
      <c r="R53" s="159"/>
      <c r="S53" s="88">
        <f>IFERROR(VLOOKUP($A$4:$A$74,#REF!,MATCH('FY-(26-27)Q1'!$S$2:$T$2,#REF!,0),0),0)</f>
        <v>0</v>
      </c>
      <c r="T53" s="124">
        <f>IFERROR(VLOOKUP($A$4:$A$74,#REF!,MATCH('FY-(26-27)Q1'!$S$2:$T$2,#REF!,0),0),0)</f>
        <v>0</v>
      </c>
      <c r="U53" s="159"/>
      <c r="V53" s="45"/>
      <c r="W53" s="72"/>
      <c r="Y53" s="154">
        <f t="shared" si="22"/>
        <v>942008</v>
      </c>
      <c r="Z53" s="168">
        <f t="shared" si="23"/>
        <v>9.4200800000000005</v>
      </c>
    </row>
    <row r="54" spans="1:34" s="132" customFormat="1" ht="15" customHeight="1" x14ac:dyDescent="0.25">
      <c r="A54" s="142" t="s">
        <v>314</v>
      </c>
      <c r="B54" s="143" t="s">
        <v>105</v>
      </c>
      <c r="C54" s="142" t="s">
        <v>15</v>
      </c>
      <c r="D54" s="142" t="s">
        <v>256</v>
      </c>
      <c r="E54" s="142" t="s">
        <v>256</v>
      </c>
      <c r="F54" s="156">
        <v>0.5</v>
      </c>
      <c r="G54" s="153">
        <f>IFERROR(VLOOKUP($A$3:$A$139,'APR-2026'!$A$4:$ABX$112,MATCH('FY-(26-27)Q1'!$G$2:$H$2,'APR-2026'!$A$2:$BY$2,0),0),0)</f>
        <v>0</v>
      </c>
      <c r="H54" s="155">
        <f>IFERROR(VLOOKUP($A$3:$A$139,'APR-2026'!$A$4:$ABX$112,MATCH('FY-(26-27)Q1'!$G$2:$H$2,'APR-2026'!$A$2:$BY$2,0),0),0)</f>
        <v>0</v>
      </c>
      <c r="I54" s="153">
        <f>IFERROR(VLOOKUP($A$3:$A$139,'MAY-2026'!$A$4:$ACP$113,MATCH('FY-(26-27)Q1'!$I$2:$J$2,'MAY-2026'!$A$2:$CQ$2,0),0),0)</f>
        <v>0</v>
      </c>
      <c r="J54" s="155">
        <f>IFERROR(VLOOKUP($A$3:$A$139,'MAY-2026'!$A$4:$ACP$113,MATCH('FY-(26-27)Q1'!$I$2:$J$2,'MAY-2026'!$A$2:$CQ$2,0),0),0)</f>
        <v>0</v>
      </c>
      <c r="K54" s="153">
        <f>IFERROR(VLOOKUP($A$3:$A$139,'JUNE-2026'!$A$4:$ADJ$113,MATCH('FY-(26-27)Q1'!$K$2:$L$2,'JUNE-2026'!$A$2:$DK$2,0),0),0)</f>
        <v>0</v>
      </c>
      <c r="L54" s="155">
        <f>IFERROR(VLOOKUP($A$3:$A$139,'JUNE-2026'!$A$4:$ADJ$113,MATCH('FY-(26-27)Q1'!$K$2:$L$2,'JUNE-2026'!$A$2:$DK$2,0),0),0)</f>
        <v>0</v>
      </c>
      <c r="M54" s="71">
        <f t="shared" ref="M54" si="27">G54+I54+K54</f>
        <v>0</v>
      </c>
      <c r="N54" s="166">
        <f t="shared" ref="N54" si="28">H54+J54+L54</f>
        <v>0</v>
      </c>
      <c r="O54" s="215"/>
      <c r="P54" s="153">
        <f>IFERROR(VLOOKUP($A$3:$A$139,'FY-(26-27)Q2'!$A$4:$ABW$124,MATCH('FY-(26-27)Q1'!$P$2:$Q$2,'FY-(26-27)Q2'!$A$2:$BX$2,0),0),0)</f>
        <v>0</v>
      </c>
      <c r="Q54" s="155">
        <f>IFERROR(VLOOKUP($A$3:$A$139,'FY-(26-27)Q2'!$A$4:$ABW$124,MATCH('FY-(26-27)Q1'!$P$2:$Q$2,'FY-(26-27)Q2'!$A$2:$BX$2,0),0),0)</f>
        <v>0</v>
      </c>
      <c r="R54" s="159"/>
      <c r="S54" s="153">
        <f>IFERROR(VLOOKUP($A$4:$A$74,#REF!,MATCH('FY-(26-27)Q1'!$S$2:$T$2,#REF!,0),0),0)</f>
        <v>0</v>
      </c>
      <c r="T54" s="159">
        <f>IFERROR(VLOOKUP($A$4:$A$74,#REF!,MATCH('FY-(26-27)Q1'!$S$2:$T$2,#REF!,0),0),0)</f>
        <v>0</v>
      </c>
      <c r="U54" s="159"/>
      <c r="V54" s="144"/>
      <c r="W54" s="150"/>
      <c r="Y54" s="154">
        <f t="shared" ref="Y54" si="29">M54+P54+S54+V54</f>
        <v>0</v>
      </c>
      <c r="Z54" s="168">
        <f t="shared" ref="Z54" si="30">(N54+Q54+T54+W54)</f>
        <v>0</v>
      </c>
    </row>
    <row r="55" spans="1:34" ht="15" customHeight="1" x14ac:dyDescent="0.25">
      <c r="A55" s="142" t="s">
        <v>229</v>
      </c>
      <c r="B55" s="143" t="s">
        <v>105</v>
      </c>
      <c r="C55" s="142" t="s">
        <v>218</v>
      </c>
      <c r="D55" s="142" t="s">
        <v>269</v>
      </c>
      <c r="E55" s="142" t="s">
        <v>256</v>
      </c>
      <c r="F55" s="156">
        <v>0.5</v>
      </c>
      <c r="G55" s="153">
        <f>IFERROR(VLOOKUP($A$3:$A$139,'APR-2026'!$A$4:$ABX$112,MATCH('FY-(26-27)Q1'!$G$2:$H$2,'APR-2026'!$A$2:$BY$2,0),0),0)</f>
        <v>0</v>
      </c>
      <c r="H55" s="155">
        <f>IFERROR(VLOOKUP($A$3:$A$139,'APR-2026'!$A$4:$ABX$112,MATCH('FY-(26-27)Q1'!$G$2:$H$2,'APR-2026'!$A$2:$BY$2,0),0),0)</f>
        <v>0</v>
      </c>
      <c r="I55" s="153">
        <f>IFERROR(VLOOKUP($A$3:$A$139,'MAY-2026'!$A$4:$ACP$113,MATCH('FY-(26-27)Q1'!$I$2:$J$2,'MAY-2026'!$A$2:$CQ$2,0),0),0)</f>
        <v>-2189</v>
      </c>
      <c r="J55" s="155">
        <f>IFERROR(VLOOKUP($A$3:$A$139,'MAY-2026'!$A$4:$ACP$113,MATCH('FY-(26-27)Q1'!$I$2:$J$2,'MAY-2026'!$A$2:$CQ$2,0),0),0)</f>
        <v>-4.3779999999999999E-2</v>
      </c>
      <c r="K55" s="153">
        <f>IFERROR(VLOOKUP($A$3:$A$139,'JUNE-2026'!$A$4:$ADJ$113,MATCH('FY-(26-27)Q1'!$K$2:$L$2,'JUNE-2026'!$A$2:$DK$2,0),0),0)</f>
        <v>-243589</v>
      </c>
      <c r="L55" s="155">
        <f>IFERROR(VLOOKUP($A$3:$A$139,'JUNE-2026'!$A$4:$ADJ$113,MATCH('FY-(26-27)Q1'!$K$2:$L$2,'JUNE-2026'!$A$2:$DK$2,0),0),0)</f>
        <v>-4.8717800000000002</v>
      </c>
      <c r="M55" s="71">
        <f t="shared" ref="M55" si="31">G55+I55+K55</f>
        <v>-245778</v>
      </c>
      <c r="N55" s="166">
        <f t="shared" ref="N55" si="32">H55+J55+L55</f>
        <v>-4.9155600000000002</v>
      </c>
      <c r="O55" s="215"/>
      <c r="P55" s="153">
        <f>IFERROR(VLOOKUP($A$3:$A$139,'FY-(26-27)Q2'!$A$4:$ABW$124,MATCH('FY-(26-27)Q1'!$P$2:$Q$2,'FY-(26-27)Q2'!$A$2:$BX$2,0),0),0)</f>
        <v>-95143</v>
      </c>
      <c r="Q55" s="155">
        <f>IFERROR(VLOOKUP($A$3:$A$139,'FY-(26-27)Q2'!$A$4:$ABW$124,MATCH('FY-(26-27)Q1'!$P$2:$Q$2,'FY-(26-27)Q2'!$A$2:$BX$2,0),0),0)</f>
        <v>-1.90286</v>
      </c>
      <c r="R55" s="159"/>
      <c r="S55" s="153">
        <f>IFERROR(VLOOKUP($A$4:$A$74,#REF!,MATCH('FY-(26-27)Q1'!$S$2:$T$2,#REF!,0),0),0)</f>
        <v>0</v>
      </c>
      <c r="T55" s="159">
        <f>IFERROR(VLOOKUP($A$4:$A$74,#REF!,MATCH('FY-(26-27)Q1'!$S$2:$T$2,#REF!,0),0),0)</f>
        <v>0</v>
      </c>
      <c r="U55" s="159"/>
      <c r="V55" s="144"/>
      <c r="W55" s="150"/>
      <c r="X55" s="132"/>
      <c r="Y55" s="154">
        <f t="shared" si="22"/>
        <v>-340921</v>
      </c>
      <c r="Z55" s="168">
        <f t="shared" si="23"/>
        <v>-6.8184199999999997</v>
      </c>
      <c r="AA55" s="132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2" t="s">
        <v>265</v>
      </c>
      <c r="E56" s="60" t="s">
        <v>256</v>
      </c>
      <c r="F56" s="116">
        <v>1</v>
      </c>
      <c r="G56" s="153">
        <f>IFERROR(VLOOKUP($A$3:$A$139,'APR-2026'!$A$4:$ABX$112,MATCH('FY-(26-27)Q1'!$G$2:$H$2,'APR-2026'!$A$2:$BY$2,0),0),0)</f>
        <v>-4883324</v>
      </c>
      <c r="H56" s="155">
        <f>IFERROR(VLOOKUP($A$3:$A$139,'APR-2026'!$A$4:$ABX$112,MATCH('FY-(26-27)Q1'!$G$2:$H$2,'APR-2026'!$A$2:$BY$2,0),0),0)</f>
        <v>-16.277746666666669</v>
      </c>
      <c r="I56" s="153">
        <f>IFERROR(VLOOKUP($A$3:$A$139,'MAY-2026'!$A$4:$ACP$113,MATCH('FY-(26-27)Q1'!$I$2:$J$2,'MAY-2026'!$A$2:$CQ$2,0),0),0)</f>
        <v>76551</v>
      </c>
      <c r="J56" s="155">
        <f>IFERROR(VLOOKUP($A$3:$A$139,'MAY-2026'!$A$4:$ACP$113,MATCH('FY-(26-27)Q1'!$I$2:$J$2,'MAY-2026'!$A$2:$CQ$2,0),0),0)</f>
        <v>0.25517000000000001</v>
      </c>
      <c r="K56" s="153">
        <f>IFERROR(VLOOKUP($A$3:$A$139,'JUNE-2026'!$A$4:$ADJ$113,MATCH('FY-(26-27)Q1'!$K$2:$L$2,'JUNE-2026'!$A$2:$DK$2,0),0),0)</f>
        <v>107798</v>
      </c>
      <c r="L56" s="155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6">
        <f t="shared" si="3"/>
        <v>-15.663250000000003</v>
      </c>
      <c r="O56" s="215"/>
      <c r="P56" s="153">
        <f>IFERROR(VLOOKUP($A$3:$A$139,'FY-(26-27)Q2'!$A$4:$ABW$124,MATCH('FY-(26-27)Q1'!$P$2:$Q$2,'FY-(26-27)Q2'!$A$2:$BX$2,0),0),0)</f>
        <v>-167198</v>
      </c>
      <c r="Q56" s="155">
        <f>IFERROR(VLOOKUP($A$3:$A$139,'FY-(26-27)Q2'!$A$4:$ABW$124,MATCH('FY-(26-27)Q1'!$P$2:$Q$2,'FY-(26-27)Q2'!$A$2:$BX$2,0),0),0)</f>
        <v>-0.55732666666666664</v>
      </c>
      <c r="R56" s="159"/>
      <c r="S56" s="88">
        <f>IFERROR(VLOOKUP($A$4:$A$74,#REF!,MATCH('FY-(26-27)Q1'!$S$2:$T$2,#REF!,0),0),0)</f>
        <v>0</v>
      </c>
      <c r="T56" s="124">
        <f>IFERROR(VLOOKUP($A$4:$A$74,#REF!,MATCH('FY-(26-27)Q1'!$S$2:$T$2,#REF!,0),0),0)</f>
        <v>0</v>
      </c>
      <c r="U56" s="159"/>
      <c r="V56" s="45"/>
      <c r="W56" s="72"/>
      <c r="Y56" s="154">
        <f t="shared" si="22"/>
        <v>-4866173</v>
      </c>
      <c r="Z56" s="168">
        <f t="shared" si="23"/>
        <v>-16.22057666666667</v>
      </c>
      <c r="AB56" s="132"/>
      <c r="AC56" s="132"/>
    </row>
    <row r="57" spans="1:34" ht="15" customHeight="1" x14ac:dyDescent="0.25">
      <c r="A57" s="142" t="s">
        <v>193</v>
      </c>
      <c r="B57" s="143" t="s">
        <v>186</v>
      </c>
      <c r="C57" s="142" t="s">
        <v>221</v>
      </c>
      <c r="D57" s="142" t="s">
        <v>265</v>
      </c>
      <c r="E57" s="142" t="s">
        <v>256</v>
      </c>
      <c r="F57" s="156">
        <v>3</v>
      </c>
      <c r="G57" s="153">
        <f>IFERROR(VLOOKUP($A$3:$A$139,'APR-2026'!$A$4:$ABX$112,MATCH('FY-(26-27)Q1'!$G$2:$H$2,'APR-2026'!$A$2:$BY$2,0),0),0)</f>
        <v>-586367</v>
      </c>
      <c r="H57" s="155">
        <f>IFERROR(VLOOKUP($A$3:$A$139,'APR-2026'!$A$4:$ABX$112,MATCH('FY-(26-27)Q1'!$G$2:$H$2,'APR-2026'!$A$2:$BY$2,0),0),0)</f>
        <v>-1.9545566666666665</v>
      </c>
      <c r="I57" s="153">
        <f>IFERROR(VLOOKUP($A$3:$A$139,'MAY-2026'!$A$4:$ACP$113,MATCH('FY-(26-27)Q1'!$I$2:$J$2,'MAY-2026'!$A$2:$CQ$2,0),0),0)</f>
        <v>152411</v>
      </c>
      <c r="J57" s="155">
        <f>IFERROR(VLOOKUP($A$3:$A$139,'MAY-2026'!$A$4:$ACP$113,MATCH('FY-(26-27)Q1'!$I$2:$J$2,'MAY-2026'!$A$2:$CQ$2,0),0),0)</f>
        <v>0.50803666666666658</v>
      </c>
      <c r="K57" s="153">
        <f>IFERROR(VLOOKUP($A$3:$A$139,'JUNE-2026'!$A$4:$ADJ$113,MATCH('FY-(26-27)Q1'!$K$2:$L$2,'JUNE-2026'!$A$2:$DK$2,0),0),0)</f>
        <v>144510</v>
      </c>
      <c r="L57" s="155">
        <f>IFERROR(VLOOKUP($A$3:$A$139,'JUNE-2026'!$A$4:$ADJ$113,MATCH('FY-(26-27)Q1'!$K$2:$L$2,'JUNE-2026'!$A$2:$DK$2,0),0),0)</f>
        <v>0.48170000000000002</v>
      </c>
      <c r="M57" s="71">
        <f t="shared" ref="M57" si="33">G57+I57+K57</f>
        <v>-289446</v>
      </c>
      <c r="N57" s="166">
        <f t="shared" ref="N57" si="34">H57+J57+L57</f>
        <v>-0.96482000000000001</v>
      </c>
      <c r="O57" s="215"/>
      <c r="P57" s="153">
        <f>IFERROR(VLOOKUP($A$3:$A$139,'FY-(26-27)Q2'!$A$4:$ABW$124,MATCH('FY-(26-27)Q1'!$P$2:$Q$2,'FY-(26-27)Q2'!$A$2:$BX$2,0),0),0)</f>
        <v>-39847</v>
      </c>
      <c r="Q57" s="155">
        <f>IFERROR(VLOOKUP($A$3:$A$139,'FY-(26-27)Q2'!$A$4:$ABW$124,MATCH('FY-(26-27)Q1'!$P$2:$Q$2,'FY-(26-27)Q2'!$A$2:$BX$2,0),0),0)</f>
        <v>-0.13282333333333335</v>
      </c>
      <c r="R57" s="159"/>
      <c r="S57" s="153">
        <f>IFERROR(VLOOKUP($A$4:$A$74,#REF!,MATCH('FY-(26-27)Q1'!$S$2:$T$2,#REF!,0),0),0)</f>
        <v>0</v>
      </c>
      <c r="T57" s="159">
        <f>IFERROR(VLOOKUP($A$4:$A$74,#REF!,MATCH('FY-(26-27)Q1'!$S$2:$T$2,#REF!,0),0),0)</f>
        <v>0</v>
      </c>
      <c r="U57" s="159"/>
      <c r="V57" s="144"/>
      <c r="W57" s="150"/>
      <c r="X57" s="132"/>
      <c r="Y57" s="154">
        <f t="shared" si="22"/>
        <v>-329293</v>
      </c>
      <c r="Z57" s="168">
        <f t="shared" si="23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2" t="s">
        <v>269</v>
      </c>
      <c r="E58" s="37" t="s">
        <v>256</v>
      </c>
      <c r="F58" s="116">
        <v>3</v>
      </c>
      <c r="G58" s="153">
        <f>IFERROR(VLOOKUP($A$3:$A$139,'APR-2026'!$A$4:$ABX$112,MATCH('FY-(26-27)Q1'!$G$2:$H$2,'APR-2026'!$A$2:$BY$2,0),0),0)</f>
        <v>-109500</v>
      </c>
      <c r="H58" s="155">
        <f>IFERROR(VLOOKUP($A$3:$A$139,'APR-2026'!$A$4:$ABX$112,MATCH('FY-(26-27)Q1'!$G$2:$H$2,'APR-2026'!$A$2:$BY$2,0),0),0)</f>
        <v>-0.36499999999999999</v>
      </c>
      <c r="I58" s="153">
        <f>IFERROR(VLOOKUP($A$3:$A$139,'MAY-2026'!$A$4:$ACP$113,MATCH('FY-(26-27)Q1'!$I$2:$J$2,'MAY-2026'!$A$2:$CQ$2,0),0),0)</f>
        <v>174432</v>
      </c>
      <c r="J58" s="155">
        <f>IFERROR(VLOOKUP($A$3:$A$139,'MAY-2026'!$A$4:$ACP$113,MATCH('FY-(26-27)Q1'!$I$2:$J$2,'MAY-2026'!$A$2:$CQ$2,0),0),0)</f>
        <v>0.58143999999999996</v>
      </c>
      <c r="K58" s="153">
        <f>IFERROR(VLOOKUP($A$3:$A$139,'JUNE-2026'!$A$4:$ADJ$113,MATCH('FY-(26-27)Q1'!$K$2:$L$2,'JUNE-2026'!$A$2:$DK$2,0),0),0)</f>
        <v>30862</v>
      </c>
      <c r="L58" s="155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6">
        <f t="shared" si="3"/>
        <v>0.31931333333333328</v>
      </c>
      <c r="O58" s="215"/>
      <c r="P58" s="153">
        <f>IFERROR(VLOOKUP($A$3:$A$139,'FY-(26-27)Q2'!$A$4:$ABW$124,MATCH('FY-(26-27)Q1'!$P$2:$Q$2,'FY-(26-27)Q2'!$A$2:$BX$2,0),0),0)</f>
        <v>30958</v>
      </c>
      <c r="Q58" s="155">
        <f>IFERROR(VLOOKUP($A$3:$A$139,'FY-(26-27)Q2'!$A$4:$ABW$124,MATCH('FY-(26-27)Q1'!$P$2:$Q$2,'FY-(26-27)Q2'!$A$2:$BX$2,0),0),0)</f>
        <v>0.10319333333333325</v>
      </c>
      <c r="R58" s="159"/>
      <c r="S58" s="88">
        <f>IFERROR(VLOOKUP($A$4:$A$74,#REF!,MATCH('FY-(26-27)Q1'!$S$2:$T$2,#REF!,0),0),0)</f>
        <v>0</v>
      </c>
      <c r="T58" s="124">
        <f>IFERROR(VLOOKUP($A$4:$A$74,#REF!,MATCH('FY-(26-27)Q1'!$S$2:$T$2,#REF!,0),0),0)</f>
        <v>0</v>
      </c>
      <c r="U58" s="159"/>
      <c r="V58" s="45"/>
      <c r="W58" s="72"/>
      <c r="X58"/>
      <c r="Y58" s="154">
        <f t="shared" si="22"/>
        <v>126752</v>
      </c>
      <c r="Z58" s="168">
        <f t="shared" si="23"/>
        <v>0.42250666666666653</v>
      </c>
      <c r="AB58"/>
      <c r="AC58"/>
      <c r="AD58"/>
      <c r="AE58"/>
      <c r="AF58"/>
      <c r="AG58"/>
      <c r="AH58"/>
    </row>
    <row r="59" spans="1:34" s="132" customFormat="1" ht="15" customHeight="1" x14ac:dyDescent="0.25">
      <c r="A59" s="35" t="s">
        <v>132</v>
      </c>
      <c r="B59" s="36" t="s">
        <v>129</v>
      </c>
      <c r="C59" s="35" t="s">
        <v>17</v>
      </c>
      <c r="D59" s="142" t="s">
        <v>267</v>
      </c>
      <c r="E59" s="37" t="s">
        <v>256</v>
      </c>
      <c r="F59" s="116">
        <v>1</v>
      </c>
      <c r="G59" s="153">
        <f>IFERROR(VLOOKUP($A$3:$A$139,'APR-2026'!$A$4:$ABX$112,MATCH('FY-(26-27)Q1'!$G$2:$H$2,'APR-2026'!$A$2:$BY$2,0),0),0)</f>
        <v>38535</v>
      </c>
      <c r="H59" s="155">
        <f>IFERROR(VLOOKUP($A$3:$A$139,'APR-2026'!$A$4:$ABX$112,MATCH('FY-(26-27)Q1'!$G$2:$H$2,'APR-2026'!$A$2:$BY$2,0),0),0)</f>
        <v>0.38535000000000003</v>
      </c>
      <c r="I59" s="153">
        <f>IFERROR(VLOOKUP($A$3:$A$139,'MAY-2026'!$A$4:$ACP$113,MATCH('FY-(26-27)Q1'!$I$2:$J$2,'MAY-2026'!$A$2:$CQ$2,0),0),0)</f>
        <v>11519</v>
      </c>
      <c r="J59" s="155">
        <f>IFERROR(VLOOKUP($A$3:$A$139,'MAY-2026'!$A$4:$ACP$113,MATCH('FY-(26-27)Q1'!$I$2:$J$2,'MAY-2026'!$A$2:$CQ$2,0),0),0)</f>
        <v>7.6793333333333325E-2</v>
      </c>
      <c r="K59" s="153">
        <f>IFERROR(VLOOKUP($A$3:$A$139,'JUNE-2026'!$A$4:$ADJ$113,MATCH('FY-(26-27)Q1'!$K$2:$L$2,'JUNE-2026'!$A$2:$DK$2,0),0),0)</f>
        <v>-13331</v>
      </c>
      <c r="L59" s="155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6">
        <f t="shared" si="3"/>
        <v>0.32883333333333331</v>
      </c>
      <c r="O59" s="215"/>
      <c r="P59" s="153">
        <f>IFERROR(VLOOKUP($A$3:$A$139,'FY-(26-27)Q2'!$A$4:$ABW$124,MATCH('FY-(26-27)Q1'!$P$2:$Q$2,'FY-(26-27)Q2'!$A$2:$BX$2,0),0),0)</f>
        <v>36613</v>
      </c>
      <c r="Q59" s="155">
        <f>IFERROR(VLOOKUP($A$3:$A$139,'FY-(26-27)Q2'!$A$4:$ABW$124,MATCH('FY-(26-27)Q1'!$P$2:$Q$2,'FY-(26-27)Q2'!$A$2:$BX$2,0),0),0)</f>
        <v>0.41166000000000003</v>
      </c>
      <c r="R59" s="159"/>
      <c r="S59" s="88">
        <f>IFERROR(VLOOKUP($A$4:$A$74,#REF!,MATCH('FY-(26-27)Q1'!$S$2:$T$2,#REF!,0),0),0)</f>
        <v>0</v>
      </c>
      <c r="T59" s="124">
        <f>IFERROR(VLOOKUP($A$4:$A$74,#REF!,MATCH('FY-(26-27)Q1'!$S$2:$T$2,#REF!,0),0),0)</f>
        <v>0</v>
      </c>
      <c r="U59" s="159"/>
      <c r="V59" s="45"/>
      <c r="W59" s="72"/>
      <c r="X59" s="1"/>
      <c r="Y59" s="154">
        <f t="shared" si="22"/>
        <v>73336</v>
      </c>
      <c r="Z59" s="168">
        <f t="shared" si="23"/>
        <v>0.74049333333333334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3">
        <f>IFERROR(VLOOKUP($A$3:$A$139,'APR-2026'!$A$4:$ABX$112,MATCH('FY-(26-27)Q1'!$G$2:$H$2,'APR-2026'!$A$2:$BY$2,0),0),0)</f>
        <v>3123845</v>
      </c>
      <c r="H60" s="155">
        <f>IFERROR(VLOOKUP($A$3:$A$139,'APR-2026'!$A$4:$ABX$112,MATCH('FY-(26-27)Q1'!$G$2:$H$2,'APR-2026'!$A$2:$BY$2,0),0),0)</f>
        <v>31.23845</v>
      </c>
      <c r="I60" s="153">
        <f>IFERROR(VLOOKUP($A$3:$A$139,'MAY-2026'!$A$4:$ACP$113,MATCH('FY-(26-27)Q1'!$I$2:$J$2,'MAY-2026'!$A$2:$CQ$2,0),0),0)</f>
        <v>232568</v>
      </c>
      <c r="J60" s="155">
        <f>IFERROR(VLOOKUP($A$3:$A$139,'MAY-2026'!$A$4:$ACP$113,MATCH('FY-(26-27)Q1'!$I$2:$J$2,'MAY-2026'!$A$2:$CQ$2,0),0),0)</f>
        <v>2.3256800000000002</v>
      </c>
      <c r="K60" s="153">
        <f>IFERROR(VLOOKUP($A$3:$A$139,'JUNE-2026'!$A$4:$ADJ$113,MATCH('FY-(26-27)Q1'!$K$2:$L$2,'JUNE-2026'!$A$2:$DK$2,0),0),0)</f>
        <v>193656</v>
      </c>
      <c r="L60" s="155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6">
        <f t="shared" si="3"/>
        <v>35.500689999999999</v>
      </c>
      <c r="O60" s="215"/>
      <c r="P60" s="153">
        <f>IFERROR(VLOOKUP($A$3:$A$139,'FY-(26-27)Q2'!$A$4:$ABW$124,MATCH('FY-(26-27)Q1'!$P$2:$Q$2,'FY-(26-27)Q2'!$A$2:$BX$2,0),0),0)</f>
        <v>851807</v>
      </c>
      <c r="Q60" s="155">
        <f>IFERROR(VLOOKUP($A$3:$A$139,'FY-(26-27)Q2'!$A$4:$ABW$124,MATCH('FY-(26-27)Q1'!$P$2:$Q$2,'FY-(26-27)Q2'!$A$2:$BX$2,0),0),0)</f>
        <v>8.5180699999999998</v>
      </c>
      <c r="R60" s="159"/>
      <c r="S60" s="88">
        <f>IFERROR(VLOOKUP($A$4:$A$74,#REF!,MATCH('FY-(26-27)Q1'!$S$2:$T$2,#REF!,0),0),0)</f>
        <v>0</v>
      </c>
      <c r="T60" s="124">
        <f>IFERROR(VLOOKUP($A$4:$A$74,#REF!,MATCH('FY-(26-27)Q1'!$S$2:$T$2,#REF!,0),0),0)</f>
        <v>0</v>
      </c>
      <c r="U60" s="159"/>
      <c r="V60" s="45"/>
      <c r="W60" s="72"/>
      <c r="Y60" s="154">
        <f t="shared" si="22"/>
        <v>4401876</v>
      </c>
      <c r="Z60" s="168">
        <f t="shared" si="23"/>
        <v>44.01876</v>
      </c>
      <c r="AB60" s="132"/>
      <c r="AC60" s="132"/>
      <c r="AD60" s="132"/>
      <c r="AE60" s="132"/>
      <c r="AF60" s="132"/>
      <c r="AG60" s="132"/>
      <c r="AH60" s="132"/>
    </row>
    <row r="61" spans="1:34" s="132" customFormat="1" ht="15" customHeight="1" x14ac:dyDescent="0.25">
      <c r="A61" s="142" t="s">
        <v>301</v>
      </c>
      <c r="B61" s="141" t="s">
        <v>295</v>
      </c>
      <c r="C61" s="163" t="s">
        <v>296</v>
      </c>
      <c r="D61" s="163"/>
      <c r="E61" s="163" t="s">
        <v>256</v>
      </c>
      <c r="F61" s="164">
        <v>0.1</v>
      </c>
      <c r="G61" s="153">
        <f>IFERROR(VLOOKUP($A$3:$A$139,'APR-2026'!$A$4:$ABX$112,MATCH('FY-(26-27)Q1'!$G$2:$H$2,'APR-2026'!$A$2:$BY$2,0),0),0)</f>
        <v>0</v>
      </c>
      <c r="H61" s="155">
        <f>IFERROR(VLOOKUP($A$3:$A$139,'APR-2026'!$A$4:$ABX$112,MATCH('FY-(26-27)Q1'!$G$2:$H$2,'APR-2026'!$A$2:$BY$2,0),0),0)</f>
        <v>0</v>
      </c>
      <c r="I61" s="153">
        <f>IFERROR(VLOOKUP($A$3:$A$139,'MAY-2026'!$A$4:$ACP$113,MATCH('FY-(26-27)Q1'!$I$2:$J$2,'MAY-2026'!$A$2:$CQ$2,0),0),0)</f>
        <v>0</v>
      </c>
      <c r="J61" s="155">
        <f>IFERROR(VLOOKUP($A$3:$A$139,'MAY-2026'!$A$4:$ACP$113,MATCH('FY-(26-27)Q1'!$I$2:$J$2,'MAY-2026'!$A$2:$CQ$2,0),0),0)</f>
        <v>0</v>
      </c>
      <c r="K61" s="153">
        <f>IFERROR(VLOOKUP($A$3:$A$139,'JUNE-2026'!$A$4:$ADJ$113,MATCH('FY-(26-27)Q1'!$K$2:$L$2,'JUNE-2026'!$A$2:$DK$2,0),0),0)</f>
        <v>0</v>
      </c>
      <c r="L61" s="155">
        <f>IFERROR(VLOOKUP($A$3:$A$139,'JUNE-2026'!$A$4:$ADJ$113,MATCH('FY-(26-27)Q1'!$K$2:$L$2,'JUNE-2026'!$A$2:$DK$2,0),0),0)</f>
        <v>0</v>
      </c>
      <c r="M61" s="71">
        <f t="shared" ref="M61" si="35">G61+I61+K61</f>
        <v>0</v>
      </c>
      <c r="N61" s="166">
        <f t="shared" ref="N61" si="36">H61+J61+L61</f>
        <v>0</v>
      </c>
      <c r="O61" s="215"/>
      <c r="P61" s="153">
        <f>IFERROR(VLOOKUP($A$3:$A$139,'FY-(26-27)Q2'!$A$4:$ABW$124,MATCH('FY-(26-27)Q1'!$P$2:$Q$2,'FY-(26-27)Q2'!$A$2:$BX$2,0),0),0)</f>
        <v>2934</v>
      </c>
      <c r="Q61" s="155">
        <f>IFERROR(VLOOKUP($A$3:$A$139,'FY-(26-27)Q2'!$A$4:$ABW$124,MATCH('FY-(26-27)Q1'!$P$2:$Q$2,'FY-(26-27)Q2'!$A$2:$BX$2,0),0),0)</f>
        <v>0.29339999999999999</v>
      </c>
      <c r="R61" s="159"/>
      <c r="S61" s="153">
        <f>IFERROR(VLOOKUP($A$4:$A$74,#REF!,MATCH('FY-(26-27)Q1'!$S$2:$T$2,#REF!,0),0),0)</f>
        <v>0</v>
      </c>
      <c r="T61" s="159">
        <f>IFERROR(VLOOKUP($A$4:$A$74,#REF!,MATCH('FY-(26-27)Q1'!$S$2:$T$2,#REF!,0),0),0)</f>
        <v>0</v>
      </c>
      <c r="U61" s="159"/>
      <c r="V61" s="144"/>
      <c r="W61" s="150"/>
      <c r="Y61" s="154">
        <f t="shared" ref="Y61" si="37">M61+P61+S61+V61</f>
        <v>2934</v>
      </c>
      <c r="Z61" s="168">
        <f t="shared" ref="Z61" si="38">(N61+Q61+T61+W61)</f>
        <v>0.29339999999999999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1" t="s">
        <v>14</v>
      </c>
      <c r="E62" s="37" t="s">
        <v>256</v>
      </c>
      <c r="F62" s="118">
        <v>1</v>
      </c>
      <c r="G62" s="153">
        <f>IFERROR(VLOOKUP($A$3:$A$139,'APR-2026'!$A$4:$ABX$112,MATCH('FY-(26-27)Q1'!$G$2:$H$2,'APR-2026'!$A$2:$BY$2,0),0),0)</f>
        <v>633005</v>
      </c>
      <c r="H62" s="155">
        <f>IFERROR(VLOOKUP($A$3:$A$139,'APR-2026'!$A$4:$ABX$112,MATCH('FY-(26-27)Q1'!$G$2:$H$2,'APR-2026'!$A$2:$BY$2,0),0),0)</f>
        <v>2.1100166666666662</v>
      </c>
      <c r="I62" s="153">
        <f>IFERROR(VLOOKUP($A$3:$A$139,'MAY-2026'!$A$4:$ACP$113,MATCH('FY-(26-27)Q1'!$I$2:$J$2,'MAY-2026'!$A$2:$CQ$2,0),0),0)</f>
        <v>538474</v>
      </c>
      <c r="J62" s="155">
        <f>IFERROR(VLOOKUP($A$3:$A$139,'MAY-2026'!$A$4:$ACP$113,MATCH('FY-(26-27)Q1'!$I$2:$J$2,'MAY-2026'!$A$2:$CQ$2,0),0),0)</f>
        <v>1.7949133333333336</v>
      </c>
      <c r="K62" s="153">
        <f>IFERROR(VLOOKUP($A$3:$A$139,'JUNE-2026'!$A$4:$ADJ$113,MATCH('FY-(26-27)Q1'!$K$2:$L$2,'JUNE-2026'!$A$2:$DK$2,0),0),0)</f>
        <v>-498630</v>
      </c>
      <c r="L62" s="155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6">
        <f t="shared" si="3"/>
        <v>2.2428299999999997</v>
      </c>
      <c r="O62" s="215"/>
      <c r="P62" s="153">
        <f>IFERROR(VLOOKUP($A$3:$A$139,'FY-(26-27)Q2'!$A$4:$ABW$124,MATCH('FY-(26-27)Q1'!$P$2:$Q$2,'FY-(26-27)Q2'!$A$2:$BX$2,0),0),0)</f>
        <v>23931</v>
      </c>
      <c r="Q62" s="155">
        <f>IFERROR(VLOOKUP($A$3:$A$139,'FY-(26-27)Q2'!$A$4:$ABW$124,MATCH('FY-(26-27)Q1'!$P$2:$Q$2,'FY-(26-27)Q2'!$A$2:$BX$2,0),0),0)</f>
        <v>7.9770000000000035E-2</v>
      </c>
      <c r="R62" s="159"/>
      <c r="S62" s="88">
        <f>IFERROR(VLOOKUP($A$4:$A$74,#REF!,MATCH('FY-(26-27)Q1'!$S$2:$T$2,#REF!,0),0),0)</f>
        <v>0</v>
      </c>
      <c r="T62" s="124">
        <f>IFERROR(VLOOKUP($A$4:$A$74,#REF!,MATCH('FY-(26-27)Q1'!$S$2:$T$2,#REF!,0),0),0)</f>
        <v>0</v>
      </c>
      <c r="U62" s="159"/>
      <c r="V62" s="45"/>
      <c r="W62" s="72"/>
      <c r="Y62" s="154">
        <f t="shared" si="22"/>
        <v>696780</v>
      </c>
      <c r="Z62" s="168">
        <f t="shared" si="23"/>
        <v>2.3225999999999996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3" t="s">
        <v>168</v>
      </c>
      <c r="B63" s="141" t="s">
        <v>169</v>
      </c>
      <c r="C63" s="133" t="s">
        <v>255</v>
      </c>
      <c r="D63" s="163" t="s">
        <v>253</v>
      </c>
      <c r="E63" s="163" t="s">
        <v>253</v>
      </c>
      <c r="F63" s="114">
        <v>4</v>
      </c>
      <c r="G63" s="153">
        <f>IFERROR(VLOOKUP($A$3:$A$139,'APR-2026'!$A$4:$ABX$112,MATCH('FY-(26-27)Q1'!$G$2:$H$2,'APR-2026'!$A$2:$BY$2,0),0),0)</f>
        <v>343500</v>
      </c>
      <c r="H63" s="155">
        <f>IFERROR(VLOOKUP($A$3:$A$139,'APR-2026'!$A$4:$ABX$112,MATCH('FY-(26-27)Q1'!$G$2:$H$2,'APR-2026'!$A$2:$BY$2,0),0),0)</f>
        <v>0.85875000000000001</v>
      </c>
      <c r="I63" s="153">
        <f>IFERROR(VLOOKUP($A$3:$A$139,'MAY-2026'!$A$4:$ACP$113,MATCH('FY-(26-27)Q1'!$I$2:$J$2,'MAY-2026'!$A$2:$CQ$2,0),0),0)</f>
        <v>352000</v>
      </c>
      <c r="J63" s="155">
        <f>IFERROR(VLOOKUP($A$3:$A$139,'MAY-2026'!$A$4:$ACP$113,MATCH('FY-(26-27)Q1'!$I$2:$J$2,'MAY-2026'!$A$2:$CQ$2,0),0),0)</f>
        <v>0.88</v>
      </c>
      <c r="K63" s="153">
        <f>IFERROR(VLOOKUP($A$3:$A$139,'JUNE-2026'!$A$4:$ADJ$113,MATCH('FY-(26-27)Q1'!$K$2:$L$2,'JUNE-2026'!$A$2:$DK$2,0),0),0)</f>
        <v>-20500</v>
      </c>
      <c r="L63" s="155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6">
        <f t="shared" si="3"/>
        <v>1.6875</v>
      </c>
      <c r="O63" s="215"/>
      <c r="P63" s="153">
        <f>IFERROR(VLOOKUP($A$3:$A$139,'FY-(26-27)Q2'!$A$4:$ABW$124,MATCH('FY-(26-27)Q1'!$P$2:$Q$2,'FY-(26-27)Q2'!$A$2:$BX$2,0),0),0)</f>
        <v>319077</v>
      </c>
      <c r="Q63" s="155">
        <f>IFERROR(VLOOKUP($A$3:$A$139,'FY-(26-27)Q2'!$A$4:$ABW$124,MATCH('FY-(26-27)Q1'!$P$2:$Q$2,'FY-(26-27)Q2'!$A$2:$BX$2,0),0),0)</f>
        <v>0.79769249999999992</v>
      </c>
      <c r="R63" s="159"/>
      <c r="S63" s="88">
        <f>IFERROR(VLOOKUP($A$4:$A$74,#REF!,MATCH('FY-(26-27)Q1'!$S$2:$T$2,#REF!,0),0),0)</f>
        <v>0</v>
      </c>
      <c r="T63" s="124">
        <f>IFERROR(VLOOKUP($A$4:$A$74,#REF!,MATCH('FY-(26-27)Q1'!$S$2:$T$2,#REF!,0),0),0)</f>
        <v>0</v>
      </c>
      <c r="U63" s="159"/>
      <c r="V63" s="45"/>
      <c r="W63" s="72"/>
      <c r="Y63" s="154">
        <f t="shared" si="22"/>
        <v>994077</v>
      </c>
      <c r="Z63" s="168">
        <f t="shared" si="23"/>
        <v>2.4851925000000001</v>
      </c>
    </row>
    <row r="64" spans="1:34" ht="15" customHeight="1" x14ac:dyDescent="0.25">
      <c r="A64" s="143" t="s">
        <v>201</v>
      </c>
      <c r="B64" s="141" t="s">
        <v>169</v>
      </c>
      <c r="C64" s="59" t="s">
        <v>227</v>
      </c>
      <c r="D64" s="163" t="s">
        <v>254</v>
      </c>
      <c r="E64" s="163" t="s">
        <v>256</v>
      </c>
      <c r="F64" s="114">
        <v>0.5</v>
      </c>
      <c r="G64" s="153">
        <f>IFERROR(VLOOKUP($A$3:$A$139,'APR-2026'!$A$4:$ABX$112,MATCH('FY-(26-27)Q1'!$G$2:$H$2,'APR-2026'!$A$2:$BY$2,0),0),0)</f>
        <v>-159000</v>
      </c>
      <c r="H64" s="155">
        <f>IFERROR(VLOOKUP($A$3:$A$139,'APR-2026'!$A$4:$ABX$112,MATCH('FY-(26-27)Q1'!$G$2:$H$2,'APR-2026'!$A$2:$BY$2,0),0),0)</f>
        <v>-3.18</v>
      </c>
      <c r="I64" s="153">
        <f>IFERROR(VLOOKUP($A$3:$A$139,'MAY-2026'!$A$4:$ACP$113,MATCH('FY-(26-27)Q1'!$I$2:$J$2,'MAY-2026'!$A$2:$CQ$2,0),0),0)</f>
        <v>-106300</v>
      </c>
      <c r="J64" s="155">
        <f>IFERROR(VLOOKUP($A$3:$A$139,'MAY-2026'!$A$4:$ACP$113,MATCH('FY-(26-27)Q1'!$I$2:$J$2,'MAY-2026'!$A$2:$CQ$2,0),0),0)</f>
        <v>-2.1259999999999999</v>
      </c>
      <c r="K64" s="153">
        <f>IFERROR(VLOOKUP($A$3:$A$139,'JUNE-2026'!$A$4:$ADJ$113,MATCH('FY-(26-27)Q1'!$K$2:$L$2,'JUNE-2026'!$A$2:$DK$2,0),0),0)</f>
        <v>0</v>
      </c>
      <c r="L64" s="155">
        <f>IFERROR(VLOOKUP($A$3:$A$139,'JUNE-2026'!$A$4:$ADJ$113,MATCH('FY-(26-27)Q1'!$K$2:$L$2,'JUNE-2026'!$A$2:$DK$2,0),0),0)</f>
        <v>0</v>
      </c>
      <c r="M64" s="71">
        <f t="shared" ref="M64:M65" si="39">G64+I64+K64</f>
        <v>-265300</v>
      </c>
      <c r="N64" s="166">
        <f t="shared" ref="N64:N65" si="40">H64+J64+L64</f>
        <v>-5.306</v>
      </c>
      <c r="O64" s="215"/>
      <c r="P64" s="153">
        <f>IFERROR(VLOOKUP($A$3:$A$139,'FY-(26-27)Q2'!$A$4:$ABW$124,MATCH('FY-(26-27)Q1'!$P$2:$Q$2,'FY-(26-27)Q2'!$A$2:$BX$2,0),0),0)</f>
        <v>-20169</v>
      </c>
      <c r="Q64" s="155">
        <f>IFERROR(VLOOKUP($A$3:$A$139,'FY-(26-27)Q2'!$A$4:$ABW$124,MATCH('FY-(26-27)Q1'!$P$2:$Q$2,'FY-(26-27)Q2'!$A$2:$BX$2,0),0),0)</f>
        <v>-0.20168999999999998</v>
      </c>
      <c r="R64" s="159"/>
      <c r="S64" s="153">
        <f>IFERROR(VLOOKUP($A$4:$A$74,#REF!,MATCH('FY-(26-27)Q1'!$S$2:$T$2,#REF!,0),0),0)</f>
        <v>0</v>
      </c>
      <c r="T64" s="159">
        <f>IFERROR(VLOOKUP($A$4:$A$74,#REF!,MATCH('FY-(26-27)Q1'!$S$2:$T$2,#REF!,0),0),0)</f>
        <v>0</v>
      </c>
      <c r="U64" s="159"/>
      <c r="V64" s="144"/>
      <c r="W64" s="150"/>
      <c r="X64" s="132"/>
      <c r="Y64" s="154">
        <f t="shared" si="22"/>
        <v>-285469</v>
      </c>
      <c r="Z64" s="168">
        <f t="shared" si="23"/>
        <v>-5.5076900000000002</v>
      </c>
    </row>
    <row r="65" spans="1:26" ht="15" customHeight="1" x14ac:dyDescent="0.25">
      <c r="A65" s="143" t="s">
        <v>202</v>
      </c>
      <c r="B65" s="141" t="s">
        <v>169</v>
      </c>
      <c r="C65" s="59" t="s">
        <v>255</v>
      </c>
      <c r="D65" s="163" t="s">
        <v>116</v>
      </c>
      <c r="E65" s="163" t="s">
        <v>256</v>
      </c>
      <c r="F65" s="114">
        <v>4</v>
      </c>
      <c r="G65" s="153">
        <f>IFERROR(VLOOKUP($A$3:$A$139,'APR-2026'!$A$4:$ABX$112,MATCH('FY-(26-27)Q1'!$G$2:$H$2,'APR-2026'!$A$2:$BY$2,0),0),0)</f>
        <v>151712</v>
      </c>
      <c r="H65" s="155">
        <f>IFERROR(VLOOKUP($A$3:$A$139,'APR-2026'!$A$4:$ABX$112,MATCH('FY-(26-27)Q1'!$G$2:$H$2,'APR-2026'!$A$2:$BY$2,0),0),0)</f>
        <v>0.37928000000000001</v>
      </c>
      <c r="I65" s="153">
        <f>IFERROR(VLOOKUP($A$3:$A$139,'MAY-2026'!$A$4:$ACP$113,MATCH('FY-(26-27)Q1'!$I$2:$J$2,'MAY-2026'!$A$2:$CQ$2,0),0),0)</f>
        <v>145700</v>
      </c>
      <c r="J65" s="155">
        <f>IFERROR(VLOOKUP($A$3:$A$139,'MAY-2026'!$A$4:$ACP$113,MATCH('FY-(26-27)Q1'!$I$2:$J$2,'MAY-2026'!$A$2:$CQ$2,0),0),0)</f>
        <v>0.36425000000000002</v>
      </c>
      <c r="K65" s="153">
        <f>IFERROR(VLOOKUP($A$3:$A$139,'JUNE-2026'!$A$4:$ADJ$113,MATCH('FY-(26-27)Q1'!$K$2:$L$2,'JUNE-2026'!$A$2:$DK$2,0),0),0)</f>
        <v>227000</v>
      </c>
      <c r="L65" s="155">
        <f>IFERROR(VLOOKUP($A$3:$A$139,'JUNE-2026'!$A$4:$ADJ$113,MATCH('FY-(26-27)Q1'!$K$2:$L$2,'JUNE-2026'!$A$2:$DK$2,0),0),0)</f>
        <v>0.5675</v>
      </c>
      <c r="M65" s="71">
        <f t="shared" si="39"/>
        <v>524412</v>
      </c>
      <c r="N65" s="166">
        <f t="shared" si="40"/>
        <v>1.3110300000000001</v>
      </c>
      <c r="O65" s="215"/>
      <c r="P65" s="153">
        <f>IFERROR(VLOOKUP($A$3:$A$139,'FY-(26-27)Q2'!$A$4:$ABW$124,MATCH('FY-(26-27)Q1'!$P$2:$Q$2,'FY-(26-27)Q2'!$A$2:$BX$2,0),0),0)</f>
        <v>373533</v>
      </c>
      <c r="Q65" s="155">
        <f>IFERROR(VLOOKUP($A$3:$A$139,'FY-(26-27)Q2'!$A$4:$ABW$124,MATCH('FY-(26-27)Q1'!$P$2:$Q$2,'FY-(26-27)Q2'!$A$2:$BX$2,0),0),0)</f>
        <v>0.93383249999999995</v>
      </c>
      <c r="R65" s="159"/>
      <c r="S65" s="153">
        <f>IFERROR(VLOOKUP($A$4:$A$74,#REF!,MATCH('FY-(26-27)Q1'!$S$2:$T$2,#REF!,0),0),0)</f>
        <v>0</v>
      </c>
      <c r="T65" s="159">
        <f>IFERROR(VLOOKUP($A$4:$A$74,#REF!,MATCH('FY-(26-27)Q1'!$S$2:$T$2,#REF!,0),0),0)</f>
        <v>0</v>
      </c>
      <c r="U65" s="159"/>
      <c r="V65" s="144"/>
      <c r="W65" s="150"/>
      <c r="X65" s="132"/>
      <c r="Y65" s="154">
        <f t="shared" si="22"/>
        <v>897945</v>
      </c>
      <c r="Z65" s="168">
        <f t="shared" si="23"/>
        <v>2.2448625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3">
        <f>IFERROR(VLOOKUP($A$3:$A$139,'APR-2026'!$A$4:$ABX$112,MATCH('FY-(26-27)Q1'!$G$2:$H$2,'APR-2026'!$A$2:$BY$2,0),0),0)</f>
        <v>92278</v>
      </c>
      <c r="H66" s="155">
        <f>IFERROR(VLOOKUP($A$3:$A$139,'APR-2026'!$A$4:$ABX$112,MATCH('FY-(26-27)Q1'!$G$2:$H$2,'APR-2026'!$A$2:$BY$2,0),0),0)</f>
        <v>0.57673750000000001</v>
      </c>
      <c r="I66" s="153">
        <f>IFERROR(VLOOKUP($A$3:$A$139,'MAY-2026'!$A$4:$ACP$113,MATCH('FY-(26-27)Q1'!$I$2:$J$2,'MAY-2026'!$A$2:$CQ$2,0),0),0)</f>
        <v>35279</v>
      </c>
      <c r="J66" s="155">
        <f>IFERROR(VLOOKUP($A$3:$A$139,'MAY-2026'!$A$4:$ACP$113,MATCH('FY-(26-27)Q1'!$I$2:$J$2,'MAY-2026'!$A$2:$CQ$2,0),0),0)</f>
        <v>0.23519333333333331</v>
      </c>
      <c r="K66" s="153">
        <f>IFERROR(VLOOKUP($A$3:$A$139,'JUNE-2026'!$A$4:$ADJ$113,MATCH('FY-(26-27)Q1'!$K$2:$L$2,'JUNE-2026'!$A$2:$DK$2,0),0),0)</f>
        <v>0</v>
      </c>
      <c r="L66" s="155">
        <f>IFERROR(VLOOKUP($A$3:$A$139,'JUNE-2026'!$A$4:$ADJ$113,MATCH('FY-(26-27)Q1'!$K$2:$L$2,'JUNE-2026'!$A$2:$DK$2,0),0),0)</f>
        <v>0</v>
      </c>
      <c r="M66" s="71">
        <f t="shared" si="2"/>
        <v>127557</v>
      </c>
      <c r="N66" s="166">
        <f t="shared" si="3"/>
        <v>0.81193083333333327</v>
      </c>
      <c r="O66" s="215"/>
      <c r="P66" s="153">
        <f>IFERROR(VLOOKUP($A$3:$A$139,'FY-(26-27)Q2'!$A$4:$ABW$124,MATCH('FY-(26-27)Q1'!$P$2:$Q$2,'FY-(26-27)Q2'!$A$2:$BX$2,0),0),0)</f>
        <v>0</v>
      </c>
      <c r="Q66" s="155">
        <f>IFERROR(VLOOKUP($A$3:$A$139,'FY-(26-27)Q2'!$A$4:$ABW$124,MATCH('FY-(26-27)Q1'!$P$2:$Q$2,'FY-(26-27)Q2'!$A$2:$BX$2,0),0),0)</f>
        <v>0</v>
      </c>
      <c r="R66" s="159"/>
      <c r="S66" s="88">
        <f>IFERROR(VLOOKUP($A$4:$A$74,#REF!,MATCH('FY-(26-27)Q1'!$S$2:$T$2,#REF!,0),0),0)</f>
        <v>0</v>
      </c>
      <c r="T66" s="124">
        <f>IFERROR(VLOOKUP($A$4:$A$74,#REF!,MATCH('FY-(26-27)Q1'!$S$2:$T$2,#REF!,0),0),0)</f>
        <v>0</v>
      </c>
      <c r="U66" s="159"/>
      <c r="V66" s="45"/>
      <c r="W66" s="72"/>
      <c r="X66" s="132"/>
      <c r="Y66" s="154">
        <f t="shared" si="22"/>
        <v>127557</v>
      </c>
      <c r="Z66" s="168">
        <f t="shared" si="23"/>
        <v>0.81193083333333327</v>
      </c>
    </row>
    <row r="67" spans="1:26" s="132" customFormat="1" ht="15" customHeight="1" x14ac:dyDescent="0.25">
      <c r="A67" s="59" t="s">
        <v>306</v>
      </c>
      <c r="B67" s="62" t="s">
        <v>304</v>
      </c>
      <c r="C67" s="59" t="s">
        <v>128</v>
      </c>
      <c r="D67" s="141"/>
      <c r="E67" s="141" t="s">
        <v>256</v>
      </c>
      <c r="F67" s="114">
        <v>0.1</v>
      </c>
      <c r="G67" s="153">
        <f>IFERROR(VLOOKUP($A$3:$A$139,'APR-2026'!$A$4:$ABX$112,MATCH('FY-(26-27)Q1'!$G$2:$H$2,'APR-2026'!$A$2:$BY$2,0),0),0)</f>
        <v>0</v>
      </c>
      <c r="H67" s="155">
        <f>IFERROR(VLOOKUP($A$3:$A$139,'APR-2026'!$A$4:$ABX$112,MATCH('FY-(26-27)Q1'!$G$2:$H$2,'APR-2026'!$A$2:$BY$2,0),0),0)</f>
        <v>0</v>
      </c>
      <c r="I67" s="153">
        <f>IFERROR(VLOOKUP($A$3:$A$139,'MAY-2026'!$A$4:$ACP$113,MATCH('FY-(26-27)Q1'!$I$2:$J$2,'MAY-2026'!$A$2:$CQ$2,0),0),0)</f>
        <v>0</v>
      </c>
      <c r="J67" s="155">
        <f>IFERROR(VLOOKUP($A$3:$A$139,'MAY-2026'!$A$4:$ACP$113,MATCH('FY-(26-27)Q1'!$I$2:$J$2,'MAY-2026'!$A$2:$CQ$2,0),0),0)</f>
        <v>0</v>
      </c>
      <c r="K67" s="153">
        <f>IFERROR(VLOOKUP($A$3:$A$139,'JUNE-2026'!$A$4:$ADJ$113,MATCH('FY-(26-27)Q1'!$K$2:$L$2,'JUNE-2026'!$A$2:$DK$2,0),0),0)</f>
        <v>0</v>
      </c>
      <c r="L67" s="155">
        <f>IFERROR(VLOOKUP($A$3:$A$139,'JUNE-2026'!$A$4:$ADJ$113,MATCH('FY-(26-27)Q1'!$K$2:$L$2,'JUNE-2026'!$A$2:$DK$2,0),0),0)</f>
        <v>0</v>
      </c>
      <c r="M67" s="71">
        <f t="shared" ref="M67" si="41">G67+I67+K67</f>
        <v>0</v>
      </c>
      <c r="N67" s="166">
        <f t="shared" ref="N67" si="42">H67+J67+L67</f>
        <v>0</v>
      </c>
      <c r="O67" s="215"/>
      <c r="P67" s="153">
        <f>IFERROR(VLOOKUP($A$3:$A$139,'FY-(26-27)Q2'!$A$4:$ABW$124,MATCH('FY-(26-27)Q1'!$P$2:$Q$2,'FY-(26-27)Q2'!$A$2:$BX$2,0),0),0)</f>
        <v>-1406580</v>
      </c>
      <c r="Q67" s="155">
        <f>IFERROR(VLOOKUP($A$3:$A$139,'FY-(26-27)Q2'!$A$4:$ABW$124,MATCH('FY-(26-27)Q1'!$P$2:$Q$2,'FY-(26-27)Q2'!$A$2:$BX$2,0),0),0)</f>
        <v>-1.4066799999999999</v>
      </c>
      <c r="R67" s="159"/>
      <c r="S67" s="153">
        <f>IFERROR(VLOOKUP($A$4:$A$74,#REF!,MATCH('FY-(26-27)Q1'!$S$2:$T$2,#REF!,0),0),0)</f>
        <v>0</v>
      </c>
      <c r="T67" s="159">
        <f>IFERROR(VLOOKUP($A$4:$A$74,#REF!,MATCH('FY-(26-27)Q1'!$S$2:$T$2,#REF!,0),0),0)</f>
        <v>0</v>
      </c>
      <c r="U67" s="159"/>
      <c r="V67" s="144"/>
      <c r="W67" s="150"/>
      <c r="Y67" s="154">
        <f t="shared" ref="Y67" si="43">M67+P67+S67+V67</f>
        <v>-1406580</v>
      </c>
      <c r="Z67" s="168">
        <f t="shared" ref="Z67" si="44">(N67+Q67+T67+W67)</f>
        <v>-1.4066799999999999</v>
      </c>
    </row>
    <row r="68" spans="1:26" s="132" customFormat="1" ht="15" customHeight="1" x14ac:dyDescent="0.25">
      <c r="A68" s="59"/>
      <c r="B68" s="62" t="s">
        <v>304</v>
      </c>
      <c r="C68" s="59" t="s">
        <v>274</v>
      </c>
      <c r="D68" s="141"/>
      <c r="E68" s="141" t="s">
        <v>256</v>
      </c>
      <c r="F68" s="114"/>
      <c r="G68" s="153"/>
      <c r="H68" s="155"/>
      <c r="I68" s="153"/>
      <c r="J68" s="155"/>
      <c r="K68" s="153"/>
      <c r="L68" s="155"/>
      <c r="M68" s="71">
        <f t="shared" ref="M68" si="45">G68+I68+K68</f>
        <v>0</v>
      </c>
      <c r="N68" s="166">
        <f t="shared" ref="N68" si="46">H68+J68+L68</f>
        <v>0</v>
      </c>
      <c r="O68" s="215"/>
      <c r="P68" s="153">
        <f>IFERROR(VLOOKUP($A$3:$A$139,'FY-(26-27)Q2'!$A$4:$ABW$124,MATCH('FY-(26-27)Q1'!$P$2:$Q$2,'FY-(26-27)Q2'!$A$2:$BX$2,0),0),0)</f>
        <v>0</v>
      </c>
      <c r="Q68" s="155">
        <f>IFERROR(VLOOKUP($A$3:$A$139,'FY-(26-27)Q2'!$A$4:$ABW$124,MATCH('FY-(26-27)Q1'!$P$2:$Q$2,'FY-(26-27)Q2'!$A$2:$BX$2,0),0),0)</f>
        <v>0</v>
      </c>
      <c r="R68" s="159"/>
      <c r="S68" s="153">
        <f>IFERROR(VLOOKUP($A$4:$A$74,#REF!,MATCH('FY-(26-27)Q1'!$S$2:$T$2,#REF!,0),0),0)</f>
        <v>0</v>
      </c>
      <c r="T68" s="159">
        <f>IFERROR(VLOOKUP($A$4:$A$74,#REF!,MATCH('FY-(26-27)Q1'!$S$2:$T$2,#REF!,0),0),0)</f>
        <v>0</v>
      </c>
      <c r="U68" s="159"/>
      <c r="V68" s="144"/>
      <c r="W68" s="150"/>
      <c r="Y68" s="154">
        <f t="shared" ref="Y68" si="47">M68+P68+S68+V68</f>
        <v>0</v>
      </c>
      <c r="Z68" s="168">
        <f t="shared" ref="Z68" si="48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3" t="s">
        <v>256</v>
      </c>
      <c r="F69" s="114">
        <v>0.5</v>
      </c>
      <c r="G69" s="153">
        <f>IFERROR(VLOOKUP($A$3:$A$139,'APR-2026'!$A$4:$ABX$112,MATCH('FY-(26-27)Q1'!$G$2:$H$2,'APR-2026'!$A$2:$BY$2,0),0),0)</f>
        <v>34594</v>
      </c>
      <c r="H69" s="155">
        <f>IFERROR(VLOOKUP($A$3:$A$139,'APR-2026'!$A$4:$ABX$112,MATCH('FY-(26-27)Q1'!$G$2:$H$2,'APR-2026'!$A$2:$BY$2,0),0),0)</f>
        <v>0.69188000000000005</v>
      </c>
      <c r="I69" s="153">
        <f>IFERROR(VLOOKUP($A$3:$A$139,'MAY-2026'!$A$4:$ACP$113,MATCH('FY-(26-27)Q1'!$I$2:$J$2,'MAY-2026'!$A$2:$CQ$2,0),0),0)</f>
        <v>-44456</v>
      </c>
      <c r="J69" s="155">
        <f>IFERROR(VLOOKUP($A$3:$A$139,'MAY-2026'!$A$4:$ACP$113,MATCH('FY-(26-27)Q1'!$I$2:$J$2,'MAY-2026'!$A$2:$CQ$2,0),0),0)</f>
        <v>-0.88912000000000002</v>
      </c>
      <c r="K69" s="153">
        <f>IFERROR(VLOOKUP($A$3:$A$139,'JUNE-2026'!$A$4:$ADJ$113,MATCH('FY-(26-27)Q1'!$K$2:$L$2,'JUNE-2026'!$A$2:$DK$2,0),0),0)</f>
        <v>-36792</v>
      </c>
      <c r="L69" s="155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6">
        <f t="shared" si="3"/>
        <v>-0.93308000000000002</v>
      </c>
      <c r="O69" s="215"/>
      <c r="P69" s="153">
        <f>IFERROR(VLOOKUP($A$3:$A$139,'FY-(26-27)Q2'!$A$4:$ABW$124,MATCH('FY-(26-27)Q1'!$P$2:$Q$2,'FY-(26-27)Q2'!$A$2:$BX$2,0),0),0)</f>
        <v>-34295</v>
      </c>
      <c r="Q69" s="155">
        <f>IFERROR(VLOOKUP($A$3:$A$139,'FY-(26-27)Q2'!$A$4:$ABW$124,MATCH('FY-(26-27)Q1'!$P$2:$Q$2,'FY-(26-27)Q2'!$A$2:$BX$2,0),0),0)</f>
        <v>-0.68589999999999995</v>
      </c>
      <c r="R69" s="159"/>
      <c r="S69" s="153">
        <f>IFERROR(VLOOKUP($A$4:$A$74,#REF!,MATCH('FY-(26-27)Q1'!$S$2:$T$2,#REF!,0),0),0)</f>
        <v>0</v>
      </c>
      <c r="T69" s="159">
        <f>IFERROR(VLOOKUP($A$4:$A$74,#REF!,MATCH('FY-(26-27)Q1'!$S$2:$T$2,#REF!,0),0),0)</f>
        <v>0</v>
      </c>
      <c r="U69" s="159"/>
      <c r="V69" s="144"/>
      <c r="W69" s="150"/>
      <c r="Y69" s="154">
        <f t="shared" si="22"/>
        <v>-80949</v>
      </c>
      <c r="Z69" s="168">
        <f t="shared" si="23"/>
        <v>-1.6189800000000001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3" t="s">
        <v>256</v>
      </c>
      <c r="F70" s="114">
        <v>4</v>
      </c>
      <c r="G70" s="153">
        <f>IFERROR(VLOOKUP($A$3:$A$139,'APR-2026'!$A$4:$ABX$112,MATCH('FY-(26-27)Q1'!$G$2:$H$2,'APR-2026'!$A$2:$BY$2,0),0),0)</f>
        <v>0</v>
      </c>
      <c r="H70" s="155">
        <f>IFERROR(VLOOKUP($A$3:$A$139,'APR-2026'!$A$4:$ABX$112,MATCH('FY-(26-27)Q1'!$G$2:$H$2,'APR-2026'!$A$2:$BY$2,0),0),0)</f>
        <v>0</v>
      </c>
      <c r="I70" s="153">
        <f>IFERROR(VLOOKUP($A$3:$A$139,'MAY-2026'!$A$4:$ACP$113,MATCH('FY-(26-27)Q1'!$I$2:$J$2,'MAY-2026'!$A$2:$CQ$2,0),0),0)</f>
        <v>-206359</v>
      </c>
      <c r="J70" s="155">
        <f>IFERROR(VLOOKUP($A$3:$A$139,'MAY-2026'!$A$4:$ACP$113,MATCH('FY-(26-27)Q1'!$I$2:$J$2,'MAY-2026'!$A$2:$CQ$2,0),0),0)</f>
        <v>-0.51589750000000001</v>
      </c>
      <c r="K70" s="153">
        <f>IFERROR(VLOOKUP($A$3:$A$139,'JUNE-2026'!$A$4:$ADJ$113,MATCH('FY-(26-27)Q1'!$K$2:$L$2,'JUNE-2026'!$A$2:$DK$2,0),0),0)</f>
        <v>-201593</v>
      </c>
      <c r="L70" s="155">
        <f>IFERROR(VLOOKUP($A$3:$A$139,'JUNE-2026'!$A$4:$ADJ$113,MATCH('FY-(26-27)Q1'!$K$2:$L$2,'JUNE-2026'!$A$2:$DK$2,0),0),0)</f>
        <v>-0.5039825</v>
      </c>
      <c r="M70" s="71">
        <f t="shared" ref="M70:M71" si="49">G70+I70+K70</f>
        <v>-407952</v>
      </c>
      <c r="N70" s="166">
        <f t="shared" ref="N70:N71" si="50">H70+J70+L70</f>
        <v>-1.0198800000000001</v>
      </c>
      <c r="O70" s="215"/>
      <c r="P70" s="153">
        <f>IFERROR(VLOOKUP($A$3:$A$139,'FY-(26-27)Q2'!$A$4:$ABW$124,MATCH('FY-(26-27)Q1'!$P$2:$Q$2,'FY-(26-27)Q2'!$A$2:$BX$2,0),0),0)</f>
        <v>943944</v>
      </c>
      <c r="Q70" s="155">
        <f>IFERROR(VLOOKUP($A$3:$A$139,'FY-(26-27)Q2'!$A$4:$ABW$124,MATCH('FY-(26-27)Q1'!$P$2:$Q$2,'FY-(26-27)Q2'!$A$2:$BX$2,0),0),0)</f>
        <v>2.2956109615384617</v>
      </c>
      <c r="R70" s="159"/>
      <c r="S70" s="153">
        <f>IFERROR(VLOOKUP($A$4:$A$74,#REF!,MATCH('FY-(26-27)Q1'!$S$2:$T$2,#REF!,0),0),0)</f>
        <v>0</v>
      </c>
      <c r="T70" s="159">
        <f>IFERROR(VLOOKUP($A$4:$A$74,#REF!,MATCH('FY-(26-27)Q1'!$S$2:$T$2,#REF!,0),0),0)</f>
        <v>0</v>
      </c>
      <c r="U70" s="159"/>
      <c r="V70" s="144"/>
      <c r="W70" s="150"/>
      <c r="Y70" s="154">
        <f t="shared" si="22"/>
        <v>535992</v>
      </c>
      <c r="Z70" s="168">
        <f t="shared" si="23"/>
        <v>1.2757309615384615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3" t="s">
        <v>256</v>
      </c>
      <c r="F71" s="114">
        <v>1</v>
      </c>
      <c r="G71" s="153">
        <f>IFERROR(VLOOKUP($A$3:$A$139,'APR-2026'!$A$4:$ABX$112,MATCH('FY-(26-27)Q1'!$G$2:$H$2,'APR-2026'!$A$2:$BY$2,0),0),0)</f>
        <v>0</v>
      </c>
      <c r="H71" s="155">
        <f>IFERROR(VLOOKUP($A$3:$A$139,'APR-2026'!$A$4:$ABX$112,MATCH('FY-(26-27)Q1'!$G$2:$H$2,'APR-2026'!$A$2:$BY$2,0),0),0)</f>
        <v>0</v>
      </c>
      <c r="I71" s="153">
        <f>IFERROR(VLOOKUP($A$3:$A$139,'MAY-2026'!$A$4:$ACP$113,MATCH('FY-(26-27)Q1'!$I$2:$J$2,'MAY-2026'!$A$2:$CQ$2,0),0),0)</f>
        <v>-52710</v>
      </c>
      <c r="J71" s="155">
        <f>IFERROR(VLOOKUP($A$3:$A$139,'MAY-2026'!$A$4:$ACP$113,MATCH('FY-(26-27)Q1'!$I$2:$J$2,'MAY-2026'!$A$2:$CQ$2,0),0),0)</f>
        <v>-0.52710000000000001</v>
      </c>
      <c r="K71" s="153">
        <f>IFERROR(VLOOKUP($A$3:$A$139,'JUNE-2026'!$A$4:$ADJ$113,MATCH('FY-(26-27)Q1'!$K$2:$L$2,'JUNE-2026'!$A$2:$DK$2,0),0),0)</f>
        <v>29428</v>
      </c>
      <c r="L71" s="155">
        <f>IFERROR(VLOOKUP($A$3:$A$139,'JUNE-2026'!$A$4:$ADJ$113,MATCH('FY-(26-27)Q1'!$K$2:$L$2,'JUNE-2026'!$A$2:$DK$2,0),0),0)</f>
        <v>0.29427999999999999</v>
      </c>
      <c r="M71" s="71">
        <f t="shared" si="49"/>
        <v>-23282</v>
      </c>
      <c r="N71" s="166">
        <f t="shared" si="50"/>
        <v>-0.23282000000000003</v>
      </c>
      <c r="O71" s="215"/>
      <c r="P71" s="153">
        <f>IFERROR(VLOOKUP($A$3:$A$139,'FY-(26-27)Q2'!$A$4:$ABW$124,MATCH('FY-(26-27)Q1'!$P$2:$Q$2,'FY-(26-27)Q2'!$A$2:$BX$2,0),0),0)</f>
        <v>183258</v>
      </c>
      <c r="Q71" s="155">
        <f>IFERROR(VLOOKUP($A$3:$A$139,'FY-(26-27)Q2'!$A$4:$ABW$124,MATCH('FY-(26-27)Q1'!$P$2:$Q$2,'FY-(26-27)Q2'!$A$2:$BX$2,0),0),0)</f>
        <v>1.466064</v>
      </c>
      <c r="R71" s="159"/>
      <c r="S71" s="153">
        <f>IFERROR(VLOOKUP($A$4:$A$74,#REF!,MATCH('FY-(26-27)Q1'!$S$2:$T$2,#REF!,0),0),0)</f>
        <v>0</v>
      </c>
      <c r="T71" s="159">
        <f>IFERROR(VLOOKUP($A$4:$A$74,#REF!,MATCH('FY-(26-27)Q1'!$S$2:$T$2,#REF!,0),0),0)</f>
        <v>0</v>
      </c>
      <c r="U71" s="159"/>
      <c r="V71" s="144"/>
      <c r="W71" s="150"/>
      <c r="Y71" s="154">
        <f t="shared" si="22"/>
        <v>159976</v>
      </c>
      <c r="Z71" s="168">
        <f t="shared" si="23"/>
        <v>1.233244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3">
        <f>IFERROR(VLOOKUP($A$3:$A$139,'APR-2026'!$A$4:$ABX$112,MATCH('FY-(26-27)Q1'!$G$2:$H$2,'APR-2026'!$A$2:$BY$2,0),0),0)</f>
        <v>0</v>
      </c>
      <c r="H72" s="155">
        <f>IFERROR(VLOOKUP($A$3:$A$139,'APR-2026'!$A$4:$ABX$112,MATCH('FY-(26-27)Q1'!$G$2:$H$2,'APR-2026'!$A$2:$BY$2,0),0),0)</f>
        <v>0</v>
      </c>
      <c r="I72" s="153">
        <f>IFERROR(VLOOKUP($A$3:$A$139,'MAY-2026'!$A$4:$ACP$113,MATCH('FY-(26-27)Q1'!$I$2:$J$2,'MAY-2026'!$A$2:$CQ$2,0),0),0)</f>
        <v>0</v>
      </c>
      <c r="J72" s="155">
        <f>IFERROR(VLOOKUP($A$3:$A$139,'MAY-2026'!$A$4:$ACP$113,MATCH('FY-(26-27)Q1'!$I$2:$J$2,'MAY-2026'!$A$2:$CQ$2,0),0),0)</f>
        <v>0</v>
      </c>
      <c r="K72" s="153">
        <f>IFERROR(VLOOKUP($A$3:$A$139,'JUNE-2026'!$A$4:$ADJ$113,MATCH('FY-(26-27)Q1'!$K$2:$L$2,'JUNE-2026'!$A$2:$DK$2,0),0),0)</f>
        <v>0</v>
      </c>
      <c r="L72" s="155">
        <f>IFERROR(VLOOKUP($A$3:$A$139,'JUNE-2026'!$A$4:$ADJ$113,MATCH('FY-(26-27)Q1'!$K$2:$L$2,'JUNE-2026'!$A$2:$DK$2,0),0),0)</f>
        <v>0</v>
      </c>
      <c r="M72" s="71">
        <f t="shared" si="2"/>
        <v>0</v>
      </c>
      <c r="N72" s="166">
        <f t="shared" si="3"/>
        <v>0</v>
      </c>
      <c r="O72" s="215"/>
      <c r="P72" s="153">
        <f>IFERROR(VLOOKUP($A$3:$A$139,'FY-(26-27)Q2'!$A$4:$ABW$124,MATCH('FY-(26-27)Q1'!$P$2:$Q$2,'FY-(26-27)Q2'!$A$2:$BX$2,0),0),0)</f>
        <v>0</v>
      </c>
      <c r="Q72" s="155">
        <f>IFERROR(VLOOKUP($A$3:$A$139,'FY-(26-27)Q2'!$A$4:$ABW$124,MATCH('FY-(26-27)Q1'!$P$2:$Q$2,'FY-(26-27)Q2'!$A$2:$BX$2,0),0),0)</f>
        <v>0</v>
      </c>
      <c r="R72" s="159"/>
      <c r="S72" s="88">
        <f>IFERROR(VLOOKUP($A$4:$A$74,#REF!,MATCH('FY-(26-27)Q1'!$S$2:$T$2,#REF!,0),0),0)</f>
        <v>0</v>
      </c>
      <c r="T72" s="124">
        <f>IFERROR(VLOOKUP($A$4:$A$74,#REF!,MATCH('FY-(26-27)Q1'!$S$2:$T$2,#REF!,0),0),0)</f>
        <v>0</v>
      </c>
      <c r="U72" s="159"/>
      <c r="V72" s="45"/>
      <c r="W72" s="72"/>
      <c r="Y72" s="154">
        <f t="shared" si="22"/>
        <v>0</v>
      </c>
      <c r="Z72" s="168">
        <f t="shared" si="23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3">
        <f>IFERROR(VLOOKUP($A$3:$A$139,'APR-2026'!$A$4:$ABX$112,MATCH('FY-(26-27)Q1'!$G$2:$H$2,'APR-2026'!$A$2:$BY$2,0),0),0)</f>
        <v>251440</v>
      </c>
      <c r="H73" s="155">
        <f>IFERROR(VLOOKUP($A$3:$A$139,'APR-2026'!$A$4:$ABX$112,MATCH('FY-(26-27)Q1'!$G$2:$H$2,'APR-2026'!$A$2:$BY$2,0),0),0)</f>
        <v>0.83813333333333329</v>
      </c>
      <c r="I73" s="153">
        <f>IFERROR(VLOOKUP($A$3:$A$139,'MAY-2026'!$A$4:$ACP$113,MATCH('FY-(26-27)Q1'!$I$2:$J$2,'MAY-2026'!$A$2:$CQ$2,0),0),0)</f>
        <v>-173423</v>
      </c>
      <c r="J73" s="155">
        <f>IFERROR(VLOOKUP($A$3:$A$139,'MAY-2026'!$A$4:$ACP$113,MATCH('FY-(26-27)Q1'!$I$2:$J$2,'MAY-2026'!$A$2:$CQ$2,0),0),0)</f>
        <v>-0.57807666666666657</v>
      </c>
      <c r="K73" s="153">
        <f>IFERROR(VLOOKUP($A$3:$A$139,'JUNE-2026'!$A$4:$ADJ$113,MATCH('FY-(26-27)Q1'!$K$2:$L$2,'JUNE-2026'!$A$2:$DK$2,0),0),0)</f>
        <v>-245399</v>
      </c>
      <c r="L73" s="155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6">
        <f t="shared" si="3"/>
        <v>-0.55793999999999999</v>
      </c>
      <c r="O73" s="215"/>
      <c r="P73" s="153">
        <f>IFERROR(VLOOKUP($A$3:$A$139,'FY-(26-27)Q2'!$A$4:$ABW$124,MATCH('FY-(26-27)Q1'!$P$2:$Q$2,'FY-(26-27)Q2'!$A$2:$BX$2,0),0),0)</f>
        <v>704073</v>
      </c>
      <c r="Q73" s="155">
        <f>IFERROR(VLOOKUP($A$3:$A$139,'FY-(26-27)Q2'!$A$4:$ABW$124,MATCH('FY-(26-27)Q1'!$P$2:$Q$2,'FY-(26-27)Q2'!$A$2:$BX$2,0),0),0)</f>
        <v>2.3469100000000003</v>
      </c>
      <c r="R73" s="159"/>
      <c r="S73" s="88">
        <f>IFERROR(VLOOKUP($A$4:$A$74,#REF!,MATCH('FY-(26-27)Q1'!$S$2:$T$2,#REF!,0),0),0)</f>
        <v>0</v>
      </c>
      <c r="T73" s="124">
        <f>IFERROR(VLOOKUP($A$4:$A$74,#REF!,MATCH('FY-(26-27)Q1'!$S$2:$T$2,#REF!,0),0),0)</f>
        <v>0</v>
      </c>
      <c r="U73" s="159"/>
      <c r="V73" s="45"/>
      <c r="W73" s="72"/>
      <c r="Y73" s="154">
        <f t="shared" si="22"/>
        <v>536691</v>
      </c>
      <c r="Z73" s="168">
        <f t="shared" si="23"/>
        <v>1.7889700000000004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3">
        <f>IFERROR(VLOOKUP($A$3:$A$139,'APR-2026'!$A$4:$ABX$112,MATCH('FY-(26-27)Q1'!$G$2:$H$2,'APR-2026'!$A$2:$BY$2,0),0),0)</f>
        <v>-37267</v>
      </c>
      <c r="H74" s="155">
        <f>IFERROR(VLOOKUP($A$3:$A$139,'APR-2026'!$A$4:$ABX$112,MATCH('FY-(26-27)Q1'!$G$2:$H$2,'APR-2026'!$A$2:$BY$2,0),0),0)</f>
        <v>-0.14906800000000001</v>
      </c>
      <c r="I74" s="153">
        <f>IFERROR(VLOOKUP($A$3:$A$139,'MAY-2026'!$A$4:$ACP$113,MATCH('FY-(26-27)Q1'!$I$2:$J$2,'MAY-2026'!$A$2:$CQ$2,0),0),0)</f>
        <v>-50171</v>
      </c>
      <c r="J74" s="155">
        <f>IFERROR(VLOOKUP($A$3:$A$139,'MAY-2026'!$A$4:$ACP$113,MATCH('FY-(26-27)Q1'!$I$2:$J$2,'MAY-2026'!$A$2:$CQ$2,0),0),0)</f>
        <v>-0.20068400000000003</v>
      </c>
      <c r="K74" s="153">
        <f>IFERROR(VLOOKUP($A$3:$A$139,'JUNE-2026'!$A$4:$ADJ$113,MATCH('FY-(26-27)Q1'!$K$2:$L$2,'JUNE-2026'!$A$2:$DK$2,0),0),0)</f>
        <v>-184314</v>
      </c>
      <c r="L74" s="155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6">
        <f t="shared" si="3"/>
        <v>-1.0870080000000002</v>
      </c>
      <c r="O74" s="215"/>
      <c r="P74" s="153">
        <f>IFERROR(VLOOKUP($A$3:$A$139,'FY-(26-27)Q2'!$A$4:$ABW$124,MATCH('FY-(26-27)Q1'!$P$2:$Q$2,'FY-(26-27)Q2'!$A$2:$BX$2,0),0),0)</f>
        <v>-113136</v>
      </c>
      <c r="Q74" s="155">
        <f>IFERROR(VLOOKUP($A$3:$A$139,'FY-(26-27)Q2'!$A$4:$ABW$124,MATCH('FY-(26-27)Q1'!$P$2:$Q$2,'FY-(26-27)Q2'!$A$2:$BX$2,0),0),0)</f>
        <v>-0.452544</v>
      </c>
      <c r="R74" s="159"/>
      <c r="S74" s="88">
        <f>IFERROR(VLOOKUP($A$4:$A$74,#REF!,MATCH('FY-(26-27)Q1'!$S$2:$T$2,#REF!,0),0),0)</f>
        <v>0</v>
      </c>
      <c r="T74" s="124">
        <f>IFERROR(VLOOKUP($A$4:$A$74,#REF!,MATCH('FY-(26-27)Q1'!$S$2:$T$2,#REF!,0),0),0)</f>
        <v>0</v>
      </c>
      <c r="U74" s="159"/>
      <c r="V74" s="45"/>
      <c r="W74" s="72"/>
      <c r="Y74" s="154">
        <f t="shared" si="22"/>
        <v>-384888</v>
      </c>
      <c r="Z74" s="168">
        <f t="shared" si="23"/>
        <v>-1.5395520000000003</v>
      </c>
    </row>
    <row r="75" spans="1:26" s="132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3">
        <f>IFERROR(VLOOKUP($A$3:$A$139,'APR-2026'!$A$4:$ABX$112,MATCH('FY-(26-27)Q1'!$G$2:$H$2,'APR-2026'!$A$2:$BY$2,0),0),0)</f>
        <v>0</v>
      </c>
      <c r="H75" s="155">
        <f>IFERROR(VLOOKUP($A$3:$A$139,'APR-2026'!$A$4:$ABX$112,MATCH('FY-(26-27)Q1'!$G$2:$H$2,'APR-2026'!$A$2:$BY$2,0),0),0)</f>
        <v>0</v>
      </c>
      <c r="I75" s="153">
        <f>IFERROR(VLOOKUP($A$3:$A$139,'MAY-2026'!$A$4:$ACP$113,MATCH('FY-(26-27)Q1'!$I$2:$J$2,'MAY-2026'!$A$2:$CQ$2,0),0),0)</f>
        <v>0</v>
      </c>
      <c r="J75" s="155">
        <f>IFERROR(VLOOKUP($A$3:$A$139,'MAY-2026'!$A$4:$ACP$113,MATCH('FY-(26-27)Q1'!$I$2:$J$2,'MAY-2026'!$A$2:$CQ$2,0),0),0)</f>
        <v>0</v>
      </c>
      <c r="K75" s="153">
        <f>IFERROR(VLOOKUP($A$3:$A$139,'JUNE-2026'!$A$4:$ADJ$113,MATCH('FY-(26-27)Q1'!$K$2:$L$2,'JUNE-2026'!$A$2:$DK$2,0),0),0)</f>
        <v>0</v>
      </c>
      <c r="L75" s="155">
        <f>IFERROR(VLOOKUP($A$3:$A$139,'JUNE-2026'!$A$4:$ADJ$113,MATCH('FY-(26-27)Q1'!$K$2:$L$2,'JUNE-2026'!$A$2:$DK$2,0),0),0)</f>
        <v>0</v>
      </c>
      <c r="M75" s="71">
        <f t="shared" ref="M75:M76" si="51">G75+I75+K75</f>
        <v>0</v>
      </c>
      <c r="N75" s="166">
        <f t="shared" ref="N75:N76" si="52">H75+J75+L75</f>
        <v>0</v>
      </c>
      <c r="O75" s="215"/>
      <c r="P75" s="153">
        <f>IFERROR(VLOOKUP($A$3:$A$139,'FY-(26-27)Q2'!$A$4:$ABW$124,MATCH('FY-(26-27)Q1'!$P$2:$Q$2,'FY-(26-27)Q2'!$A$2:$BX$2,0),0),0)</f>
        <v>80165</v>
      </c>
      <c r="Q75" s="155">
        <f>IFERROR(VLOOKUP($A$3:$A$139,'FY-(26-27)Q2'!$A$4:$ABW$124,MATCH('FY-(26-27)Q1'!$P$2:$Q$2,'FY-(26-27)Q2'!$A$2:$BX$2,0),0),0)</f>
        <v>0.45089999999999997</v>
      </c>
      <c r="R75" s="159"/>
      <c r="S75" s="153">
        <f>IFERROR(VLOOKUP($A$4:$A$74,#REF!,MATCH('FY-(26-27)Q1'!$S$2:$T$2,#REF!,0),0),0)</f>
        <v>0</v>
      </c>
      <c r="T75" s="159">
        <f>IFERROR(VLOOKUP($A$4:$A$74,#REF!,MATCH('FY-(26-27)Q1'!$S$2:$T$2,#REF!,0),0),0)</f>
        <v>0</v>
      </c>
      <c r="U75" s="159"/>
      <c r="V75" s="144"/>
      <c r="W75" s="150"/>
      <c r="Y75" s="154">
        <f t="shared" ref="Y75:Y76" si="53">M75+P75+S75+V75</f>
        <v>80165</v>
      </c>
      <c r="Z75" s="168">
        <f t="shared" ref="Z75:Z76" si="54">(N75+Q75+T75+W75)</f>
        <v>0.45089999999999997</v>
      </c>
    </row>
    <row r="76" spans="1:26" s="132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3">
        <f>IFERROR(VLOOKUP($A$3:$A$139,'APR-2026'!$A$4:$ABX$112,MATCH('FY-(26-27)Q1'!$G$2:$H$2,'APR-2026'!$A$2:$BY$2,0),0),0)</f>
        <v>0</v>
      </c>
      <c r="H76" s="155">
        <f>IFERROR(VLOOKUP($A$3:$A$139,'APR-2026'!$A$4:$ABX$112,MATCH('FY-(26-27)Q1'!$G$2:$H$2,'APR-2026'!$A$2:$BY$2,0),0),0)</f>
        <v>0</v>
      </c>
      <c r="I76" s="153">
        <f>IFERROR(VLOOKUP($A$3:$A$139,'MAY-2026'!$A$4:$ACP$113,MATCH('FY-(26-27)Q1'!$I$2:$J$2,'MAY-2026'!$A$2:$CQ$2,0),0),0)</f>
        <v>0</v>
      </c>
      <c r="J76" s="155">
        <f>IFERROR(VLOOKUP($A$3:$A$139,'MAY-2026'!$A$4:$ACP$113,MATCH('FY-(26-27)Q1'!$I$2:$J$2,'MAY-2026'!$A$2:$CQ$2,0),0),0)</f>
        <v>0</v>
      </c>
      <c r="K76" s="153">
        <f>IFERROR(VLOOKUP($A$3:$A$139,'JUNE-2026'!$A$4:$ADJ$113,MATCH('FY-(26-27)Q1'!$K$2:$L$2,'JUNE-2026'!$A$2:$DK$2,0),0),0)</f>
        <v>0</v>
      </c>
      <c r="L76" s="155">
        <f>IFERROR(VLOOKUP($A$3:$A$139,'JUNE-2026'!$A$4:$ADJ$113,MATCH('FY-(26-27)Q1'!$K$2:$L$2,'JUNE-2026'!$A$2:$DK$2,0),0),0)</f>
        <v>0</v>
      </c>
      <c r="M76" s="71">
        <f t="shared" si="51"/>
        <v>0</v>
      </c>
      <c r="N76" s="166">
        <f t="shared" si="52"/>
        <v>0</v>
      </c>
      <c r="O76" s="215"/>
      <c r="P76" s="153">
        <f>IFERROR(VLOOKUP($A$3:$A$139,'FY-(26-27)Q2'!$A$4:$ABW$124,MATCH('FY-(26-27)Q1'!$P$2:$Q$2,'FY-(26-27)Q2'!$A$2:$BX$2,0),0),0)</f>
        <v>489405</v>
      </c>
      <c r="Q76" s="155">
        <f>IFERROR(VLOOKUP($A$3:$A$139,'FY-(26-27)Q2'!$A$4:$ABW$124,MATCH('FY-(26-27)Q1'!$P$2:$Q$2,'FY-(26-27)Q2'!$A$2:$BX$2,0),0),0)</f>
        <v>0.97880999999999996</v>
      </c>
      <c r="R76" s="159"/>
      <c r="S76" s="153">
        <f>IFERROR(VLOOKUP($A$4:$A$74,#REF!,MATCH('FY-(26-27)Q1'!$S$2:$T$2,#REF!,0),0),0)</f>
        <v>0</v>
      </c>
      <c r="T76" s="159">
        <f>IFERROR(VLOOKUP($A$4:$A$74,#REF!,MATCH('FY-(26-27)Q1'!$S$2:$T$2,#REF!,0),0),0)</f>
        <v>0</v>
      </c>
      <c r="U76" s="159"/>
      <c r="V76" s="144"/>
      <c r="W76" s="150"/>
      <c r="Y76" s="154">
        <f t="shared" si="53"/>
        <v>489405</v>
      </c>
      <c r="Z76" s="168">
        <f t="shared" si="54"/>
        <v>0.97880999999999996</v>
      </c>
    </row>
    <row r="77" spans="1:26" x14ac:dyDescent="0.25">
      <c r="A77" s="20"/>
      <c r="B77" s="21"/>
      <c r="C77" s="20"/>
      <c r="D77" s="22"/>
      <c r="E77" s="208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22"/>
      <c r="N77" s="122"/>
      <c r="O77" s="122"/>
      <c r="P77" s="109">
        <f>SUM(P4:P74)</f>
        <v>9679497</v>
      </c>
      <c r="Q77" s="122"/>
      <c r="R77" s="122"/>
      <c r="S77" s="122"/>
      <c r="T77" s="122"/>
      <c r="U77" s="122"/>
      <c r="V77" s="56"/>
      <c r="W77" s="50"/>
      <c r="Y77" s="154">
        <f>SUM(Y4:Y76)</f>
        <v>29606602</v>
      </c>
      <c r="Z77" s="161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3"/>
      <c r="P79" s="67" t="s">
        <v>89</v>
      </c>
      <c r="Q79" s="68" t="s">
        <v>126</v>
      </c>
      <c r="R79" s="213"/>
      <c r="S79" s="67" t="s">
        <v>101</v>
      </c>
      <c r="T79" s="68" t="s">
        <v>127</v>
      </c>
      <c r="U79" s="213"/>
      <c r="V79" s="67" t="s">
        <v>119</v>
      </c>
      <c r="W79" s="68" t="s">
        <v>78</v>
      </c>
      <c r="Y79" s="127" t="s">
        <v>163</v>
      </c>
      <c r="Z79" s="128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1">
        <v>30</v>
      </c>
      <c r="G80" s="239">
        <f>IFERROR(VLOOKUP($A$3:$A$139,'APR-2026'!$A$4:$ABX$112,MATCH('FY-(26-27)Q1'!$G$2:$H$2,'APR-2026'!$A$2:$BY$2,0),0),0)</f>
        <v>3718000</v>
      </c>
      <c r="H80" s="159">
        <f>IFERROR(VLOOKUP($A$3:$A$139,'APR-2026'!$A$4:$ABX$112,MATCH('FY-(26-27)Q1'!$G$2:$H$2,'APR-2026'!$A$2:$BY$2,0),0),0)</f>
        <v>1.2393333333333332</v>
      </c>
      <c r="I80" s="153">
        <f>IFERROR(VLOOKUP($A$3:$A$139,'MAY-2026'!$A$4:$ACP$113,MATCH('FY-(26-27)Q1'!$I$2:$J$2,'MAY-2026'!$A$2:$CQ$2,0),0),0)</f>
        <v>-191500</v>
      </c>
      <c r="J80" s="155">
        <f>IFERROR(VLOOKUP($A$3:$A$139,'MAY-2026'!$A$4:$ACP$113,MATCH('FY-(26-27)Q1'!$I$2:$J$2,'MAY-2026'!$A$2:$CQ$2,0),0),0)</f>
        <v>-6.3833333333333325E-2</v>
      </c>
      <c r="K80" s="153">
        <f>IFERROR(VLOOKUP($A$3:$A$139,'JUNE-2026'!$A$4:$ADJ$113,MATCH('FY-(26-27)Q1'!$K$2:$L$2,'JUNE-2026'!$A$2:$DK$2,0),0),0)</f>
        <v>269000</v>
      </c>
      <c r="L80" s="155">
        <f>IFERROR(VLOOKUP($A$3:$A$139,'JUNE-2026'!$A$4:$ADJ$113,MATCH('FY-(26-27)Q1'!$K$2:$L$2,'JUNE-2026'!$A$2:$DK$2,0),0),0)</f>
        <v>8.9666666666666658E-2</v>
      </c>
      <c r="M80" s="88">
        <f t="shared" ref="M80:N82" si="55">G80+I80+K80</f>
        <v>3795500</v>
      </c>
      <c r="N80" s="167">
        <f t="shared" si="55"/>
        <v>1.2651666666666663</v>
      </c>
      <c r="O80" s="167"/>
      <c r="P80" s="153">
        <f>IFERROR(VLOOKUP($A$3:$A$139,'FY-(26-27)Q2'!$A$4:$ABW$124,MATCH('FY-(26-27)Q1'!$P$2:$Q$2,'FY-(26-27)Q2'!$A$2:$BX$2,0),0),0)</f>
        <v>0</v>
      </c>
      <c r="Q80" s="155">
        <f>IFERROR(VLOOKUP($A$3:$A$139,'FY-(26-27)Q2'!$A$4:$ABW$124,MATCH('FY-(26-27)Q1'!$P$2:$Q$2,'FY-(26-27)Q2'!$A$2:$BX$2,0),0),0)</f>
        <v>0</v>
      </c>
      <c r="R80" s="159"/>
      <c r="S80" s="153">
        <f>IFERROR(VLOOKUP($A$4:$A$74,#REF!,MATCH('FY-(26-27)Q1'!$S$2:$T$2,#REF!,0),0),0)</f>
        <v>0</v>
      </c>
      <c r="T80" s="159">
        <f>IFERROR(VLOOKUP($A$4:$A$74,#REF!,MATCH('FY-(26-27)Q1'!$S$2:$T$2,#REF!,0),0),0)</f>
        <v>0</v>
      </c>
      <c r="U80" s="219"/>
      <c r="V80" s="52"/>
      <c r="W80" s="53"/>
      <c r="Y80" s="52">
        <f t="shared" ref="Y80:Z82" si="56">M80+P80+S80+V80</f>
        <v>3795500</v>
      </c>
      <c r="Z80" s="53">
        <f t="shared" si="56"/>
        <v>1.2651666666666663</v>
      </c>
    </row>
    <row r="81" spans="1:28" x14ac:dyDescent="0.25">
      <c r="A81" s="79" t="s">
        <v>37</v>
      </c>
      <c r="B81" s="141" t="s">
        <v>77</v>
      </c>
      <c r="C81" s="41" t="s">
        <v>57</v>
      </c>
      <c r="D81" s="41" t="s">
        <v>87</v>
      </c>
      <c r="E81" s="41" t="s">
        <v>107</v>
      </c>
      <c r="F81" s="242">
        <v>2</v>
      </c>
      <c r="G81" s="239">
        <f>IFERROR(VLOOKUP($A$3:$A$139,'APR-2026'!$A$4:$ABX$112,MATCH('FY-(26-27)Q1'!$G$2:$H$2,'APR-2026'!$A$2:$BY$2,0),0),0)</f>
        <v>3262972</v>
      </c>
      <c r="H81" s="159">
        <f>IFERROR(VLOOKUP($A$3:$A$139,'APR-2026'!$A$4:$ABX$112,MATCH('FY-(26-27)Q1'!$G$2:$H$2,'APR-2026'!$A$2:$BY$2,0),0),0)</f>
        <v>16.314859999999999</v>
      </c>
      <c r="I81" s="153">
        <f>IFERROR(VLOOKUP($A$3:$A$139,'MAY-2026'!$A$4:$ACP$113,MATCH('FY-(26-27)Q1'!$I$2:$J$2,'MAY-2026'!$A$2:$CQ$2,0),0),0)</f>
        <v>0</v>
      </c>
      <c r="J81" s="155">
        <f>IFERROR(VLOOKUP($A$3:$A$139,'MAY-2026'!$A$4:$ACP$113,MATCH('FY-(26-27)Q1'!$I$2:$J$2,'MAY-2026'!$A$2:$CQ$2,0),0),0)</f>
        <v>0</v>
      </c>
      <c r="K81" s="153">
        <f>IFERROR(VLOOKUP($A$3:$A$139,'JUNE-2026'!$A$4:$ADJ$113,MATCH('FY-(26-27)Q1'!$K$2:$L$2,'JUNE-2026'!$A$2:$DK$2,0),0),0)</f>
        <v>0</v>
      </c>
      <c r="L81" s="155">
        <f>IFERROR(VLOOKUP($A$3:$A$139,'JUNE-2026'!$A$4:$ADJ$113,MATCH('FY-(26-27)Q1'!$K$2:$L$2,'JUNE-2026'!$A$2:$DK$2,0),0),0)</f>
        <v>0</v>
      </c>
      <c r="M81" s="153">
        <f t="shared" si="55"/>
        <v>3262972</v>
      </c>
      <c r="N81" s="167">
        <f t="shared" si="55"/>
        <v>16.314859999999999</v>
      </c>
      <c r="O81" s="167"/>
      <c r="P81" s="153">
        <f>IFERROR(VLOOKUP($A$3:$A$139,'FY-(26-27)Q2'!$A$4:$ABW$124,MATCH('FY-(26-27)Q1'!$P$2:$Q$2,'FY-(26-27)Q2'!$A$2:$BX$2,0),0),0)</f>
        <v>0</v>
      </c>
      <c r="Q81" s="155">
        <f>IFERROR(VLOOKUP($A$3:$A$139,'FY-(26-27)Q2'!$A$4:$ABW$124,MATCH('FY-(26-27)Q1'!$P$2:$Q$2,'FY-(26-27)Q2'!$A$2:$BX$2,0),0),0)</f>
        <v>0</v>
      </c>
      <c r="R81" s="159"/>
      <c r="S81" s="153">
        <f>IFERROR(VLOOKUP($A$4:$A$74,#REF!,MATCH('FY-(26-27)Q1'!$S$2:$T$2,#REF!,0),0),0)</f>
        <v>0</v>
      </c>
      <c r="T81" s="159">
        <f>IFERROR(VLOOKUP($A$4:$A$74,#REF!,MATCH('FY-(26-27)Q1'!$S$2:$T$2,#REF!,0),0),0)</f>
        <v>0</v>
      </c>
      <c r="U81" s="219"/>
      <c r="V81" s="52"/>
      <c r="W81" s="53"/>
      <c r="Y81" s="52">
        <f t="shared" si="56"/>
        <v>3262972</v>
      </c>
      <c r="Z81" s="53">
        <f t="shared" si="56"/>
        <v>16.314859999999999</v>
      </c>
    </row>
    <row r="82" spans="1:28" x14ac:dyDescent="0.25">
      <c r="A82" s="79" t="s">
        <v>241</v>
      </c>
      <c r="B82" s="141" t="s">
        <v>240</v>
      </c>
      <c r="C82" s="141" t="s">
        <v>57</v>
      </c>
      <c r="D82" s="141"/>
      <c r="E82" s="141"/>
      <c r="F82" s="207"/>
      <c r="G82" s="239">
        <f>IFERROR(VLOOKUP($A$3:$A$139,'APR-2026'!$A$4:$ABX$112,MATCH('FY-(26-27)Q1'!$G$2:$H$2,'APR-2026'!$A$2:$BY$2,0),0),0)</f>
        <v>0</v>
      </c>
      <c r="H82" s="159">
        <f>IFERROR(VLOOKUP($A$3:$A$139,'APR-2026'!$A$4:$ABX$112,MATCH('FY-(26-27)Q1'!$G$2:$H$2,'APR-2026'!$A$2:$BY$2,0),0),0)</f>
        <v>0</v>
      </c>
      <c r="I82" s="153">
        <f>IFERROR(VLOOKUP($A$3:$A$139,'MAY-2026'!$A$4:$ACP$113,MATCH('FY-(26-27)Q1'!$I$2:$J$2,'MAY-2026'!$A$2:$CQ$2,0),0),0)</f>
        <v>212000</v>
      </c>
      <c r="J82" s="155">
        <f>IFERROR(VLOOKUP($A$3:$A$139,'MAY-2026'!$A$4:$ACP$113,MATCH('FY-(26-27)Q1'!$I$2:$J$2,'MAY-2026'!$A$2:$CQ$2,0),0),0)</f>
        <v>0</v>
      </c>
      <c r="K82" s="153">
        <f>IFERROR(VLOOKUP($A$3:$A$139,'JUNE-2026'!$A$4:$ADJ$113,MATCH('FY-(26-27)Q1'!$K$2:$L$2,'JUNE-2026'!$A$2:$DK$2,0),0),0)</f>
        <v>-500</v>
      </c>
      <c r="L82" s="155">
        <f>IFERROR(VLOOKUP($A$3:$A$139,'JUNE-2026'!$A$4:$ADJ$113,MATCH('FY-(26-27)Q1'!$K$2:$L$2,'JUNE-2026'!$A$2:$DK$2,0),0),0)</f>
        <v>0</v>
      </c>
      <c r="M82" s="153">
        <f t="shared" si="55"/>
        <v>211500</v>
      </c>
      <c r="N82" s="167">
        <f t="shared" si="55"/>
        <v>0</v>
      </c>
      <c r="O82" s="167"/>
      <c r="P82" s="153">
        <f>IFERROR(VLOOKUP($A$3:$A$139,'FY-(26-27)Q2'!$A$4:$ABW$124,MATCH('FY-(26-27)Q1'!$P$2:$Q$2,'FY-(26-27)Q2'!$A$2:$BX$2,0),0),0)</f>
        <v>614980</v>
      </c>
      <c r="Q82" s="155">
        <f>IFERROR(VLOOKUP($A$3:$A$139,'FY-(26-27)Q2'!$A$4:$ABW$124,MATCH('FY-(26-27)Q1'!$P$2:$Q$2,'FY-(26-27)Q2'!$A$2:$BX$2,0),0),0)</f>
        <v>2.0499333333333336</v>
      </c>
      <c r="R82" s="159"/>
      <c r="S82" s="153">
        <f>IFERROR(VLOOKUP($A$4:$A$74,#REF!,MATCH('FY-(26-27)Q1'!$S$2:$T$2,#REF!,0),0),0)</f>
        <v>0</v>
      </c>
      <c r="T82" s="159">
        <f>IFERROR(VLOOKUP($A$4:$A$74,#REF!,MATCH('FY-(26-27)Q1'!$S$2:$T$2,#REF!,0),0),0)</f>
        <v>0</v>
      </c>
      <c r="U82" s="219"/>
      <c r="V82" s="52"/>
      <c r="W82" s="53"/>
      <c r="X82" s="132"/>
      <c r="Y82" s="52">
        <f t="shared" si="56"/>
        <v>826480</v>
      </c>
      <c r="Z82" s="53">
        <f t="shared" si="56"/>
        <v>2.0499333333333336</v>
      </c>
      <c r="AA82" s="132"/>
    </row>
    <row r="83" spans="1:28" s="132" customFormat="1" x14ac:dyDescent="0.25">
      <c r="A83" s="79" t="s">
        <v>273</v>
      </c>
      <c r="B83" s="141" t="s">
        <v>272</v>
      </c>
      <c r="C83" s="141" t="s">
        <v>57</v>
      </c>
      <c r="D83" s="141" t="s">
        <v>87</v>
      </c>
      <c r="E83" s="141" t="s">
        <v>256</v>
      </c>
      <c r="F83" s="207"/>
      <c r="G83" s="239">
        <f>IFERROR(VLOOKUP($A$3:$A$139,'APR-2026'!$A$4:$ABX$112,MATCH('FY-(26-27)Q1'!$G$2:$H$2,'APR-2026'!$A$2:$BY$2,0),0),0)</f>
        <v>0</v>
      </c>
      <c r="H83" s="159">
        <f>IFERROR(VLOOKUP($A$3:$A$139,'APR-2026'!$A$4:$ABX$112,MATCH('FY-(26-27)Q1'!$G$2:$H$2,'APR-2026'!$A$2:$BY$2,0),0),0)</f>
        <v>0</v>
      </c>
      <c r="I83" s="153">
        <f>IFERROR(VLOOKUP($A$3:$A$139,'MAY-2026'!$A$4:$ACP$113,MATCH('FY-(26-27)Q1'!$I$2:$J$2,'MAY-2026'!$A$2:$CQ$2,0),0),0)</f>
        <v>0</v>
      </c>
      <c r="J83" s="155">
        <f>IFERROR(VLOOKUP($A$3:$A$139,'MAY-2026'!$A$4:$ACP$113,MATCH('FY-(26-27)Q1'!$I$2:$J$2,'MAY-2026'!$A$2:$CQ$2,0),0),0)</f>
        <v>0</v>
      </c>
      <c r="K83" s="153">
        <f>IFERROR(VLOOKUP($A$3:$A$139,'JUNE-2026'!$A$4:$ADJ$113,MATCH('FY-(26-27)Q1'!$K$2:$L$2,'JUNE-2026'!$A$2:$DK$2,0),0),0)</f>
        <v>-410000</v>
      </c>
      <c r="L83" s="155">
        <f>IFERROR(VLOOKUP($A$3:$A$139,'JUNE-2026'!$A$4:$ADJ$113,MATCH('FY-(26-27)Q1'!$K$2:$L$2,'JUNE-2026'!$A$2:$DK$2,0),0),0)</f>
        <v>0</v>
      </c>
      <c r="M83" s="153">
        <f t="shared" ref="M83" si="57">G83+I83+K83</f>
        <v>-410000</v>
      </c>
      <c r="N83" s="167">
        <f t="shared" ref="N83" si="58">H83+J83+L83</f>
        <v>0</v>
      </c>
      <c r="O83" s="167"/>
      <c r="P83" s="153">
        <f>IFERROR(VLOOKUP($A$3:$A$139,'FY-(26-27)Q2'!$A$4:$ABW$124,MATCH('FY-(26-27)Q1'!$P$2:$Q$2,'FY-(26-27)Q2'!$A$2:$BX$2,0),0),0)</f>
        <v>971446</v>
      </c>
      <c r="Q83" s="155">
        <f>IFERROR(VLOOKUP($A$3:$A$139,'FY-(26-27)Q2'!$A$4:$ABW$124,MATCH('FY-(26-27)Q1'!$P$2:$Q$2,'FY-(26-27)Q2'!$A$2:$BX$2,0),0),0)</f>
        <v>0</v>
      </c>
      <c r="R83" s="159"/>
      <c r="S83" s="153">
        <f>IFERROR(VLOOKUP($A$4:$A$74,#REF!,MATCH('FY-(26-27)Q1'!$S$2:$T$2,#REF!,0),0),0)</f>
        <v>0</v>
      </c>
      <c r="T83" s="159">
        <f>IFERROR(VLOOKUP($A$4:$A$74,#REF!,MATCH('FY-(26-27)Q1'!$S$2:$T$2,#REF!,0),0),0)</f>
        <v>0</v>
      </c>
      <c r="U83" s="219"/>
      <c r="V83" s="52"/>
      <c r="W83" s="53"/>
      <c r="Y83" s="52">
        <f t="shared" ref="Y83" si="59">M83+P83+S83+V83</f>
        <v>561446</v>
      </c>
      <c r="Z83" s="53">
        <f t="shared" ref="Z83" si="60">N83+Q83+T83+W83</f>
        <v>0</v>
      </c>
    </row>
    <row r="84" spans="1:28" ht="15.75" thickBot="1" x14ac:dyDescent="0.3">
      <c r="A84" s="243"/>
      <c r="B84" s="244"/>
      <c r="C84" s="244"/>
      <c r="D84" s="244"/>
      <c r="E84" s="244"/>
      <c r="F84" s="245"/>
      <c r="G84" s="240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1586426</v>
      </c>
      <c r="Q84" s="123"/>
      <c r="R84" s="123"/>
      <c r="S84" s="123"/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2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Y4:Z11 K5:L11 A20:F24 D5:J5 F72:J74 A44:J44 Y66 Z56:Z60 G45:J53 K44:L53 A73:C73 A74:E74 A45:F46 E52:F52 A60:F60 Y34:Z36 M80:O82 M7:O11 A34:O36 R44:W44 R72:W74 R7:W9 R13:W16 R34:W36 R45:U46 R17:U17 R22:U30 R48:U53 U80:U82 A77:E77 A38:H39 A62:F62 K62:O66 Z62:Z66 Y62:Y63 G62:J63 R38:U43 M38:O53 I38:L43 Y38:Z53 W38:W39 G77:W78 G84:W84 K69:O74 G69:J69 W66:W68 R62:U71 G67:O68 Y67:Z74 A9 F9 I13:O18 Y13:Z18 Y55:Z55 R55:U60 K55:O60 G55:J55 W55:W56 Y20:Z32 G20:O32 A31:A32 P13:Q36 A7:F8">
    <cfRule type="expression" dxfId="245" priority="448">
      <formula>MOD(ROW(),2)=0</formula>
    </cfRule>
  </conditionalFormatting>
  <conditionalFormatting sqref="V38:V39 V23:V24 V59 V48:V49 V56 V45:V46 V27:V29 G2:I3 V52 G4:H4">
    <cfRule type="expression" dxfId="244" priority="447">
      <formula>MOD(ROW(),2)=0</formula>
    </cfRule>
  </conditionalFormatting>
  <conditionalFormatting sqref="J2:J3">
    <cfRule type="expression" dxfId="243" priority="444">
      <formula>MOD(ROW(),2)=0</formula>
    </cfRule>
  </conditionalFormatting>
  <conditionalFormatting sqref="V80:W81">
    <cfRule type="expression" dxfId="242" priority="441">
      <formula>MOD(ROW(),2)=0</formula>
    </cfRule>
  </conditionalFormatting>
  <conditionalFormatting sqref="K2:K3">
    <cfRule type="expression" dxfId="241" priority="442">
      <formula>MOD(ROW(),2)=0</formula>
    </cfRule>
  </conditionalFormatting>
  <conditionalFormatting sqref="V60">
    <cfRule type="expression" dxfId="240" priority="432">
      <formula>MOD(ROW(),2)=0</formula>
    </cfRule>
  </conditionalFormatting>
  <conditionalFormatting sqref="V22">
    <cfRule type="expression" dxfId="239" priority="433">
      <formula>MOD(ROW(),2)=0</formula>
    </cfRule>
  </conditionalFormatting>
  <conditionalFormatting sqref="A53:C53 E53">
    <cfRule type="expression" dxfId="238" priority="422">
      <formula>MOD(ROW(),2)=0</formula>
    </cfRule>
  </conditionalFormatting>
  <conditionalFormatting sqref="V53 V55">
    <cfRule type="expression" dxfId="237" priority="420">
      <formula>MOD(ROW(),2)=0</formula>
    </cfRule>
  </conditionalFormatting>
  <conditionalFormatting sqref="E56">
    <cfRule type="expression" dxfId="236" priority="418">
      <formula>MOD(ROW(),2)=0</formula>
    </cfRule>
  </conditionalFormatting>
  <conditionalFormatting sqref="V42">
    <cfRule type="expression" dxfId="235" priority="409">
      <formula>MOD(ROW(),2)=0</formula>
    </cfRule>
  </conditionalFormatting>
  <conditionalFormatting sqref="A30:F30">
    <cfRule type="expression" dxfId="234" priority="408">
      <formula>MOD(ROW(),2)=0</formula>
    </cfRule>
  </conditionalFormatting>
  <conditionalFormatting sqref="B72:C72">
    <cfRule type="expression" dxfId="233" priority="380">
      <formula>MOD(ROW(),2)=0</formula>
    </cfRule>
  </conditionalFormatting>
  <conditionalFormatting sqref="V30">
    <cfRule type="expression" dxfId="232" priority="406">
      <formula>MOD(ROW(),2)=0</formula>
    </cfRule>
  </conditionalFormatting>
  <conditionalFormatting sqref="A26:E26">
    <cfRule type="expression" dxfId="231" priority="405">
      <formula>MOD(ROW(),2)=0</formula>
    </cfRule>
  </conditionalFormatting>
  <conditionalFormatting sqref="V26">
    <cfRule type="expression" dxfId="230" priority="403">
      <formula>MOD(ROW(),2)=0</formula>
    </cfRule>
  </conditionalFormatting>
  <conditionalFormatting sqref="A25:E25">
    <cfRule type="expression" dxfId="229" priority="402">
      <formula>MOD(ROW(),2)=0</formula>
    </cfRule>
  </conditionalFormatting>
  <conditionalFormatting sqref="V25">
    <cfRule type="expression" dxfId="228" priority="400">
      <formula>MOD(ROW(),2)=0</formula>
    </cfRule>
  </conditionalFormatting>
  <conditionalFormatting sqref="A58:C58 E58:F58">
    <cfRule type="expression" dxfId="227" priority="387">
      <formula>MOD(ROW(),2)=0</formula>
    </cfRule>
  </conditionalFormatting>
  <conditionalFormatting sqref="T4:U4 T20:U21">
    <cfRule type="expression" dxfId="226" priority="331">
      <formula>MOD(ROW(),2)=0</formula>
    </cfRule>
  </conditionalFormatting>
  <conditionalFormatting sqref="A72">
    <cfRule type="expression" dxfId="225" priority="378">
      <formula>MOD(ROW(),2)=0</formula>
    </cfRule>
  </conditionalFormatting>
  <conditionalFormatting sqref="S4:U4 S20:U21">
    <cfRule type="expression" dxfId="224" priority="330">
      <formula>MOD(ROW(),2)=0</formula>
    </cfRule>
  </conditionalFormatting>
  <conditionalFormatting sqref="V58">
    <cfRule type="expression" dxfId="223" priority="383">
      <formula>MOD(ROW(),2)=0</formula>
    </cfRule>
  </conditionalFormatting>
  <conditionalFormatting sqref="F25">
    <cfRule type="expression" dxfId="222" priority="349">
      <formula>MOD(ROW(),2)=0</formula>
    </cfRule>
  </conditionalFormatting>
  <conditionalFormatting sqref="M20:O21 M34:O34">
    <cfRule type="expression" dxfId="221" priority="347">
      <formula>MOD(ROW(),2)=0</formula>
    </cfRule>
  </conditionalFormatting>
  <conditionalFormatting sqref="A17:F17 A18:C18 E18:F18">
    <cfRule type="expression" dxfId="220" priority="355">
      <formula>MOD(ROW(),2)=0</formula>
    </cfRule>
  </conditionalFormatting>
  <conditionalFormatting sqref="V17:W17">
    <cfRule type="expression" dxfId="219" priority="354">
      <formula>MOD(ROW(),2)=0</formula>
    </cfRule>
  </conditionalFormatting>
  <conditionalFormatting sqref="R4 R20:R21">
    <cfRule type="expression" dxfId="218" priority="339">
      <formula>MOD(ROW(),2)=0</formula>
    </cfRule>
  </conditionalFormatting>
  <conditionalFormatting sqref="R4 R20:R21">
    <cfRule type="expression" dxfId="217" priority="338">
      <formula>MOD(ROW(),2)=0</formula>
    </cfRule>
  </conditionalFormatting>
  <conditionalFormatting sqref="V66:V68">
    <cfRule type="expression" dxfId="216" priority="369">
      <formula>MOD(ROW(),2)=0</formula>
    </cfRule>
  </conditionalFormatting>
  <conditionalFormatting sqref="W62">
    <cfRule type="expression" dxfId="215" priority="329">
      <formula>MOD(ROW(),2)=0</formula>
    </cfRule>
  </conditionalFormatting>
  <conditionalFormatting sqref="M35:O35">
    <cfRule type="expression" dxfId="214" priority="340">
      <formula>MOD(ROW(),2)=0</formula>
    </cfRule>
  </conditionalFormatting>
  <conditionalFormatting sqref="F26">
    <cfRule type="expression" dxfId="213" priority="350">
      <formula>MOD(ROW(),2)=0</formula>
    </cfRule>
  </conditionalFormatting>
  <conditionalFormatting sqref="N20:O21 N34:O34">
    <cfRule type="expression" dxfId="212" priority="348">
      <formula>MOD(ROW(),2)=0</formula>
    </cfRule>
  </conditionalFormatting>
  <conditionalFormatting sqref="N35:O35">
    <cfRule type="expression" dxfId="211" priority="341">
      <formula>MOD(ROW(),2)=0</formula>
    </cfRule>
  </conditionalFormatting>
  <conditionalFormatting sqref="V62">
    <cfRule type="expression" dxfId="210" priority="328">
      <formula>MOD(ROW(),2)=0</formula>
    </cfRule>
  </conditionalFormatting>
  <conditionalFormatting sqref="M18:O18">
    <cfRule type="expression" dxfId="209" priority="286">
      <formula>MOD(ROW(),2)=0</formula>
    </cfRule>
  </conditionalFormatting>
  <conditionalFormatting sqref="R18">
    <cfRule type="expression" dxfId="208" priority="285">
      <formula>MOD(ROW(),2)=0</formula>
    </cfRule>
  </conditionalFormatting>
  <conditionalFormatting sqref="T18:U18">
    <cfRule type="expression" dxfId="207" priority="283">
      <formula>MOD(ROW(),2)=0</formula>
    </cfRule>
  </conditionalFormatting>
  <conditionalFormatting sqref="B31:F31 B32:C32 E32:F32">
    <cfRule type="expression" dxfId="206" priority="275">
      <formula>MOD(ROW(),2)=0</formula>
    </cfRule>
  </conditionalFormatting>
  <conditionalFormatting sqref="W31">
    <cfRule type="expression" dxfId="205" priority="274">
      <formula>MOD(ROW(),2)=0</formula>
    </cfRule>
  </conditionalFormatting>
  <conditionalFormatting sqref="V18:W18">
    <cfRule type="expression" dxfId="204" priority="288">
      <formula>MOD(ROW(),2)=0</formula>
    </cfRule>
  </conditionalFormatting>
  <conditionalFormatting sqref="N18:O18">
    <cfRule type="expression" dxfId="203" priority="287">
      <formula>MOD(ROW(),2)=0</formula>
    </cfRule>
  </conditionalFormatting>
  <conditionalFormatting sqref="R18">
    <cfRule type="expression" dxfId="202" priority="284">
      <formula>MOD(ROW(),2)=0</formula>
    </cfRule>
  </conditionalFormatting>
  <conditionalFormatting sqref="S18:U18">
    <cfRule type="expression" dxfId="201" priority="282">
      <formula>MOD(ROW(),2)=0</formula>
    </cfRule>
  </conditionalFormatting>
  <conditionalFormatting sqref="V31">
    <cfRule type="expression" dxfId="200" priority="273">
      <formula>MOD(ROW(),2)=0</formula>
    </cfRule>
  </conditionalFormatting>
  <conditionalFormatting sqref="S31:U31">
    <cfRule type="expression" dxfId="199" priority="267">
      <formula>MOD(ROW(),2)=0</formula>
    </cfRule>
  </conditionalFormatting>
  <conditionalFormatting sqref="N31:O31">
    <cfRule type="expression" dxfId="198" priority="272">
      <formula>MOD(ROW(),2)=0</formula>
    </cfRule>
  </conditionalFormatting>
  <conditionalFormatting sqref="M31:O31">
    <cfRule type="expression" dxfId="197" priority="271">
      <formula>MOD(ROW(),2)=0</formula>
    </cfRule>
  </conditionalFormatting>
  <conditionalFormatting sqref="T31:U31">
    <cfRule type="expression" dxfId="196" priority="268">
      <formula>MOD(ROW(),2)=0</formula>
    </cfRule>
  </conditionalFormatting>
  <conditionalFormatting sqref="R31">
    <cfRule type="expression" dxfId="195" priority="270">
      <formula>MOD(ROW(),2)=0</formula>
    </cfRule>
  </conditionalFormatting>
  <conditionalFormatting sqref="R31">
    <cfRule type="expression" dxfId="194" priority="269">
      <formula>MOD(ROW(),2)=0</formula>
    </cfRule>
  </conditionalFormatting>
  <conditionalFormatting sqref="A11:F11 A10:C10 E10:F10 F12">
    <cfRule type="expression" dxfId="193" priority="260">
      <formula>MOD(ROW(),2)=0</formula>
    </cfRule>
  </conditionalFormatting>
  <conditionalFormatting sqref="V10:W11">
    <cfRule type="expression" dxfId="192" priority="259">
      <formula>MOD(ROW(),2)=0</formula>
    </cfRule>
  </conditionalFormatting>
  <conditionalFormatting sqref="R10:R11">
    <cfRule type="expression" dxfId="191" priority="256">
      <formula>MOD(ROW(),2)=0</formula>
    </cfRule>
  </conditionalFormatting>
  <conditionalFormatting sqref="R10:R11">
    <cfRule type="expression" dxfId="190" priority="255">
      <formula>MOD(ROW(),2)=0</formula>
    </cfRule>
  </conditionalFormatting>
  <conditionalFormatting sqref="S10:U11">
    <cfRule type="expression" dxfId="189" priority="253">
      <formula>MOD(ROW(),2)=0</formula>
    </cfRule>
  </conditionalFormatting>
  <conditionalFormatting sqref="N10:O11">
    <cfRule type="expression" dxfId="188" priority="258">
      <formula>MOD(ROW(),2)=0</formula>
    </cfRule>
  </conditionalFormatting>
  <conditionalFormatting sqref="M10:O11">
    <cfRule type="expression" dxfId="187" priority="257">
      <formula>MOD(ROW(),2)=0</formula>
    </cfRule>
  </conditionalFormatting>
  <conditionalFormatting sqref="T10:U11">
    <cfRule type="expression" dxfId="186" priority="254">
      <formula>MOD(ROW(),2)=0</formula>
    </cfRule>
  </conditionalFormatting>
  <conditionalFormatting sqref="A47:C47 E47:F47">
    <cfRule type="expression" dxfId="185" priority="246">
      <formula>MOD(ROW(),2)=0</formula>
    </cfRule>
  </conditionalFormatting>
  <conditionalFormatting sqref="W47">
    <cfRule type="expression" dxfId="184" priority="245">
      <formula>MOD(ROW(),2)=0</formula>
    </cfRule>
  </conditionalFormatting>
  <conditionalFormatting sqref="V47">
    <cfRule type="expression" dxfId="183" priority="244">
      <formula>MOD(ROW(),2)=0</formula>
    </cfRule>
  </conditionalFormatting>
  <conditionalFormatting sqref="T47:U47">
    <cfRule type="expression" dxfId="182" priority="239">
      <formula>MOD(ROW(),2)=0</formula>
    </cfRule>
  </conditionalFormatting>
  <conditionalFormatting sqref="S47:U47">
    <cfRule type="expression" dxfId="181" priority="238">
      <formula>MOD(ROW(),2)=0</formula>
    </cfRule>
  </conditionalFormatting>
  <conditionalFormatting sqref="M47:O47">
    <cfRule type="expression" dxfId="180" priority="242">
      <formula>MOD(ROW(),2)=0</formula>
    </cfRule>
  </conditionalFormatting>
  <conditionalFormatting sqref="R47">
    <cfRule type="expression" dxfId="179" priority="241">
      <formula>MOD(ROW(),2)=0</formula>
    </cfRule>
  </conditionalFormatting>
  <conditionalFormatting sqref="R47">
    <cfRule type="expression" dxfId="178" priority="240">
      <formula>MOD(ROW(),2)=0</formula>
    </cfRule>
  </conditionalFormatting>
  <conditionalFormatting sqref="N47:O47">
    <cfRule type="expression" dxfId="177" priority="243">
      <formula>MOD(ROW(),2)=0</formula>
    </cfRule>
  </conditionalFormatting>
  <conditionalFormatting sqref="A59:C59 E59:F59">
    <cfRule type="expression" dxfId="176" priority="231">
      <formula>MOD(ROW(),2)=0</formula>
    </cfRule>
  </conditionalFormatting>
  <conditionalFormatting sqref="A5:C5">
    <cfRule type="expression" dxfId="175" priority="227">
      <formula>MOD(ROW(),2)=0</formula>
    </cfRule>
  </conditionalFormatting>
  <conditionalFormatting sqref="V5:W5">
    <cfRule type="expression" dxfId="174" priority="226">
      <formula>MOD(ROW(),2)=0</formula>
    </cfRule>
  </conditionalFormatting>
  <conditionalFormatting sqref="T5:U5">
    <cfRule type="expression" dxfId="173" priority="220">
      <formula>MOD(ROW(),2)=0</formula>
    </cfRule>
  </conditionalFormatting>
  <conditionalFormatting sqref="S5:U5">
    <cfRule type="expression" dxfId="172" priority="219">
      <formula>MOD(ROW(),2)=0</formula>
    </cfRule>
  </conditionalFormatting>
  <conditionalFormatting sqref="M5:O5">
    <cfRule type="expression" dxfId="171" priority="223">
      <formula>MOD(ROW(),2)=0</formula>
    </cfRule>
  </conditionalFormatting>
  <conditionalFormatting sqref="R5">
    <cfRule type="expression" dxfId="170" priority="222">
      <formula>MOD(ROW(),2)=0</formula>
    </cfRule>
  </conditionalFormatting>
  <conditionalFormatting sqref="R5">
    <cfRule type="expression" dxfId="169" priority="221">
      <formula>MOD(ROW(),2)=0</formula>
    </cfRule>
  </conditionalFormatting>
  <conditionalFormatting sqref="N5:O5">
    <cfRule type="expression" dxfId="168" priority="224">
      <formula>MOD(ROW(),2)=0</formula>
    </cfRule>
  </conditionalFormatting>
  <conditionalFormatting sqref="A50:F51">
    <cfRule type="expression" dxfId="167" priority="208">
      <formula>MOD(ROW(),2)=0</formula>
    </cfRule>
  </conditionalFormatting>
  <conditionalFormatting sqref="W50:W51">
    <cfRule type="expression" dxfId="166" priority="207">
      <formula>MOD(ROW(),2)=0</formula>
    </cfRule>
  </conditionalFormatting>
  <conditionalFormatting sqref="V50:V51">
    <cfRule type="expression" dxfId="165" priority="206">
      <formula>MOD(ROW(),2)=0</formula>
    </cfRule>
  </conditionalFormatting>
  <conditionalFormatting sqref="W32">
    <cfRule type="expression" dxfId="164" priority="200">
      <formula>MOD(ROW(),2)=0</formula>
    </cfRule>
  </conditionalFormatting>
  <conditionalFormatting sqref="V32">
    <cfRule type="expression" dxfId="163" priority="199">
      <formula>MOD(ROW(),2)=0</formula>
    </cfRule>
  </conditionalFormatting>
  <conditionalFormatting sqref="S32:U32">
    <cfRule type="expression" dxfId="162" priority="193">
      <formula>MOD(ROW(),2)=0</formula>
    </cfRule>
  </conditionalFormatting>
  <conditionalFormatting sqref="N32:O32">
    <cfRule type="expression" dxfId="161" priority="198">
      <formula>MOD(ROW(),2)=0</formula>
    </cfRule>
  </conditionalFormatting>
  <conditionalFormatting sqref="M32:O32">
    <cfRule type="expression" dxfId="160" priority="197">
      <formula>MOD(ROW(),2)=0</formula>
    </cfRule>
  </conditionalFormatting>
  <conditionalFormatting sqref="T32:U32">
    <cfRule type="expression" dxfId="159" priority="194">
      <formula>MOD(ROW(),2)=0</formula>
    </cfRule>
  </conditionalFormatting>
  <conditionalFormatting sqref="R32">
    <cfRule type="expression" dxfId="158" priority="196">
      <formula>MOD(ROW(),2)=0</formula>
    </cfRule>
  </conditionalFormatting>
  <conditionalFormatting sqref="R32">
    <cfRule type="expression" dxfId="157" priority="195">
      <formula>MOD(ROW(),2)=0</formula>
    </cfRule>
  </conditionalFormatting>
  <conditionalFormatting sqref="W63">
    <cfRule type="expression" dxfId="156" priority="191">
      <formula>MOD(ROW(),2)=0</formula>
    </cfRule>
  </conditionalFormatting>
  <conditionalFormatting sqref="V63">
    <cfRule type="expression" dxfId="155" priority="190">
      <formula>MOD(ROW(),2)=0</formula>
    </cfRule>
  </conditionalFormatting>
  <conditionalFormatting sqref="A14:F14">
    <cfRule type="expression" dxfId="154" priority="177">
      <formula>MOD(ROW(),2)=0</formula>
    </cfRule>
  </conditionalFormatting>
  <conditionalFormatting sqref="W41">
    <cfRule type="expression" dxfId="153" priority="186">
      <formula>MOD(ROW(),2)=0</formula>
    </cfRule>
  </conditionalFormatting>
  <conditionalFormatting sqref="V41">
    <cfRule type="expression" dxfId="152" priority="185">
      <formula>MOD(ROW(),2)=0</formula>
    </cfRule>
  </conditionalFormatting>
  <conditionalFormatting sqref="A69:C69 E69:F69">
    <cfRule type="expression" dxfId="151" priority="175">
      <formula>MOD(ROW(),2)=0</formula>
    </cfRule>
  </conditionalFormatting>
  <conditionalFormatting sqref="W69">
    <cfRule type="expression" dxfId="150" priority="174">
      <formula>MOD(ROW(),2)=0</formula>
    </cfRule>
  </conditionalFormatting>
  <conditionalFormatting sqref="V69">
    <cfRule type="expression" dxfId="149" priority="173">
      <formula>MOD(ROW(),2)=0</formula>
    </cfRule>
  </conditionalFormatting>
  <conditionalFormatting sqref="G80:G81">
    <cfRule type="expression" dxfId="148" priority="168">
      <formula>MOD(ROW(),2)=0</formula>
    </cfRule>
  </conditionalFormatting>
  <conditionalFormatting sqref="H80">
    <cfRule type="expression" dxfId="147" priority="165">
      <formula>MOD(ROW(),2)=0</formula>
    </cfRule>
  </conditionalFormatting>
  <conditionalFormatting sqref="H81">
    <cfRule type="expression" dxfId="146" priority="164">
      <formula>MOD(ROW(),2)=0</formula>
    </cfRule>
  </conditionalFormatting>
  <conditionalFormatting sqref="L79">
    <cfRule type="expression" dxfId="145" priority="163">
      <formula>MOD(ROW(),2)=0</formula>
    </cfRule>
  </conditionalFormatting>
  <conditionalFormatting sqref="G79:I79">
    <cfRule type="expression" dxfId="144" priority="162">
      <formula>MOD(ROW(),2)=0</formula>
    </cfRule>
  </conditionalFormatting>
  <conditionalFormatting sqref="J79">
    <cfRule type="expression" dxfId="143" priority="161">
      <formula>MOD(ROW(),2)=0</formula>
    </cfRule>
  </conditionalFormatting>
  <conditionalFormatting sqref="K79">
    <cfRule type="expression" dxfId="142" priority="160">
      <formula>MOD(ROW(),2)=0</formula>
    </cfRule>
  </conditionalFormatting>
  <conditionalFormatting sqref="Y80:Z81">
    <cfRule type="expression" dxfId="141" priority="147">
      <formula>MOD(ROW(),2)=0</formula>
    </cfRule>
  </conditionalFormatting>
  <conditionalFormatting sqref="A40:F40">
    <cfRule type="expression" dxfId="140" priority="157">
      <formula>MOD(ROW(),2)=0</formula>
    </cfRule>
  </conditionalFormatting>
  <conditionalFormatting sqref="A41:F41">
    <cfRule type="expression" dxfId="139" priority="156">
      <formula>MOD(ROW(),2)=0</formula>
    </cfRule>
  </conditionalFormatting>
  <conditionalFormatting sqref="A43:F43">
    <cfRule type="expression" dxfId="138" priority="155">
      <formula>MOD(ROW(),2)=0</formula>
    </cfRule>
  </conditionalFormatting>
  <conditionalFormatting sqref="W43 G43:H43">
    <cfRule type="expression" dxfId="137" priority="154">
      <formula>MOD(ROW(),2)=0</formula>
    </cfRule>
  </conditionalFormatting>
  <conditionalFormatting sqref="V43">
    <cfRule type="expression" dxfId="136" priority="153">
      <formula>MOD(ROW(),2)=0</formula>
    </cfRule>
  </conditionalFormatting>
  <conditionalFormatting sqref="W40 G40:H40">
    <cfRule type="expression" dxfId="135" priority="152">
      <formula>MOD(ROW(),2)=0</formula>
    </cfRule>
  </conditionalFormatting>
  <conditionalFormatting sqref="V40">
    <cfRule type="expression" dxfId="134" priority="151">
      <formula>MOD(ROW(),2)=0</formula>
    </cfRule>
  </conditionalFormatting>
  <conditionalFormatting sqref="D13:E13">
    <cfRule type="expression" dxfId="133" priority="142">
      <formula>MOD(ROW(),2)=0</formula>
    </cfRule>
  </conditionalFormatting>
  <conditionalFormatting sqref="Y84:Z84">
    <cfRule type="expression" dxfId="132" priority="148">
      <formula>MOD(ROW(),2)=0</formula>
    </cfRule>
  </conditionalFormatting>
  <conditionalFormatting sqref="A15:B16">
    <cfRule type="expression" dxfId="131" priority="146">
      <formula>MOD(ROW(),2)=0</formula>
    </cfRule>
  </conditionalFormatting>
  <conditionalFormatting sqref="C15">
    <cfRule type="expression" dxfId="130" priority="145">
      <formula>MOD(ROW(),2)=0</formula>
    </cfRule>
  </conditionalFormatting>
  <conditionalFormatting sqref="F15">
    <cfRule type="expression" dxfId="129" priority="144">
      <formula>MOD(ROW(),2)=0</formula>
    </cfRule>
  </conditionalFormatting>
  <conditionalFormatting sqref="D15:E16">
    <cfRule type="expression" dxfId="128" priority="143">
      <formula>MOD(ROW(),2)=0</formula>
    </cfRule>
  </conditionalFormatting>
  <conditionalFormatting sqref="G15:H15">
    <cfRule type="expression" dxfId="127" priority="141">
      <formula>MOD(ROW(),2)=0</formula>
    </cfRule>
  </conditionalFormatting>
  <conditionalFormatting sqref="J80:J81">
    <cfRule type="expression" dxfId="126" priority="138">
      <formula>MOD(ROW(),2)=0</formula>
    </cfRule>
  </conditionalFormatting>
  <conditionalFormatting sqref="I80:J81">
    <cfRule type="expression" dxfId="125" priority="137">
      <formula>MOD(ROW(),2)=0</formula>
    </cfRule>
  </conditionalFormatting>
  <conditionalFormatting sqref="A70:C71 E70:E71">
    <cfRule type="expression" dxfId="124" priority="136">
      <formula>MOD(ROW(),2)=0</formula>
    </cfRule>
  </conditionalFormatting>
  <conditionalFormatting sqref="G70:J71 M70:O71">
    <cfRule type="expression" dxfId="123" priority="135">
      <formula>MOD(ROW(),2)=0</formula>
    </cfRule>
  </conditionalFormatting>
  <conditionalFormatting sqref="W70:W71">
    <cfRule type="expression" dxfId="122" priority="134">
      <formula>MOD(ROW(),2)=0</formula>
    </cfRule>
  </conditionalFormatting>
  <conditionalFormatting sqref="V70:V71">
    <cfRule type="expression" dxfId="121" priority="133">
      <formula>MOD(ROW(),2)=0</formula>
    </cfRule>
  </conditionalFormatting>
  <conditionalFormatting sqref="V57">
    <cfRule type="expression" dxfId="120" priority="130">
      <formula>MOD(ROW(),2)=0</formula>
    </cfRule>
  </conditionalFormatting>
  <conditionalFormatting sqref="A57:C57 E57:F57">
    <cfRule type="expression" dxfId="119" priority="132">
      <formula>MOD(ROW(),2)=0</formula>
    </cfRule>
  </conditionalFormatting>
  <conditionalFormatting sqref="W57 Y57 G57:J57">
    <cfRule type="expression" dxfId="118" priority="131">
      <formula>MOD(ROW(),2)=0</formula>
    </cfRule>
  </conditionalFormatting>
  <conditionalFormatting sqref="A64:A65">
    <cfRule type="expression" dxfId="117" priority="129">
      <formula>MOD(ROW(),2)=0</formula>
    </cfRule>
  </conditionalFormatting>
  <conditionalFormatting sqref="A63:B63">
    <cfRule type="expression" dxfId="116" priority="128">
      <formula>MOD(ROW(),2)=0</formula>
    </cfRule>
  </conditionalFormatting>
  <conditionalFormatting sqref="B64:B65">
    <cfRule type="expression" dxfId="115" priority="127">
      <formula>MOD(ROW(),2)=0</formula>
    </cfRule>
  </conditionalFormatting>
  <conditionalFormatting sqref="M64:O65 G64:J65 Y64:Y65">
    <cfRule type="expression" dxfId="114" priority="126">
      <formula>MOD(ROW(),2)=0</formula>
    </cfRule>
  </conditionalFormatting>
  <conditionalFormatting sqref="W64:W65">
    <cfRule type="expression" dxfId="113" priority="124">
      <formula>MOD(ROW(),2)=0</formula>
    </cfRule>
  </conditionalFormatting>
  <conditionalFormatting sqref="V64:V65">
    <cfRule type="expression" dxfId="112" priority="123">
      <formula>MOD(ROW(),2)=0</formula>
    </cfRule>
  </conditionalFormatting>
  <conditionalFormatting sqref="A6:C6 E6:F6">
    <cfRule type="expression" dxfId="111" priority="122">
      <formula>MOD(ROW(),2)=0</formula>
    </cfRule>
  </conditionalFormatting>
  <conditionalFormatting sqref="G6:J6 M6:O6">
    <cfRule type="expression" dxfId="110" priority="121">
      <formula>MOD(ROW(),2)=0</formula>
    </cfRule>
  </conditionalFormatting>
  <conditionalFormatting sqref="V6:W6">
    <cfRule type="expression" dxfId="109" priority="120">
      <formula>MOD(ROW(),2)=0</formula>
    </cfRule>
  </conditionalFormatting>
  <conditionalFormatting sqref="T6:U6">
    <cfRule type="expression" dxfId="108" priority="115">
      <formula>MOD(ROW(),2)=0</formula>
    </cfRule>
  </conditionalFormatting>
  <conditionalFormatting sqref="S6:U6">
    <cfRule type="expression" dxfId="107" priority="114">
      <formula>MOD(ROW(),2)=0</formula>
    </cfRule>
  </conditionalFormatting>
  <conditionalFormatting sqref="M6:O6">
    <cfRule type="expression" dxfId="106" priority="118">
      <formula>MOD(ROW(),2)=0</formula>
    </cfRule>
  </conditionalFormatting>
  <conditionalFormatting sqref="R6">
    <cfRule type="expression" dxfId="105" priority="117">
      <formula>MOD(ROW(),2)=0</formula>
    </cfRule>
  </conditionalFormatting>
  <conditionalFormatting sqref="R6">
    <cfRule type="expression" dxfId="104" priority="116">
      <formula>MOD(ROW(),2)=0</formula>
    </cfRule>
  </conditionalFormatting>
  <conditionalFormatting sqref="N6:O6">
    <cfRule type="expression" dxfId="103" priority="119">
      <formula>MOD(ROW(),2)=0</formula>
    </cfRule>
  </conditionalFormatting>
  <conditionalFormatting sqref="A55:C55 E55:F55">
    <cfRule type="expression" dxfId="102" priority="113">
      <formula>MOD(ROW(),2)=0</formula>
    </cfRule>
  </conditionalFormatting>
  <conditionalFormatting sqref="A82:F82">
    <cfRule type="expression" dxfId="101" priority="111">
      <formula>MOD(ROW(),2)=0</formula>
    </cfRule>
  </conditionalFormatting>
  <conditionalFormatting sqref="V82:W82">
    <cfRule type="expression" dxfId="100" priority="109">
      <formula>MOD(ROW(),2)=0</formula>
    </cfRule>
  </conditionalFormatting>
  <conditionalFormatting sqref="G82">
    <cfRule type="expression" dxfId="99" priority="108">
      <formula>MOD(ROW(),2)=0</formula>
    </cfRule>
  </conditionalFormatting>
  <conditionalFormatting sqref="H82">
    <cfRule type="expression" dxfId="98" priority="107">
      <formula>MOD(ROW(),2)=0</formula>
    </cfRule>
  </conditionalFormatting>
  <conditionalFormatting sqref="Y82:Z82">
    <cfRule type="expression" dxfId="97" priority="106">
      <formula>MOD(ROW(),2)=0</formula>
    </cfRule>
  </conditionalFormatting>
  <conditionalFormatting sqref="J82">
    <cfRule type="expression" dxfId="96" priority="105">
      <formula>MOD(ROW(),2)=0</formula>
    </cfRule>
  </conditionalFormatting>
  <conditionalFormatting sqref="I82:J82">
    <cfRule type="expression" dxfId="95" priority="104">
      <formula>MOD(ROW(),2)=0</formula>
    </cfRule>
  </conditionalFormatting>
  <conditionalFormatting sqref="K80:L82">
    <cfRule type="expression" dxfId="94" priority="102">
      <formula>MOD(ROW(),2)=0</formula>
    </cfRule>
  </conditionalFormatting>
  <conditionalFormatting sqref="S19:U19">
    <cfRule type="expression" dxfId="93" priority="92">
      <formula>MOD(ROW(),2)=0</formula>
    </cfRule>
  </conditionalFormatting>
  <conditionalFormatting sqref="A19:F19">
    <cfRule type="expression" dxfId="92" priority="100">
      <formula>MOD(ROW(),2)=0</formula>
    </cfRule>
  </conditionalFormatting>
  <conditionalFormatting sqref="Y19:Z19 G19:O19">
    <cfRule type="expression" dxfId="91" priority="99">
      <formula>MOD(ROW(),2)=0</formula>
    </cfRule>
  </conditionalFormatting>
  <conditionalFormatting sqref="M19:O19">
    <cfRule type="expression" dxfId="90" priority="96">
      <formula>MOD(ROW(),2)=0</formula>
    </cfRule>
  </conditionalFormatting>
  <conditionalFormatting sqref="R19">
    <cfRule type="expression" dxfId="89" priority="95">
      <formula>MOD(ROW(),2)=0</formula>
    </cfRule>
  </conditionalFormatting>
  <conditionalFormatting sqref="T19:U19">
    <cfRule type="expression" dxfId="88" priority="93">
      <formula>MOD(ROW(),2)=0</formula>
    </cfRule>
  </conditionalFormatting>
  <conditionalFormatting sqref="V19:W19">
    <cfRule type="expression" dxfId="87" priority="98">
      <formula>MOD(ROW(),2)=0</formula>
    </cfRule>
  </conditionalFormatting>
  <conditionalFormatting sqref="N19:O19">
    <cfRule type="expression" dxfId="86" priority="97">
      <formula>MOD(ROW(),2)=0</formula>
    </cfRule>
  </conditionalFormatting>
  <conditionalFormatting sqref="R19">
    <cfRule type="expression" dxfId="85" priority="94">
      <formula>MOD(ROW(),2)=0</formula>
    </cfRule>
  </conditionalFormatting>
  <conditionalFormatting sqref="E72:E73">
    <cfRule type="expression" dxfId="84" priority="91">
      <formula>MOD(ROW(),2)=0</formula>
    </cfRule>
  </conditionalFormatting>
  <conditionalFormatting sqref="F64:F65">
    <cfRule type="expression" dxfId="83" priority="90">
      <formula>MOD(ROW(),2)=0</formula>
    </cfRule>
  </conditionalFormatting>
  <conditionalFormatting sqref="F63">
    <cfRule type="expression" dxfId="82" priority="89">
      <formula>MOD(ROW(),2)=0</formula>
    </cfRule>
  </conditionalFormatting>
  <conditionalFormatting sqref="D63:E63 C64:E65">
    <cfRule type="expression" dxfId="81" priority="88">
      <formula>MOD(ROW(),2)=0</formula>
    </cfRule>
  </conditionalFormatting>
  <conditionalFormatting sqref="D10">
    <cfRule type="expression" dxfId="80" priority="87">
      <formula>MOD(ROW(),2)=0</formula>
    </cfRule>
  </conditionalFormatting>
  <conditionalFormatting sqref="D6">
    <cfRule type="expression" dxfId="79" priority="86">
      <formula>MOD(ROW(),2)=0</formula>
    </cfRule>
  </conditionalFormatting>
  <conditionalFormatting sqref="D18">
    <cfRule type="expression" dxfId="78" priority="85">
      <formula>MOD(ROW(),2)=0</formula>
    </cfRule>
  </conditionalFormatting>
  <conditionalFormatting sqref="D32">
    <cfRule type="expression" dxfId="77" priority="84">
      <formula>MOD(ROW(),2)=0</formula>
    </cfRule>
  </conditionalFormatting>
  <conditionalFormatting sqref="D70:D71">
    <cfRule type="expression" dxfId="76" priority="72">
      <formula>MOD(ROW(),2)=0</formula>
    </cfRule>
  </conditionalFormatting>
  <conditionalFormatting sqref="D47">
    <cfRule type="expression" dxfId="75" priority="82">
      <formula>MOD(ROW(),2)=0</formula>
    </cfRule>
  </conditionalFormatting>
  <conditionalFormatting sqref="D53 D55">
    <cfRule type="expression" dxfId="74" priority="81">
      <formula>MOD(ROW(),2)=0</formula>
    </cfRule>
  </conditionalFormatting>
  <conditionalFormatting sqref="D52">
    <cfRule type="expression" dxfId="73" priority="80">
      <formula>MOD(ROW(),2)=0</formula>
    </cfRule>
  </conditionalFormatting>
  <conditionalFormatting sqref="D56">
    <cfRule type="expression" dxfId="72" priority="79">
      <formula>MOD(ROW(),2)=0</formula>
    </cfRule>
  </conditionalFormatting>
  <conditionalFormatting sqref="D57">
    <cfRule type="expression" dxfId="71" priority="78">
      <formula>MOD(ROW(),2)=0</formula>
    </cfRule>
  </conditionalFormatting>
  <conditionalFormatting sqref="D58">
    <cfRule type="expression" dxfId="70" priority="77">
      <formula>MOD(ROW(),2)=0</formula>
    </cfRule>
  </conditionalFormatting>
  <conditionalFormatting sqref="D59">
    <cfRule type="expression" dxfId="69" priority="76">
      <formula>MOD(ROW(),2)=0</formula>
    </cfRule>
  </conditionalFormatting>
  <conditionalFormatting sqref="D73">
    <cfRule type="expression" dxfId="68" priority="75">
      <formula>MOD(ROW(),2)=0</formula>
    </cfRule>
  </conditionalFormatting>
  <conditionalFormatting sqref="D72">
    <cfRule type="expression" dxfId="67" priority="74">
      <formula>MOD(ROW(),2)=0</formula>
    </cfRule>
  </conditionalFormatting>
  <conditionalFormatting sqref="D69">
    <cfRule type="expression" dxfId="66" priority="73">
      <formula>MOD(ROW(),2)=0</formula>
    </cfRule>
  </conditionalFormatting>
  <conditionalFormatting sqref="A33:F33">
    <cfRule type="expression" dxfId="65" priority="71">
      <formula>MOD(ROW(),2)=0</formula>
    </cfRule>
  </conditionalFormatting>
  <conditionalFormatting sqref="G33:O33 Y33:Z33">
    <cfRule type="expression" dxfId="64" priority="70">
      <formula>MOD(ROW(),2)=0</formula>
    </cfRule>
  </conditionalFormatting>
  <conditionalFormatting sqref="W33">
    <cfRule type="expression" dxfId="63" priority="69">
      <formula>MOD(ROW(),2)=0</formula>
    </cfRule>
  </conditionalFormatting>
  <conditionalFormatting sqref="V33">
    <cfRule type="expression" dxfId="62" priority="68">
      <formula>MOD(ROW(),2)=0</formula>
    </cfRule>
  </conditionalFormatting>
  <conditionalFormatting sqref="S33:U33">
    <cfRule type="expression" dxfId="61" priority="62">
      <formula>MOD(ROW(),2)=0</formula>
    </cfRule>
  </conditionalFormatting>
  <conditionalFormatting sqref="N33:O33">
    <cfRule type="expression" dxfId="60" priority="67">
      <formula>MOD(ROW(),2)=0</formula>
    </cfRule>
  </conditionalFormatting>
  <conditionalFormatting sqref="M33:O33">
    <cfRule type="expression" dxfId="59" priority="66">
      <formula>MOD(ROW(),2)=0</formula>
    </cfRule>
  </conditionalFormatting>
  <conditionalFormatting sqref="T33:U33">
    <cfRule type="expression" dxfId="58" priority="63">
      <formula>MOD(ROW(),2)=0</formula>
    </cfRule>
  </conditionalFormatting>
  <conditionalFormatting sqref="R33">
    <cfRule type="expression" dxfId="57" priority="65">
      <formula>MOD(ROW(),2)=0</formula>
    </cfRule>
  </conditionalFormatting>
  <conditionalFormatting sqref="R33">
    <cfRule type="expression" dxfId="56" priority="64">
      <formula>MOD(ROW(),2)=0</formula>
    </cfRule>
  </conditionalFormatting>
  <conditionalFormatting sqref="Q4:Q11 Q38:Q53 Q62:Q74 Q55:Q60">
    <cfRule type="expression" dxfId="55" priority="59">
      <formula>MOD(ROW(),2)=0</formula>
    </cfRule>
  </conditionalFormatting>
  <conditionalFormatting sqref="P4:Q11 P38:Q53 P62:Q74 P55:Q60">
    <cfRule type="expression" dxfId="54" priority="58">
      <formula>MOD(ROW(),2)=0</formula>
    </cfRule>
  </conditionalFormatting>
  <conditionalFormatting sqref="R80:T82">
    <cfRule type="expression" dxfId="53" priority="57">
      <formula>MOD(ROW(),2)=0</formula>
    </cfRule>
  </conditionalFormatting>
  <conditionalFormatting sqref="Q80:Q82">
    <cfRule type="expression" dxfId="52" priority="56">
      <formula>MOD(ROW(),2)=0</formula>
    </cfRule>
  </conditionalFormatting>
  <conditionalFormatting sqref="P80:Q82">
    <cfRule type="expression" dxfId="51" priority="55">
      <formula>MOD(ROW(),2)=0</formula>
    </cfRule>
  </conditionalFormatting>
  <conditionalFormatting sqref="A76:F76">
    <cfRule type="expression" dxfId="50" priority="54">
      <formula>MOD(ROW(),2)=0</formula>
    </cfRule>
  </conditionalFormatting>
  <conditionalFormatting sqref="A75:F75">
    <cfRule type="expression" dxfId="49" priority="53">
      <formula>MOD(ROW(),2)=0</formula>
    </cfRule>
  </conditionalFormatting>
  <conditionalFormatting sqref="G75:O76 Y75:Z76 R75:W76">
    <cfRule type="expression" dxfId="48" priority="52">
      <formula>MOD(ROW(),2)=0</formula>
    </cfRule>
  </conditionalFormatting>
  <conditionalFormatting sqref="Q75:Q76">
    <cfRule type="expression" dxfId="47" priority="51">
      <formula>MOD(ROW(),2)=0</formula>
    </cfRule>
  </conditionalFormatting>
  <conditionalFormatting sqref="P75:Q76">
    <cfRule type="expression" dxfId="46" priority="50">
      <formula>MOD(ROW(),2)=0</formula>
    </cfRule>
  </conditionalFormatting>
  <conditionalFormatting sqref="P37:Q37">
    <cfRule type="expression" dxfId="45" priority="39">
      <formula>MOD(ROW(),2)=0</formula>
    </cfRule>
  </conditionalFormatting>
  <conditionalFormatting sqref="A37:F37">
    <cfRule type="expression" dxfId="44" priority="48">
      <formula>MOD(ROW(),2)=0</formula>
    </cfRule>
  </conditionalFormatting>
  <conditionalFormatting sqref="P83:Q83">
    <cfRule type="expression" dxfId="43" priority="24">
      <formula>MOD(ROW(),2)=0</formula>
    </cfRule>
  </conditionalFormatting>
  <conditionalFormatting sqref="A61:F61">
    <cfRule type="expression" dxfId="42" priority="46">
      <formula>MOD(ROW(),2)=0</formula>
    </cfRule>
  </conditionalFormatting>
  <conditionalFormatting sqref="W61 Y61:Z61 G61:O61 R61:U61">
    <cfRule type="expression" dxfId="41" priority="45">
      <formula>MOD(ROW(),2)=0</formula>
    </cfRule>
  </conditionalFormatting>
  <conditionalFormatting sqref="V61">
    <cfRule type="expression" dxfId="40" priority="44">
      <formula>MOD(ROW(),2)=0</formula>
    </cfRule>
  </conditionalFormatting>
  <conditionalFormatting sqref="Q61">
    <cfRule type="expression" dxfId="39" priority="43">
      <formula>MOD(ROW(),2)=0</formula>
    </cfRule>
  </conditionalFormatting>
  <conditionalFormatting sqref="P61:Q61">
    <cfRule type="expression" dxfId="38" priority="42">
      <formula>MOD(ROW(),2)=0</formula>
    </cfRule>
  </conditionalFormatting>
  <conditionalFormatting sqref="Y37:Z37 G37:O37 R37:W37">
    <cfRule type="expression" dxfId="37" priority="41">
      <formula>MOD(ROW(),2)=0</formula>
    </cfRule>
  </conditionalFormatting>
  <conditionalFormatting sqref="Q37">
    <cfRule type="expression" dxfId="36" priority="40">
      <formula>MOD(ROW(),2)=0</formula>
    </cfRule>
  </conditionalFormatting>
  <conditionalFormatting sqref="Q83">
    <cfRule type="expression" dxfId="35" priority="25">
      <formula>MOD(ROW(),2)=0</formula>
    </cfRule>
  </conditionalFormatting>
  <conditionalFormatting sqref="F83">
    <cfRule type="expression" dxfId="34" priority="36">
      <formula>MOD(ROW(),2)=0</formula>
    </cfRule>
  </conditionalFormatting>
  <conditionalFormatting sqref="A83:E83">
    <cfRule type="expression" dxfId="33" priority="35">
      <formula>MOD(ROW(),2)=0</formula>
    </cfRule>
  </conditionalFormatting>
  <conditionalFormatting sqref="M83:O83 U83">
    <cfRule type="expression" dxfId="32" priority="34">
      <formula>MOD(ROW(),2)=0</formula>
    </cfRule>
  </conditionalFormatting>
  <conditionalFormatting sqref="V83:W83">
    <cfRule type="expression" dxfId="31" priority="33">
      <formula>MOD(ROW(),2)=0</formula>
    </cfRule>
  </conditionalFormatting>
  <conditionalFormatting sqref="G83">
    <cfRule type="expression" dxfId="30" priority="32">
      <formula>MOD(ROW(),2)=0</formula>
    </cfRule>
  </conditionalFormatting>
  <conditionalFormatting sqref="H83">
    <cfRule type="expression" dxfId="29" priority="31">
      <formula>MOD(ROW(),2)=0</formula>
    </cfRule>
  </conditionalFormatting>
  <conditionalFormatting sqref="Y83:Z83">
    <cfRule type="expression" dxfId="28" priority="30">
      <formula>MOD(ROW(),2)=0</formula>
    </cfRule>
  </conditionalFormatting>
  <conditionalFormatting sqref="J83">
    <cfRule type="expression" dxfId="27" priority="29">
      <formula>MOD(ROW(),2)=0</formula>
    </cfRule>
  </conditionalFormatting>
  <conditionalFormatting sqref="I83:J83">
    <cfRule type="expression" dxfId="26" priority="28">
      <formula>MOD(ROW(),2)=0</formula>
    </cfRule>
  </conditionalFormatting>
  <conditionalFormatting sqref="K83:L83">
    <cfRule type="expression" dxfId="25" priority="27">
      <formula>MOD(ROW(),2)=0</formula>
    </cfRule>
  </conditionalFormatting>
  <conditionalFormatting sqref="R83:T83">
    <cfRule type="expression" dxfId="24" priority="26">
      <formula>MOD(ROW(),2)=0</formula>
    </cfRule>
  </conditionalFormatting>
  <conditionalFormatting sqref="F67:F68">
    <cfRule type="expression" dxfId="23" priority="23">
      <formula>MOD(ROW(),2)=0</formula>
    </cfRule>
  </conditionalFormatting>
  <conditionalFormatting sqref="A67:E67 A68">
    <cfRule type="expression" dxfId="22" priority="22">
      <formula>MOD(ROW(),2)=0</formula>
    </cfRule>
  </conditionalFormatting>
  <conditionalFormatting sqref="B68:E68">
    <cfRule type="expression" dxfId="21" priority="21">
      <formula>MOD(ROW(),2)=0</formula>
    </cfRule>
  </conditionalFormatting>
  <conditionalFormatting sqref="B9:E9">
    <cfRule type="expression" dxfId="20" priority="20">
      <formula>MOD(ROW(),2)=0</formula>
    </cfRule>
  </conditionalFormatting>
  <conditionalFormatting sqref="A12:B12 D12:E12">
    <cfRule type="expression" dxfId="19" priority="19">
      <formula>MOD(ROW(),2)=0</formula>
    </cfRule>
  </conditionalFormatting>
  <conditionalFormatting sqref="C12">
    <cfRule type="expression" dxfId="18" priority="18">
      <formula>MOD(ROW(),2)=0</formula>
    </cfRule>
  </conditionalFormatting>
  <conditionalFormatting sqref="Y12:Z12 G12:O12">
    <cfRule type="expression" dxfId="17" priority="17">
      <formula>MOD(ROW(),2)=0</formula>
    </cfRule>
  </conditionalFormatting>
  <conditionalFormatting sqref="V12:W12">
    <cfRule type="expression" dxfId="16" priority="16">
      <formula>MOD(ROW(),2)=0</formula>
    </cfRule>
  </conditionalFormatting>
  <conditionalFormatting sqref="R12">
    <cfRule type="expression" dxfId="15" priority="13">
      <formula>MOD(ROW(),2)=0</formula>
    </cfRule>
  </conditionalFormatting>
  <conditionalFormatting sqref="R12">
    <cfRule type="expression" dxfId="14" priority="12">
      <formula>MOD(ROW(),2)=0</formula>
    </cfRule>
  </conditionalFormatting>
  <conditionalFormatting sqref="S12:U12">
    <cfRule type="expression" dxfId="13" priority="10">
      <formula>MOD(ROW(),2)=0</formula>
    </cfRule>
  </conditionalFormatting>
  <conditionalFormatting sqref="N12:O12">
    <cfRule type="expression" dxfId="12" priority="15">
      <formula>MOD(ROW(),2)=0</formula>
    </cfRule>
  </conditionalFormatting>
  <conditionalFormatting sqref="M12:O12">
    <cfRule type="expression" dxfId="11" priority="14">
      <formula>MOD(ROW(),2)=0</formula>
    </cfRule>
  </conditionalFormatting>
  <conditionalFormatting sqref="T12:U12">
    <cfRule type="expression" dxfId="10" priority="11">
      <formula>MOD(ROW(),2)=0</formula>
    </cfRule>
  </conditionalFormatting>
  <conditionalFormatting sqref="Q12">
    <cfRule type="expression" dxfId="9" priority="9">
      <formula>MOD(ROW(),2)=0</formula>
    </cfRule>
  </conditionalFormatting>
  <conditionalFormatting sqref="P12:Q12">
    <cfRule type="expression" dxfId="8" priority="8">
      <formula>MOD(ROW(),2)=0</formula>
    </cfRule>
  </conditionalFormatting>
  <conditionalFormatting sqref="A54:C54 E54:F54">
    <cfRule type="expression" dxfId="7" priority="7">
      <formula>MOD(ROW(),2)=0</formula>
    </cfRule>
  </conditionalFormatting>
  <conditionalFormatting sqref="P54:Q54">
    <cfRule type="expression" dxfId="6" priority="1">
      <formula>MOD(ROW(),2)=0</formula>
    </cfRule>
  </conditionalFormatting>
  <conditionalFormatting sqref="D54">
    <cfRule type="expression" dxfId="5" priority="5">
      <formula>MOD(ROW(),2)=0</formula>
    </cfRule>
  </conditionalFormatting>
  <conditionalFormatting sqref="W54 R54:U54 G54:O54 Y54:Z54">
    <cfRule type="expression" dxfId="4" priority="4">
      <formula>MOD(ROW(),2)=0</formula>
    </cfRule>
  </conditionalFormatting>
  <conditionalFormatting sqref="V54">
    <cfRule type="expression" dxfId="3" priority="3">
      <formula>MOD(ROW(),2)=0</formula>
    </cfRule>
  </conditionalFormatting>
  <conditionalFormatting sqref="Q54">
    <cfRule type="expression" dxfId="2" priority="2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2026-09-03T10:46:49Z</dcterms:modified>
</cp:coreProperties>
</file>