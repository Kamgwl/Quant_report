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AUG-2026" sheetId="42" r:id="rId1"/>
    <sheet name="JULY-2026" sheetId="39" r:id="rId2"/>
    <sheet name="FY-(26-27)Q2" sheetId="41" r:id="rId3"/>
    <sheet name="JUNE-2026" sheetId="38" r:id="rId4"/>
    <sheet name="MAY-2026" sheetId="37" r:id="rId5"/>
    <sheet name="APR-2026" sheetId="36" r:id="rId6"/>
    <sheet name="FY-(26-27)Q1" sheetId="32" r:id="rId7"/>
  </sheets>
  <externalReferences>
    <externalReference r:id="rId8"/>
    <externalReference r:id="rId9"/>
  </externalReferences>
  <calcPr calcId="144525"/>
</workbook>
</file>

<file path=xl/calcChain.xml><?xml version="1.0" encoding="utf-8"?>
<calcChain xmlns="http://schemas.openxmlformats.org/spreadsheetml/2006/main">
  <c r="J68" i="42" l="1"/>
  <c r="J63" i="42"/>
  <c r="L47" i="42" l="1"/>
  <c r="M47" i="42" s="1"/>
  <c r="I68" i="42"/>
  <c r="I63" i="42"/>
  <c r="K68" i="42"/>
  <c r="H68" i="42"/>
  <c r="K63" i="42"/>
  <c r="H63" i="42"/>
  <c r="G65" i="32"/>
  <c r="H65" i="32"/>
  <c r="N65" i="32" s="1"/>
  <c r="I65" i="32"/>
  <c r="J65" i="32"/>
  <c r="K65" i="32"/>
  <c r="M65" i="32" s="1"/>
  <c r="L65" i="32"/>
  <c r="S65" i="32"/>
  <c r="T65" i="32"/>
  <c r="J15" i="41"/>
  <c r="J19" i="41"/>
  <c r="J20" i="41"/>
  <c r="I15" i="41"/>
  <c r="I19" i="41"/>
  <c r="I20" i="41"/>
  <c r="L53" i="41" l="1"/>
  <c r="K53" i="41"/>
  <c r="H53" i="41"/>
  <c r="G53" i="41"/>
  <c r="L66" i="42"/>
  <c r="M66" i="42" s="1"/>
  <c r="L65" i="42"/>
  <c r="M65" i="42" s="1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6" i="42"/>
  <c r="L45" i="42"/>
  <c r="L44" i="42"/>
  <c r="L43" i="42"/>
  <c r="L42" i="42"/>
  <c r="L41" i="42"/>
  <c r="L40" i="42"/>
  <c r="P39" i="42"/>
  <c r="P43" i="42" s="1"/>
  <c r="L39" i="42"/>
  <c r="L38" i="42"/>
  <c r="L37" i="42"/>
  <c r="L36" i="42"/>
  <c r="L35" i="42"/>
  <c r="L34" i="42"/>
  <c r="L33" i="42"/>
  <c r="S32" i="42"/>
  <c r="P32" i="42"/>
  <c r="L32" i="42"/>
  <c r="L31" i="42"/>
  <c r="L30" i="42"/>
  <c r="L29" i="42"/>
  <c r="L28" i="42"/>
  <c r="L27" i="42"/>
  <c r="L26" i="42"/>
  <c r="L25" i="42"/>
  <c r="L24" i="42"/>
  <c r="L23" i="42"/>
  <c r="L22" i="42"/>
  <c r="M22" i="42" s="1"/>
  <c r="L21" i="42"/>
  <c r="M21" i="42" s="1"/>
  <c r="L20" i="42"/>
  <c r="L19" i="42"/>
  <c r="L18" i="42"/>
  <c r="L17" i="42"/>
  <c r="L16" i="42"/>
  <c r="L15" i="42"/>
  <c r="L14" i="42"/>
  <c r="U13" i="42"/>
  <c r="L13" i="42"/>
  <c r="L12" i="42"/>
  <c r="L11" i="42"/>
  <c r="L10" i="42"/>
  <c r="L9" i="42"/>
  <c r="P8" i="42"/>
  <c r="P13" i="42" s="1"/>
  <c r="L8" i="42"/>
  <c r="M8" i="42" s="1"/>
  <c r="L7" i="42"/>
  <c r="L6" i="42"/>
  <c r="L5" i="42"/>
  <c r="L4" i="42"/>
  <c r="AD62" i="39"/>
  <c r="AE53" i="39"/>
  <c r="AF53" i="39" s="1"/>
  <c r="M48" i="42" l="1"/>
  <c r="J47" i="41" s="1"/>
  <c r="I47" i="41"/>
  <c r="M40" i="42"/>
  <c r="J40" i="41" s="1"/>
  <c r="I40" i="41"/>
  <c r="M24" i="42"/>
  <c r="J24" i="41" s="1"/>
  <c r="I24" i="41"/>
  <c r="M15" i="42"/>
  <c r="J13" i="41" s="1"/>
  <c r="I13" i="41"/>
  <c r="M11" i="42"/>
  <c r="J10" i="41" s="1"/>
  <c r="I10" i="41"/>
  <c r="M6" i="42"/>
  <c r="J6" i="41" s="1"/>
  <c r="I6" i="41"/>
  <c r="M51" i="42"/>
  <c r="J51" i="41" s="1"/>
  <c r="I51" i="41"/>
  <c r="M50" i="42"/>
  <c r="J50" i="41" s="1"/>
  <c r="I50" i="41"/>
  <c r="M52" i="42"/>
  <c r="J52" i="41" s="1"/>
  <c r="I52" i="41"/>
  <c r="M38" i="42"/>
  <c r="J38" i="41" s="1"/>
  <c r="I38" i="41"/>
  <c r="M4" i="42"/>
  <c r="J4" i="41" s="1"/>
  <c r="I4" i="41"/>
  <c r="M19" i="42"/>
  <c r="J21" i="41" s="1"/>
  <c r="I21" i="41"/>
  <c r="M25" i="42"/>
  <c r="J25" i="41" s="1"/>
  <c r="I25" i="41"/>
  <c r="M27" i="42"/>
  <c r="J27" i="41" s="1"/>
  <c r="I27" i="41"/>
  <c r="M32" i="42"/>
  <c r="J32" i="41" s="1"/>
  <c r="I32" i="41"/>
  <c r="M31" i="42"/>
  <c r="J31" i="41" s="1"/>
  <c r="I31" i="41"/>
  <c r="M30" i="42"/>
  <c r="J29" i="41" s="1"/>
  <c r="I29" i="41"/>
  <c r="M29" i="42"/>
  <c r="J30" i="41" s="1"/>
  <c r="I30" i="41"/>
  <c r="M28" i="42"/>
  <c r="J28" i="41" s="1"/>
  <c r="I28" i="41"/>
  <c r="M33" i="42"/>
  <c r="J33" i="41" s="1"/>
  <c r="I33" i="41"/>
  <c r="M37" i="42"/>
  <c r="J37" i="41" s="1"/>
  <c r="I37" i="41"/>
  <c r="M39" i="42"/>
  <c r="J39" i="41" s="1"/>
  <c r="I39" i="41"/>
  <c r="M41" i="42"/>
  <c r="J41" i="41" s="1"/>
  <c r="I41" i="41"/>
  <c r="M42" i="42"/>
  <c r="J44" i="41" s="1"/>
  <c r="I44" i="41"/>
  <c r="M43" i="42"/>
  <c r="J42" i="41" s="1"/>
  <c r="I42" i="41"/>
  <c r="M44" i="42"/>
  <c r="J43" i="41" s="1"/>
  <c r="I43" i="41"/>
  <c r="M49" i="42"/>
  <c r="J48" i="41" s="1"/>
  <c r="I48" i="41"/>
  <c r="M60" i="42"/>
  <c r="J59" i="41" s="1"/>
  <c r="I59" i="41"/>
  <c r="M59" i="42"/>
  <c r="J58" i="41" s="1"/>
  <c r="I58" i="41"/>
  <c r="M58" i="42"/>
  <c r="J57" i="41" s="1"/>
  <c r="I57" i="41"/>
  <c r="M57" i="42"/>
  <c r="J56" i="41" s="1"/>
  <c r="I56" i="41"/>
  <c r="M56" i="42"/>
  <c r="J55" i="41" s="1"/>
  <c r="I55" i="41"/>
  <c r="M13" i="42"/>
  <c r="J14" i="41" s="1"/>
  <c r="I14" i="41"/>
  <c r="M12" i="42"/>
  <c r="J11" i="41" s="1"/>
  <c r="I11" i="41"/>
  <c r="M23" i="42"/>
  <c r="J23" i="41" s="1"/>
  <c r="I23" i="41"/>
  <c r="M61" i="42"/>
  <c r="J60" i="41" s="1"/>
  <c r="I60" i="41"/>
  <c r="M53" i="42"/>
  <c r="J49" i="41" s="1"/>
  <c r="I49" i="41"/>
  <c r="M45" i="42"/>
  <c r="J45" i="41" s="1"/>
  <c r="I45" i="41"/>
  <c r="M7" i="42"/>
  <c r="J7" i="41" s="1"/>
  <c r="I7" i="41"/>
  <c r="M9" i="42"/>
  <c r="J8" i="41" s="1"/>
  <c r="I8" i="41"/>
  <c r="M14" i="42"/>
  <c r="J12" i="41" s="1"/>
  <c r="I12" i="41"/>
  <c r="M18" i="42"/>
  <c r="J22" i="41" s="1"/>
  <c r="I22" i="41"/>
  <c r="M16" i="42"/>
  <c r="J16" i="41" s="1"/>
  <c r="I16" i="41"/>
  <c r="M17" i="42"/>
  <c r="J17" i="41" s="1"/>
  <c r="I17" i="41"/>
  <c r="M36" i="42"/>
  <c r="J36" i="41" s="1"/>
  <c r="I36" i="41"/>
  <c r="M34" i="42"/>
  <c r="J34" i="41" s="1"/>
  <c r="I34" i="41"/>
  <c r="M54" i="42"/>
  <c r="J53" i="41" s="1"/>
  <c r="N53" i="41" s="1"/>
  <c r="Q65" i="32" s="1"/>
  <c r="Z65" i="32" s="1"/>
  <c r="I53" i="41"/>
  <c r="M53" i="41" s="1"/>
  <c r="P65" i="32" s="1"/>
  <c r="Y65" i="32" s="1"/>
  <c r="M10" i="42"/>
  <c r="J9" i="41" s="1"/>
  <c r="I9" i="41"/>
  <c r="M20" i="42"/>
  <c r="J18" i="41" s="1"/>
  <c r="I18" i="41"/>
  <c r="M46" i="42"/>
  <c r="J46" i="41" s="1"/>
  <c r="I46" i="41"/>
  <c r="M35" i="42"/>
  <c r="J35" i="41" s="1"/>
  <c r="I35" i="41"/>
  <c r="M55" i="42"/>
  <c r="J54" i="41" s="1"/>
  <c r="I54" i="41"/>
  <c r="M26" i="42"/>
  <c r="J26" i="41" s="1"/>
  <c r="I26" i="41"/>
  <c r="M5" i="42"/>
  <c r="J5" i="41" s="1"/>
  <c r="I5" i="41"/>
  <c r="L63" i="42"/>
  <c r="M63" i="42" s="1"/>
  <c r="L68" i="42"/>
  <c r="AC67" i="39"/>
  <c r="AC62" i="39"/>
  <c r="AB67" i="39" l="1"/>
  <c r="AB62" i="39"/>
  <c r="AA67" i="39" l="1"/>
  <c r="T80" i="32"/>
  <c r="S80" i="32"/>
  <c r="L80" i="32"/>
  <c r="K80" i="32"/>
  <c r="J80" i="32"/>
  <c r="I80" i="32"/>
  <c r="H80" i="32"/>
  <c r="N80" i="32" s="1"/>
  <c r="G80" i="32"/>
  <c r="M80" i="32" s="1"/>
  <c r="L66" i="41"/>
  <c r="K66" i="41"/>
  <c r="J66" i="41"/>
  <c r="I66" i="41"/>
  <c r="T36" i="32"/>
  <c r="S36" i="32"/>
  <c r="L36" i="32"/>
  <c r="K36" i="32"/>
  <c r="J36" i="32"/>
  <c r="I36" i="32"/>
  <c r="H36" i="32"/>
  <c r="N36" i="32" s="1"/>
  <c r="G36" i="32"/>
  <c r="M36" i="32" s="1"/>
  <c r="T59" i="32"/>
  <c r="S59" i="32"/>
  <c r="L59" i="32"/>
  <c r="K59" i="32"/>
  <c r="J59" i="32"/>
  <c r="I59" i="32"/>
  <c r="H59" i="32"/>
  <c r="N59" i="32" s="1"/>
  <c r="G59" i="32"/>
  <c r="M59" i="32" s="1"/>
  <c r="T73" i="32"/>
  <c r="S73" i="32"/>
  <c r="L73" i="32"/>
  <c r="K73" i="32"/>
  <c r="J73" i="32"/>
  <c r="I73" i="32"/>
  <c r="H73" i="32"/>
  <c r="G73" i="32"/>
  <c r="T72" i="32"/>
  <c r="S72" i="32"/>
  <c r="L72" i="32"/>
  <c r="K72" i="32"/>
  <c r="J72" i="32"/>
  <c r="I72" i="32"/>
  <c r="H72" i="32"/>
  <c r="G72" i="32"/>
  <c r="L25" i="41"/>
  <c r="K25" i="41"/>
  <c r="L48" i="41"/>
  <c r="K48" i="41"/>
  <c r="L59" i="41"/>
  <c r="K59" i="41"/>
  <c r="AE48" i="39"/>
  <c r="AF48" i="39" s="1"/>
  <c r="H48" i="41" s="1"/>
  <c r="AE59" i="39"/>
  <c r="AF59" i="39" s="1"/>
  <c r="H59" i="41" s="1"/>
  <c r="AE25" i="39"/>
  <c r="G25" i="41" s="1"/>
  <c r="AA62" i="39"/>
  <c r="M25" i="41" l="1"/>
  <c r="P36" i="32" s="1"/>
  <c r="Y36" i="32" s="1"/>
  <c r="N59" i="41"/>
  <c r="Q72" i="32" s="1"/>
  <c r="G59" i="41"/>
  <c r="M59" i="41" s="1"/>
  <c r="P72" i="32" s="1"/>
  <c r="G48" i="41"/>
  <c r="M48" i="41" s="1"/>
  <c r="P59" i="32" s="1"/>
  <c r="Y59" i="32" s="1"/>
  <c r="AF25" i="39"/>
  <c r="H25" i="41" s="1"/>
  <c r="N25" i="41" s="1"/>
  <c r="Q36" i="32" s="1"/>
  <c r="Z36" i="32" s="1"/>
  <c r="N48" i="41"/>
  <c r="Q59" i="32" s="1"/>
  <c r="Z59" i="32" s="1"/>
  <c r="M72" i="32"/>
  <c r="M73" i="32"/>
  <c r="N72" i="32"/>
  <c r="N73" i="32"/>
  <c r="AN13" i="39"/>
  <c r="Z62" i="39"/>
  <c r="Z67" i="39"/>
  <c r="Z72" i="32" l="1"/>
  <c r="Y72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L20" i="41" l="1"/>
  <c r="K20" i="41"/>
  <c r="H20" i="41"/>
  <c r="G20" i="41"/>
  <c r="L19" i="41"/>
  <c r="K19" i="41"/>
  <c r="H19" i="41"/>
  <c r="G19" i="41"/>
  <c r="L14" i="41"/>
  <c r="K14" i="41"/>
  <c r="L45" i="41"/>
  <c r="K45" i="41"/>
  <c r="G45" i="41"/>
  <c r="AF45" i="39"/>
  <c r="H45" i="41" s="1"/>
  <c r="AE13" i="39"/>
  <c r="AF13" i="39" s="1"/>
  <c r="H14" i="41" s="1"/>
  <c r="O67" i="39"/>
  <c r="O62" i="39"/>
  <c r="M20" i="41" l="1"/>
  <c r="N19" i="41"/>
  <c r="N20" i="41"/>
  <c r="N45" i="41"/>
  <c r="M19" i="41"/>
  <c r="G14" i="41"/>
  <c r="M14" i="41" s="1"/>
  <c r="N14" i="41"/>
  <c r="M45" i="41"/>
  <c r="L38" i="41"/>
  <c r="K38" i="41"/>
  <c r="L50" i="41"/>
  <c r="K50" i="41"/>
  <c r="L60" i="41"/>
  <c r="K60" i="41"/>
  <c r="N67" i="39"/>
  <c r="N62" i="39"/>
  <c r="M62" i="39"/>
  <c r="L62" i="39"/>
  <c r="AE60" i="39"/>
  <c r="AF60" i="39" s="1"/>
  <c r="H60" i="41" s="1"/>
  <c r="K62" i="39"/>
  <c r="J62" i="39"/>
  <c r="I62" i="39"/>
  <c r="H62" i="39"/>
  <c r="M67" i="39"/>
  <c r="G60" i="41" l="1"/>
  <c r="M60" i="41" s="1"/>
  <c r="P73" i="32" s="1"/>
  <c r="Y73" i="32" s="1"/>
  <c r="N60" i="41"/>
  <c r="Q73" i="32" s="1"/>
  <c r="Z73" i="32" s="1"/>
  <c r="L67" i="39"/>
  <c r="K67" i="39" l="1"/>
  <c r="AD67" i="39" l="1"/>
  <c r="AE67" i="39" s="1"/>
  <c r="AE64" i="39"/>
  <c r="AE65" i="39"/>
  <c r="G66" i="41" s="1"/>
  <c r="M66" i="41" s="1"/>
  <c r="P80" i="32" s="1"/>
  <c r="Y80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38" i="41" s="1"/>
  <c r="M38" i="41" s="1"/>
  <c r="AE39" i="39"/>
  <c r="AE40" i="39"/>
  <c r="AE41" i="39"/>
  <c r="AE42" i="39"/>
  <c r="AE43" i="39"/>
  <c r="AE44" i="39"/>
  <c r="AE46" i="39"/>
  <c r="AE47" i="39"/>
  <c r="AE49" i="39"/>
  <c r="G50" i="41" s="1"/>
  <c r="M50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79" i="32"/>
  <c r="S79" i="32"/>
  <c r="T78" i="32"/>
  <c r="S78" i="32"/>
  <c r="T77" i="32"/>
  <c r="S77" i="32"/>
  <c r="AF22" i="39"/>
  <c r="AF49" i="39"/>
  <c r="H50" i="41" s="1"/>
  <c r="N50" i="41" s="1"/>
  <c r="Q5" i="32" l="1"/>
  <c r="Q8" i="32"/>
  <c r="Q12" i="32"/>
  <c r="Q13" i="32"/>
  <c r="Q14" i="32"/>
  <c r="Q15" i="32"/>
  <c r="Q18" i="32"/>
  <c r="Q20" i="32"/>
  <c r="Q24" i="32"/>
  <c r="Q29" i="32"/>
  <c r="Q47" i="32"/>
  <c r="Q62" i="32"/>
  <c r="Q69" i="32"/>
  <c r="Q4" i="32"/>
  <c r="P5" i="32"/>
  <c r="P8" i="32"/>
  <c r="P12" i="32"/>
  <c r="P13" i="32"/>
  <c r="P14" i="32"/>
  <c r="P15" i="32"/>
  <c r="P18" i="32"/>
  <c r="P20" i="32"/>
  <c r="P24" i="32"/>
  <c r="P29" i="32"/>
  <c r="P47" i="32"/>
  <c r="P62" i="32"/>
  <c r="P69" i="32"/>
  <c r="P4" i="32" l="1"/>
  <c r="G4" i="32"/>
  <c r="I65" i="41"/>
  <c r="J65" i="41"/>
  <c r="K65" i="41"/>
  <c r="L65" i="41"/>
  <c r="K5" i="41"/>
  <c r="L5" i="41"/>
  <c r="K6" i="41"/>
  <c r="L6" i="41"/>
  <c r="K7" i="41"/>
  <c r="L7" i="41"/>
  <c r="K8" i="41"/>
  <c r="L8" i="41"/>
  <c r="K9" i="41"/>
  <c r="L9" i="41"/>
  <c r="K10" i="41"/>
  <c r="L10" i="41"/>
  <c r="K11" i="41"/>
  <c r="L11" i="41"/>
  <c r="K12" i="41"/>
  <c r="L12" i="41"/>
  <c r="K13" i="41"/>
  <c r="L13" i="41"/>
  <c r="K15" i="41"/>
  <c r="L15" i="41"/>
  <c r="K16" i="41"/>
  <c r="L16" i="41"/>
  <c r="K17" i="41"/>
  <c r="L17" i="41"/>
  <c r="K18" i="41"/>
  <c r="L18" i="41"/>
  <c r="K21" i="41"/>
  <c r="L21" i="41"/>
  <c r="K22" i="41"/>
  <c r="L22" i="41"/>
  <c r="K23" i="41"/>
  <c r="L23" i="41"/>
  <c r="K24" i="41"/>
  <c r="L24" i="41"/>
  <c r="K26" i="41"/>
  <c r="L26" i="41"/>
  <c r="K27" i="41"/>
  <c r="L27" i="41"/>
  <c r="K28" i="41"/>
  <c r="L28" i="41"/>
  <c r="K29" i="41"/>
  <c r="L29" i="41"/>
  <c r="K30" i="41"/>
  <c r="L30" i="41"/>
  <c r="K31" i="41"/>
  <c r="L31" i="41"/>
  <c r="K32" i="41"/>
  <c r="L32" i="41"/>
  <c r="K33" i="41"/>
  <c r="L33" i="41"/>
  <c r="K34" i="41"/>
  <c r="L34" i="41"/>
  <c r="K35" i="41"/>
  <c r="L35" i="41"/>
  <c r="K36" i="41"/>
  <c r="L36" i="41"/>
  <c r="K37" i="41"/>
  <c r="L37" i="41"/>
  <c r="K39" i="41"/>
  <c r="L39" i="41"/>
  <c r="K40" i="41"/>
  <c r="L40" i="41"/>
  <c r="K41" i="41"/>
  <c r="L41" i="41"/>
  <c r="K42" i="41"/>
  <c r="L42" i="41"/>
  <c r="K43" i="41"/>
  <c r="L43" i="41"/>
  <c r="K44" i="41"/>
  <c r="L44" i="41"/>
  <c r="K46" i="41"/>
  <c r="L46" i="41"/>
  <c r="K47" i="41"/>
  <c r="L47" i="41"/>
  <c r="K49" i="41"/>
  <c r="L49" i="41"/>
  <c r="K51" i="41"/>
  <c r="L51" i="41"/>
  <c r="K52" i="41"/>
  <c r="L52" i="41"/>
  <c r="K54" i="41"/>
  <c r="L54" i="41"/>
  <c r="K55" i="41"/>
  <c r="L55" i="41"/>
  <c r="K56" i="41"/>
  <c r="L56" i="41"/>
  <c r="K57" i="41"/>
  <c r="L57" i="41"/>
  <c r="K58" i="41"/>
  <c r="L58" i="41"/>
  <c r="L4" i="41"/>
  <c r="K4" i="41"/>
  <c r="G33" i="41"/>
  <c r="S4" i="32"/>
  <c r="T4" i="32"/>
  <c r="S5" i="32"/>
  <c r="T5" i="32"/>
  <c r="S6" i="32"/>
  <c r="T6" i="32"/>
  <c r="S7" i="32"/>
  <c r="T7" i="32"/>
  <c r="S8" i="32"/>
  <c r="T8" i="32"/>
  <c r="S9" i="32"/>
  <c r="T9" i="32"/>
  <c r="S10" i="32"/>
  <c r="T10" i="32"/>
  <c r="S11" i="32"/>
  <c r="T11" i="32"/>
  <c r="S12" i="32"/>
  <c r="T12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1" i="32"/>
  <c r="T31" i="32"/>
  <c r="S32" i="32"/>
  <c r="T32" i="32"/>
  <c r="S33" i="32"/>
  <c r="T33" i="32"/>
  <c r="S34" i="32"/>
  <c r="T34" i="32"/>
  <c r="S35" i="32"/>
  <c r="T35" i="32"/>
  <c r="S37" i="32"/>
  <c r="T37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4" i="32"/>
  <c r="T54" i="32"/>
  <c r="S55" i="32"/>
  <c r="T55" i="32"/>
  <c r="S56" i="32"/>
  <c r="T56" i="32"/>
  <c r="S57" i="32"/>
  <c r="T57" i="32"/>
  <c r="S58" i="32"/>
  <c r="T58" i="32"/>
  <c r="S60" i="32"/>
  <c r="T60" i="32"/>
  <c r="S61" i="32"/>
  <c r="T61" i="32"/>
  <c r="S62" i="32"/>
  <c r="T62" i="32"/>
  <c r="S63" i="32"/>
  <c r="T63" i="32"/>
  <c r="S64" i="32"/>
  <c r="T64" i="32"/>
  <c r="S66" i="32"/>
  <c r="T66" i="32"/>
  <c r="S67" i="32"/>
  <c r="T67" i="32"/>
  <c r="S68" i="32"/>
  <c r="T68" i="32"/>
  <c r="S69" i="32"/>
  <c r="T69" i="32"/>
  <c r="S70" i="32"/>
  <c r="T70" i="32"/>
  <c r="S71" i="32"/>
  <c r="T71" i="32"/>
  <c r="I67" i="39"/>
  <c r="H67" i="39"/>
  <c r="AF65" i="39"/>
  <c r="H66" i="41" s="1"/>
  <c r="N66" i="41" s="1"/>
  <c r="Q80" i="32" s="1"/>
  <c r="Z80" i="32" s="1"/>
  <c r="AF64" i="39"/>
  <c r="H65" i="41" s="1"/>
  <c r="Q77" i="32"/>
  <c r="AF58" i="39"/>
  <c r="H58" i="41" s="1"/>
  <c r="AF57" i="39"/>
  <c r="H57" i="41" s="1"/>
  <c r="AF56" i="39"/>
  <c r="H56" i="41" s="1"/>
  <c r="AF55" i="39"/>
  <c r="H55" i="41" s="1"/>
  <c r="AF54" i="39"/>
  <c r="H54" i="41" s="1"/>
  <c r="AF52" i="39"/>
  <c r="H49" i="41" s="1"/>
  <c r="AF51" i="39"/>
  <c r="H52" i="41" s="1"/>
  <c r="AF50" i="39"/>
  <c r="H51" i="41" s="1"/>
  <c r="AF47" i="39"/>
  <c r="H47" i="41" s="1"/>
  <c r="AF46" i="39"/>
  <c r="H46" i="41" s="1"/>
  <c r="AF44" i="39"/>
  <c r="H43" i="41" s="1"/>
  <c r="AF43" i="39"/>
  <c r="H42" i="41" s="1"/>
  <c r="AF42" i="39"/>
  <c r="H44" i="41" s="1"/>
  <c r="AF41" i="39"/>
  <c r="H41" i="41" s="1"/>
  <c r="AF40" i="39"/>
  <c r="H40" i="41" s="1"/>
  <c r="AF39" i="39"/>
  <c r="H39" i="41" s="1"/>
  <c r="AF38" i="39"/>
  <c r="H38" i="41" s="1"/>
  <c r="N38" i="41" s="1"/>
  <c r="AI39" i="39"/>
  <c r="AI43" i="39" s="1"/>
  <c r="AF37" i="39"/>
  <c r="AF36" i="39"/>
  <c r="H36" i="41" s="1"/>
  <c r="AF35" i="39"/>
  <c r="H35" i="41" s="1"/>
  <c r="AF34" i="39"/>
  <c r="H34" i="41" s="1"/>
  <c r="AF33" i="39"/>
  <c r="H33" i="41" s="1"/>
  <c r="AF32" i="39"/>
  <c r="H32" i="41" s="1"/>
  <c r="AF31" i="39"/>
  <c r="H31" i="41" s="1"/>
  <c r="AL32" i="39"/>
  <c r="AI32" i="39"/>
  <c r="AF30" i="39"/>
  <c r="H29" i="41" s="1"/>
  <c r="AF29" i="39"/>
  <c r="H30" i="41" s="1"/>
  <c r="AF28" i="39"/>
  <c r="H28" i="41" s="1"/>
  <c r="AF27" i="39"/>
  <c r="H27" i="41" s="1"/>
  <c r="AF26" i="39"/>
  <c r="H26" i="41" s="1"/>
  <c r="AF24" i="39"/>
  <c r="H24" i="41" s="1"/>
  <c r="AF23" i="39"/>
  <c r="H23" i="41" s="1"/>
  <c r="AF19" i="39"/>
  <c r="H21" i="41" s="1"/>
  <c r="AF20" i="39"/>
  <c r="H18" i="41" s="1"/>
  <c r="AF18" i="39"/>
  <c r="H22" i="41" s="1"/>
  <c r="AF17" i="39"/>
  <c r="H17" i="41" s="1"/>
  <c r="AF16" i="39"/>
  <c r="H16" i="41" s="1"/>
  <c r="H15" i="41"/>
  <c r="AF15" i="39"/>
  <c r="H13" i="41" s="1"/>
  <c r="AF14" i="39"/>
  <c r="H12" i="41" s="1"/>
  <c r="AF12" i="39"/>
  <c r="H11" i="41" s="1"/>
  <c r="AF11" i="39"/>
  <c r="H10" i="41" s="1"/>
  <c r="AF10" i="39"/>
  <c r="H9" i="41" s="1"/>
  <c r="AF9" i="39"/>
  <c r="H8" i="41" s="1"/>
  <c r="AI8" i="39"/>
  <c r="AI13" i="39" s="1"/>
  <c r="AF7" i="39"/>
  <c r="H7" i="41" s="1"/>
  <c r="AF6" i="39"/>
  <c r="H6" i="41" s="1"/>
  <c r="AF5" i="39"/>
  <c r="H5" i="41" s="1"/>
  <c r="AD61" i="38"/>
  <c r="AE61" i="38" s="1"/>
  <c r="H37" i="41" l="1"/>
  <c r="N37" i="41" s="1"/>
  <c r="AE62" i="39"/>
  <c r="G39" i="41"/>
  <c r="M39" i="41" s="1"/>
  <c r="P51" i="32" s="1"/>
  <c r="G16" i="41"/>
  <c r="M16" i="41" s="1"/>
  <c r="P26" i="32" s="1"/>
  <c r="G55" i="41"/>
  <c r="M55" i="41" s="1"/>
  <c r="P67" i="32" s="1"/>
  <c r="G49" i="41"/>
  <c r="M49" i="41" s="1"/>
  <c r="P60" i="32" s="1"/>
  <c r="G56" i="41"/>
  <c r="M56" i="41" s="1"/>
  <c r="P68" i="32" s="1"/>
  <c r="G52" i="41"/>
  <c r="M52" i="41" s="1"/>
  <c r="P63" i="32" s="1"/>
  <c r="G40" i="41"/>
  <c r="M40" i="41" s="1"/>
  <c r="P52" i="32" s="1"/>
  <c r="G35" i="41"/>
  <c r="M35" i="41" s="1"/>
  <c r="P46" i="32" s="1"/>
  <c r="G21" i="41"/>
  <c r="M21" i="41" s="1"/>
  <c r="P31" i="32" s="1"/>
  <c r="G5" i="41"/>
  <c r="M5" i="41" s="1"/>
  <c r="P7" i="32" s="1"/>
  <c r="G65" i="41"/>
  <c r="M65" i="41" s="1"/>
  <c r="G58" i="41"/>
  <c r="M58" i="41" s="1"/>
  <c r="P71" i="32" s="1"/>
  <c r="G54" i="41"/>
  <c r="M54" i="41" s="1"/>
  <c r="P66" i="32" s="1"/>
  <c r="G47" i="41"/>
  <c r="M47" i="41" s="1"/>
  <c r="P58" i="32" s="1"/>
  <c r="G37" i="41"/>
  <c r="M37" i="41" s="1"/>
  <c r="G24" i="41"/>
  <c r="M24" i="41" s="1"/>
  <c r="P35" i="32" s="1"/>
  <c r="G13" i="41"/>
  <c r="M13" i="41" s="1"/>
  <c r="P22" i="32" s="1"/>
  <c r="G57" i="41"/>
  <c r="M57" i="41" s="1"/>
  <c r="P70" i="32" s="1"/>
  <c r="G43" i="41"/>
  <c r="M43" i="41" s="1"/>
  <c r="P55" i="32" s="1"/>
  <c r="G36" i="41"/>
  <c r="M36" i="41" s="1"/>
  <c r="P48" i="32" s="1"/>
  <c r="G10" i="41"/>
  <c r="M10" i="41" s="1"/>
  <c r="P17" i="32" s="1"/>
  <c r="G51" i="41"/>
  <c r="M51" i="41" s="1"/>
  <c r="P61" i="32" s="1"/>
  <c r="G46" i="41"/>
  <c r="M46" i="41" s="1"/>
  <c r="P57" i="32" s="1"/>
  <c r="G42" i="41"/>
  <c r="M42" i="41" s="1"/>
  <c r="P54" i="32" s="1"/>
  <c r="G44" i="41"/>
  <c r="M44" i="41" s="1"/>
  <c r="P56" i="32" s="1"/>
  <c r="G32" i="41"/>
  <c r="M32" i="41" s="1"/>
  <c r="P43" i="32" s="1"/>
  <c r="G31" i="41"/>
  <c r="M31" i="41" s="1"/>
  <c r="P42" i="32" s="1"/>
  <c r="G29" i="41"/>
  <c r="M29" i="41" s="1"/>
  <c r="P40" i="32" s="1"/>
  <c r="G30" i="41"/>
  <c r="M30" i="41" s="1"/>
  <c r="P41" i="32" s="1"/>
  <c r="G28" i="41"/>
  <c r="M28" i="41" s="1"/>
  <c r="P39" i="32" s="1"/>
  <c r="G27" i="41"/>
  <c r="M27" i="41" s="1"/>
  <c r="P38" i="32" s="1"/>
  <c r="G23" i="41"/>
  <c r="M23" i="41" s="1"/>
  <c r="P33" i="32" s="1"/>
  <c r="G15" i="41"/>
  <c r="M15" i="41" s="1"/>
  <c r="P25" i="32" s="1"/>
  <c r="G12" i="41"/>
  <c r="M12" i="41" s="1"/>
  <c r="P21" i="32" s="1"/>
  <c r="P23" i="32"/>
  <c r="G9" i="41"/>
  <c r="M9" i="41" s="1"/>
  <c r="P16" i="32" s="1"/>
  <c r="G8" i="41"/>
  <c r="M8" i="41" s="1"/>
  <c r="P11" i="32" s="1"/>
  <c r="G7" i="41"/>
  <c r="M7" i="41" s="1"/>
  <c r="P10" i="32" s="1"/>
  <c r="G6" i="41"/>
  <c r="M6" i="41" s="1"/>
  <c r="P9" i="32" s="1"/>
  <c r="G17" i="41"/>
  <c r="M17" i="41" s="1"/>
  <c r="P27" i="32" s="1"/>
  <c r="G41" i="41"/>
  <c r="M41" i="41" s="1"/>
  <c r="P53" i="32" s="1"/>
  <c r="G22" i="41"/>
  <c r="M22" i="41" s="1"/>
  <c r="P32" i="32" s="1"/>
  <c r="G18" i="41"/>
  <c r="M18" i="41" s="1"/>
  <c r="P28" i="32" s="1"/>
  <c r="G11" i="41"/>
  <c r="M11" i="41" s="1"/>
  <c r="P19" i="32" s="1"/>
  <c r="G34" i="41"/>
  <c r="M34" i="41" s="1"/>
  <c r="P45" i="32" s="1"/>
  <c r="G26" i="41"/>
  <c r="M26" i="41" s="1"/>
  <c r="P37" i="32" s="1"/>
  <c r="AF4" i="39"/>
  <c r="H4" i="41" s="1"/>
  <c r="N4" i="41" s="1"/>
  <c r="Q6" i="32" s="1"/>
  <c r="G4" i="41"/>
  <c r="M4" i="41" s="1"/>
  <c r="P6" i="32" s="1"/>
  <c r="N58" i="41"/>
  <c r="Q71" i="32" s="1"/>
  <c r="N65" i="41"/>
  <c r="Q79" i="32" s="1"/>
  <c r="N7" i="41"/>
  <c r="Q10" i="32" s="1"/>
  <c r="N8" i="41"/>
  <c r="Q11" i="32" s="1"/>
  <c r="N11" i="41"/>
  <c r="Q19" i="32" s="1"/>
  <c r="Q34" i="32"/>
  <c r="N40" i="41"/>
  <c r="Q52" i="32" s="1"/>
  <c r="N43" i="41"/>
  <c r="Q55" i="32" s="1"/>
  <c r="N44" i="41"/>
  <c r="Q56" i="32" s="1"/>
  <c r="N46" i="41"/>
  <c r="Q57" i="32" s="1"/>
  <c r="N49" i="41"/>
  <c r="Q60" i="32" s="1"/>
  <c r="N51" i="41"/>
  <c r="Q61" i="32" s="1"/>
  <c r="N9" i="41"/>
  <c r="Q16" i="32" s="1"/>
  <c r="N47" i="41"/>
  <c r="Q58" i="32" s="1"/>
  <c r="I61" i="41"/>
  <c r="N18" i="41"/>
  <c r="Q28" i="32" s="1"/>
  <c r="N22" i="41"/>
  <c r="Q32" i="32" s="1"/>
  <c r="N27" i="41"/>
  <c r="Q38" i="32" s="1"/>
  <c r="N30" i="41"/>
  <c r="Q41" i="32" s="1"/>
  <c r="N32" i="41"/>
  <c r="Q43" i="32" s="1"/>
  <c r="N33" i="41"/>
  <c r="Q44" i="32" s="1"/>
  <c r="N34" i="41"/>
  <c r="Q45" i="32" s="1"/>
  <c r="N41" i="41"/>
  <c r="Q53" i="32" s="1"/>
  <c r="N42" i="41"/>
  <c r="Q54" i="32" s="1"/>
  <c r="N23" i="41"/>
  <c r="Q33" i="32" s="1"/>
  <c r="N36" i="41"/>
  <c r="Q48" i="32" s="1"/>
  <c r="N52" i="41"/>
  <c r="Q63" i="32" s="1"/>
  <c r="Q64" i="32"/>
  <c r="N54" i="41"/>
  <c r="Q66" i="32" s="1"/>
  <c r="N55" i="41"/>
  <c r="Q67" i="32" s="1"/>
  <c r="N16" i="41"/>
  <c r="Q26" i="32" s="1"/>
  <c r="N17" i="41"/>
  <c r="Q27" i="32" s="1"/>
  <c r="N28" i="41"/>
  <c r="Q39" i="32" s="1"/>
  <c r="N29" i="41"/>
  <c r="Q40" i="32" s="1"/>
  <c r="M33" i="41"/>
  <c r="P44" i="32" s="1"/>
  <c r="P34" i="32"/>
  <c r="P64" i="32"/>
  <c r="N56" i="41"/>
  <c r="Q68" i="32" s="1"/>
  <c r="N5" i="41"/>
  <c r="Q7" i="32" s="1"/>
  <c r="N13" i="41"/>
  <c r="Q22" i="32" s="1"/>
  <c r="Q23" i="32"/>
  <c r="N21" i="41"/>
  <c r="Q31" i="32" s="1"/>
  <c r="N24" i="41"/>
  <c r="Q35" i="32" s="1"/>
  <c r="N26" i="41"/>
  <c r="Q37" i="32" s="1"/>
  <c r="N31" i="41"/>
  <c r="Q42" i="32" s="1"/>
  <c r="N35" i="41"/>
  <c r="Q46" i="32" s="1"/>
  <c r="N39" i="41"/>
  <c r="Q51" i="32" s="1"/>
  <c r="N6" i="41"/>
  <c r="Q9" i="32" s="1"/>
  <c r="N10" i="41"/>
  <c r="Q17" i="32" s="1"/>
  <c r="N12" i="41"/>
  <c r="Q21" i="32" s="1"/>
  <c r="N15" i="41"/>
  <c r="Q25" i="32" s="1"/>
  <c r="P78" i="32"/>
  <c r="K61" i="41"/>
  <c r="Q78" i="32"/>
  <c r="N57" i="41"/>
  <c r="Q70" i="32" s="1"/>
  <c r="AF62" i="39"/>
  <c r="AA63" i="38"/>
  <c r="AA57" i="38"/>
  <c r="P79" i="32" l="1"/>
  <c r="M67" i="41"/>
  <c r="P50" i="32"/>
  <c r="P49" i="32"/>
  <c r="Q50" i="32"/>
  <c r="Q49" i="32"/>
  <c r="G61" i="41"/>
  <c r="M61" i="41"/>
  <c r="Z63" i="38"/>
  <c r="Z57" i="38"/>
  <c r="P74" i="32" l="1"/>
  <c r="P77" i="32"/>
  <c r="P81" i="32" s="1"/>
  <c r="Y63" i="38"/>
  <c r="Y57" i="38"/>
  <c r="J32" i="32" l="1"/>
  <c r="I32" i="32"/>
  <c r="H32" i="32"/>
  <c r="G32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2" i="32" s="1"/>
  <c r="N32" i="32" s="1"/>
  <c r="Z32" i="32" s="1"/>
  <c r="K32" i="32"/>
  <c r="M32" i="32" s="1"/>
  <c r="Y32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7" i="32" l="1"/>
  <c r="G17" i="32"/>
  <c r="H63" i="38"/>
  <c r="L78" i="32" l="1"/>
  <c r="K78" i="32"/>
  <c r="L69" i="32"/>
  <c r="K69" i="32"/>
  <c r="L64" i="32"/>
  <c r="K64" i="32"/>
  <c r="L47" i="32"/>
  <c r="K47" i="32"/>
  <c r="L34" i="32"/>
  <c r="K34" i="32"/>
  <c r="L18" i="32"/>
  <c r="K18" i="32"/>
  <c r="L15" i="32"/>
  <c r="K15" i="32"/>
  <c r="L14" i="32"/>
  <c r="K14" i="32"/>
  <c r="L13" i="32"/>
  <c r="K13" i="32"/>
  <c r="L12" i="32"/>
  <c r="K12" i="32"/>
  <c r="L8" i="32"/>
  <c r="K8" i="32"/>
  <c r="AD60" i="38"/>
  <c r="AE60" i="38" s="1"/>
  <c r="L79" i="32" s="1"/>
  <c r="AD59" i="38"/>
  <c r="AE59" i="38" s="1"/>
  <c r="L77" i="32" s="1"/>
  <c r="H57" i="38"/>
  <c r="AD55" i="38"/>
  <c r="AE55" i="38" s="1"/>
  <c r="L71" i="32" s="1"/>
  <c r="AD54" i="38"/>
  <c r="AE54" i="38" s="1"/>
  <c r="L70" i="32" s="1"/>
  <c r="AH61" i="38"/>
  <c r="AH64" i="38" s="1"/>
  <c r="AD53" i="38"/>
  <c r="AE53" i="38" s="1"/>
  <c r="L68" i="32" s="1"/>
  <c r="AD52" i="38"/>
  <c r="AE52" i="38" s="1"/>
  <c r="L67" i="32" s="1"/>
  <c r="AD51" i="38"/>
  <c r="AE51" i="38" s="1"/>
  <c r="L66" i="32" s="1"/>
  <c r="AD50" i="38"/>
  <c r="AE50" i="38" s="1"/>
  <c r="L60" i="32" s="1"/>
  <c r="AD49" i="38"/>
  <c r="AE49" i="38" s="1"/>
  <c r="L63" i="32" s="1"/>
  <c r="AD48" i="38"/>
  <c r="AE48" i="38" s="1"/>
  <c r="L62" i="32" s="1"/>
  <c r="AD47" i="38"/>
  <c r="AE47" i="38" s="1"/>
  <c r="L61" i="32" s="1"/>
  <c r="AD46" i="38"/>
  <c r="AE46" i="38" s="1"/>
  <c r="L58" i="32" s="1"/>
  <c r="AD45" i="38"/>
  <c r="AE45" i="38" s="1"/>
  <c r="L57" i="32" s="1"/>
  <c r="AD44" i="38"/>
  <c r="AE44" i="38" s="1"/>
  <c r="L55" i="32" s="1"/>
  <c r="AD43" i="38"/>
  <c r="AE43" i="38" s="1"/>
  <c r="L54" i="32" s="1"/>
  <c r="AD42" i="38"/>
  <c r="AE42" i="38" s="1"/>
  <c r="L56" i="32" s="1"/>
  <c r="AD41" i="38"/>
  <c r="AE41" i="38" s="1"/>
  <c r="L53" i="32" s="1"/>
  <c r="AD40" i="38"/>
  <c r="AE40" i="38" s="1"/>
  <c r="L52" i="32" s="1"/>
  <c r="AD39" i="38"/>
  <c r="AE39" i="38" s="1"/>
  <c r="L51" i="32" s="1"/>
  <c r="AD38" i="38"/>
  <c r="AE38" i="38" s="1"/>
  <c r="L50" i="32" s="1"/>
  <c r="AD37" i="38"/>
  <c r="AE37" i="38" s="1"/>
  <c r="L49" i="32" s="1"/>
  <c r="AD36" i="38"/>
  <c r="AE36" i="38" s="1"/>
  <c r="L48" i="32" s="1"/>
  <c r="AD35" i="38"/>
  <c r="AE35" i="38" s="1"/>
  <c r="L46" i="32" s="1"/>
  <c r="AD34" i="38"/>
  <c r="AE34" i="38" s="1"/>
  <c r="L45" i="32" s="1"/>
  <c r="AD33" i="38"/>
  <c r="AE33" i="38" s="1"/>
  <c r="L44" i="32" s="1"/>
  <c r="AD32" i="38"/>
  <c r="AE32" i="38" s="1"/>
  <c r="L43" i="32" s="1"/>
  <c r="AH37" i="38"/>
  <c r="AH41" i="38" s="1"/>
  <c r="AD31" i="38"/>
  <c r="AE31" i="38" s="1"/>
  <c r="L42" i="32" s="1"/>
  <c r="AD30" i="38"/>
  <c r="AE30" i="38" s="1"/>
  <c r="L40" i="32" s="1"/>
  <c r="AD29" i="38"/>
  <c r="AE29" i="38" s="1"/>
  <c r="L41" i="32" s="1"/>
  <c r="AD28" i="38"/>
  <c r="AE28" i="38" s="1"/>
  <c r="L39" i="32" s="1"/>
  <c r="AD27" i="38"/>
  <c r="AE27" i="38" s="1"/>
  <c r="L38" i="32" s="1"/>
  <c r="AD26" i="38"/>
  <c r="AE26" i="38" s="1"/>
  <c r="L37" i="32" s="1"/>
  <c r="AD25" i="38"/>
  <c r="AE25" i="38" s="1"/>
  <c r="L35" i="32" s="1"/>
  <c r="AK30" i="38"/>
  <c r="AH30" i="38"/>
  <c r="AD24" i="38"/>
  <c r="AE24" i="38" s="1"/>
  <c r="L33" i="32" s="1"/>
  <c r="AD23" i="38"/>
  <c r="AE23" i="38" s="1"/>
  <c r="L31" i="32" s="1"/>
  <c r="AD22" i="38"/>
  <c r="AE22" i="38" s="1"/>
  <c r="L29" i="32" s="1"/>
  <c r="AD21" i="38"/>
  <c r="AE21" i="38" s="1"/>
  <c r="L28" i="32" s="1"/>
  <c r="AD19" i="38"/>
  <c r="AE19" i="38" s="1"/>
  <c r="L27" i="32" s="1"/>
  <c r="AD18" i="38"/>
  <c r="AE18" i="38" s="1"/>
  <c r="L26" i="32" s="1"/>
  <c r="AD17" i="38"/>
  <c r="AE17" i="38" s="1"/>
  <c r="L25" i="32" s="1"/>
  <c r="AD16" i="38"/>
  <c r="AE16" i="38" s="1"/>
  <c r="L24" i="32" s="1"/>
  <c r="AD15" i="38"/>
  <c r="AE15" i="38" s="1"/>
  <c r="L22" i="32" s="1"/>
  <c r="AD14" i="38"/>
  <c r="AE14" i="38" s="1"/>
  <c r="L21" i="32" s="1"/>
  <c r="L20" i="32"/>
  <c r="AD13" i="38"/>
  <c r="AE13" i="38" s="1"/>
  <c r="L23" i="32" s="1"/>
  <c r="AD12" i="38"/>
  <c r="AE12" i="38" s="1"/>
  <c r="L19" i="32" s="1"/>
  <c r="AD11" i="38"/>
  <c r="AD10" i="38"/>
  <c r="AE10" i="38" s="1"/>
  <c r="L16" i="32" s="1"/>
  <c r="AD9" i="38"/>
  <c r="AE9" i="38" s="1"/>
  <c r="L11" i="32" s="1"/>
  <c r="L10" i="32"/>
  <c r="AD7" i="38"/>
  <c r="AE7" i="38" s="1"/>
  <c r="L9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Z71" i="37"/>
  <c r="Z66" i="37"/>
  <c r="K51" i="32" l="1"/>
  <c r="K27" i="32"/>
  <c r="K20" i="32"/>
  <c r="K77" i="32"/>
  <c r="AE11" i="38"/>
  <c r="L17" i="32" s="1"/>
  <c r="K17" i="32"/>
  <c r="K35" i="32"/>
  <c r="K58" i="32"/>
  <c r="K52" i="32"/>
  <c r="K22" i="32"/>
  <c r="K79" i="32"/>
  <c r="K71" i="32"/>
  <c r="K70" i="32"/>
  <c r="K68" i="32"/>
  <c r="K67" i="32"/>
  <c r="K66" i="32"/>
  <c r="K60" i="32"/>
  <c r="K63" i="32"/>
  <c r="K62" i="32"/>
  <c r="K61" i="32"/>
  <c r="K57" i="32"/>
  <c r="K55" i="32"/>
  <c r="K54" i="32"/>
  <c r="K56" i="32"/>
  <c r="K53" i="32"/>
  <c r="K50" i="32"/>
  <c r="K49" i="32"/>
  <c r="K48" i="32"/>
  <c r="K46" i="32"/>
  <c r="K31" i="32"/>
  <c r="K6" i="32"/>
  <c r="K7" i="32"/>
  <c r="K45" i="32"/>
  <c r="K44" i="32"/>
  <c r="K43" i="32"/>
  <c r="K42" i="32"/>
  <c r="K40" i="32"/>
  <c r="K41" i="32"/>
  <c r="K39" i="32"/>
  <c r="K38" i="32"/>
  <c r="K37" i="32"/>
  <c r="K33" i="32"/>
  <c r="K29" i="32"/>
  <c r="K28" i="32"/>
  <c r="K26" i="32"/>
  <c r="K25" i="32"/>
  <c r="K24" i="32"/>
  <c r="K21" i="32"/>
  <c r="K23" i="32"/>
  <c r="K19" i="32"/>
  <c r="K16" i="32"/>
  <c r="K11" i="32"/>
  <c r="K10" i="32"/>
  <c r="K9" i="32"/>
  <c r="K5" i="32"/>
  <c r="K4" i="32"/>
  <c r="AD63" i="38"/>
  <c r="AD57" i="38"/>
  <c r="AE57" i="38" s="1"/>
  <c r="Y71" i="37"/>
  <c r="Y66" i="37"/>
  <c r="X71" i="37" l="1"/>
  <c r="X66" i="37"/>
  <c r="I79" i="32" l="1"/>
  <c r="H79" i="32"/>
  <c r="G79" i="32"/>
  <c r="AB69" i="37"/>
  <c r="AC69" i="37" s="1"/>
  <c r="J79" i="32" s="1"/>
  <c r="AB68" i="37"/>
  <c r="AC68" i="37" s="1"/>
  <c r="AA71" i="37"/>
  <c r="W71" i="37"/>
  <c r="W66" i="37"/>
  <c r="M79" i="32" l="1"/>
  <c r="Y79" i="32" s="1"/>
  <c r="N79" i="32"/>
  <c r="Z79" i="32" s="1"/>
  <c r="V71" i="37"/>
  <c r="V66" i="37"/>
  <c r="U71" i="37" l="1"/>
  <c r="U66" i="37"/>
  <c r="T71" i="37" l="1"/>
  <c r="T66" i="37"/>
  <c r="S71" i="37" l="1"/>
  <c r="S66" i="37"/>
  <c r="R71" i="37" l="1"/>
  <c r="R66" i="37"/>
  <c r="Q71" i="37" l="1"/>
  <c r="Q66" i="37"/>
  <c r="AB16" i="37" l="1"/>
  <c r="G53" i="32"/>
  <c r="H53" i="32"/>
  <c r="P71" i="37"/>
  <c r="P66" i="37"/>
  <c r="AC16" i="37" l="1"/>
  <c r="J17" i="32" s="1"/>
  <c r="N17" i="32" s="1"/>
  <c r="Z17" i="32" s="1"/>
  <c r="I17" i="32"/>
  <c r="M17" i="32" s="1"/>
  <c r="Y17" i="32" s="1"/>
  <c r="AB48" i="37"/>
  <c r="O71" i="37"/>
  <c r="O66" i="37"/>
  <c r="AC48" i="37" l="1"/>
  <c r="N71" i="37"/>
  <c r="N66" i="37"/>
  <c r="M71" i="37" l="1"/>
  <c r="M66" i="37"/>
  <c r="L71" i="37" l="1"/>
  <c r="L66" i="37"/>
  <c r="G10" i="32" l="1"/>
  <c r="H10" i="32"/>
  <c r="AB10" i="37"/>
  <c r="AC10" i="37" s="1"/>
  <c r="J10" i="32" s="1"/>
  <c r="K71" i="37"/>
  <c r="K66" i="37"/>
  <c r="N10" i="32" l="1"/>
  <c r="Z10" i="32" s="1"/>
  <c r="I10" i="32"/>
  <c r="M10" i="32" s="1"/>
  <c r="Y10" i="32" s="1"/>
  <c r="H6" i="32"/>
  <c r="G6" i="32"/>
  <c r="AB6" i="37"/>
  <c r="AC6" i="37" s="1"/>
  <c r="J6" i="32" s="1"/>
  <c r="J71" i="37"/>
  <c r="J66" i="37"/>
  <c r="I6" i="32" l="1"/>
  <c r="M6" i="32" s="1"/>
  <c r="Y6" i="32" s="1"/>
  <c r="N6" i="32"/>
  <c r="Z6" i="32" s="1"/>
  <c r="I71" i="37"/>
  <c r="I66" i="37"/>
  <c r="G63" i="32" l="1"/>
  <c r="G62" i="32"/>
  <c r="H55" i="32"/>
  <c r="G55" i="32"/>
  <c r="H68" i="32"/>
  <c r="G68" i="32"/>
  <c r="H67" i="32"/>
  <c r="G67" i="32"/>
  <c r="AB60" i="37"/>
  <c r="AC60" i="37" s="1"/>
  <c r="AB61" i="37"/>
  <c r="AC61" i="37" s="1"/>
  <c r="J68" i="32" s="1"/>
  <c r="AB62" i="37"/>
  <c r="AC62" i="37" s="1"/>
  <c r="AB63" i="37"/>
  <c r="AC63" i="37" s="1"/>
  <c r="AB64" i="37"/>
  <c r="AC64" i="37" s="1"/>
  <c r="I68" i="32" l="1"/>
  <c r="M68" i="32" s="1"/>
  <c r="Y68" i="32" s="1"/>
  <c r="N68" i="32"/>
  <c r="Z68" i="32" s="1"/>
  <c r="H71" i="37"/>
  <c r="J78" i="32"/>
  <c r="AA66" i="37"/>
  <c r="H66" i="37"/>
  <c r="J71" i="32"/>
  <c r="AF61" i="37"/>
  <c r="AF64" i="37" s="1"/>
  <c r="J69" i="32"/>
  <c r="AB59" i="37"/>
  <c r="I66" i="32" s="1"/>
  <c r="AB58" i="37"/>
  <c r="AC58" i="37" s="1"/>
  <c r="AB57" i="37"/>
  <c r="AC57" i="37" s="1"/>
  <c r="AB56" i="37"/>
  <c r="AB55" i="37"/>
  <c r="AB54" i="37"/>
  <c r="AC54" i="37" s="1"/>
  <c r="AB53" i="37"/>
  <c r="AC53" i="37" s="1"/>
  <c r="AB52" i="37"/>
  <c r="AC52" i="37" s="1"/>
  <c r="AB51" i="37"/>
  <c r="AB50" i="37"/>
  <c r="AC50" i="37" s="1"/>
  <c r="AB49" i="37"/>
  <c r="AC49" i="37" s="1"/>
  <c r="AB47" i="37"/>
  <c r="AB46" i="37"/>
  <c r="AC46" i="37" s="1"/>
  <c r="AB45" i="37"/>
  <c r="AC45" i="37" s="1"/>
  <c r="AB44" i="37"/>
  <c r="AB43" i="37"/>
  <c r="AC43" i="37" s="1"/>
  <c r="AB42" i="37"/>
  <c r="AC42" i="37" s="1"/>
  <c r="AB41" i="37"/>
  <c r="AC41" i="37" s="1"/>
  <c r="J46" i="32" s="1"/>
  <c r="AB40" i="37"/>
  <c r="AC40" i="37" s="1"/>
  <c r="AB39" i="37"/>
  <c r="AC39" i="37" s="1"/>
  <c r="AB38" i="37"/>
  <c r="AC38" i="37" s="1"/>
  <c r="AB37" i="37"/>
  <c r="AC37" i="37" s="1"/>
  <c r="AF37" i="37"/>
  <c r="AF41" i="37" s="1"/>
  <c r="AB36" i="37"/>
  <c r="AC36" i="37" s="1"/>
  <c r="AB35" i="37"/>
  <c r="AC35" i="37" s="1"/>
  <c r="AB34" i="37"/>
  <c r="AC34" i="37" s="1"/>
  <c r="AB33" i="37"/>
  <c r="AC33" i="37" s="1"/>
  <c r="AB32" i="37"/>
  <c r="AC32" i="37" s="1"/>
  <c r="AB31" i="37"/>
  <c r="AC31" i="37" s="1"/>
  <c r="J35" i="32" s="1"/>
  <c r="AI30" i="37"/>
  <c r="AF30" i="37"/>
  <c r="AB30" i="37"/>
  <c r="AC30" i="37" s="1"/>
  <c r="AB29" i="37"/>
  <c r="AC29" i="37" s="1"/>
  <c r="J33" i="32" s="1"/>
  <c r="AB28" i="37"/>
  <c r="AC28" i="37" s="1"/>
  <c r="AB27" i="37"/>
  <c r="AC27" i="37" s="1"/>
  <c r="AB26" i="37"/>
  <c r="AC26" i="37" s="1"/>
  <c r="J28" i="32" s="1"/>
  <c r="AB25" i="37"/>
  <c r="I27" i="32" s="1"/>
  <c r="AB24" i="37"/>
  <c r="AC24" i="37" s="1"/>
  <c r="AB23" i="37"/>
  <c r="AC23" i="37" s="1"/>
  <c r="AB22" i="37"/>
  <c r="AC22" i="37" s="1"/>
  <c r="J24" i="32" s="1"/>
  <c r="AB21" i="37"/>
  <c r="AC21" i="37" s="1"/>
  <c r="J22" i="32" s="1"/>
  <c r="AB20" i="37"/>
  <c r="AC20" i="37" s="1"/>
  <c r="AB19" i="37"/>
  <c r="AC19" i="37" s="1"/>
  <c r="AB18" i="37"/>
  <c r="AC18" i="37" s="1"/>
  <c r="AB17" i="37"/>
  <c r="AC17" i="37" s="1"/>
  <c r="J19" i="32" s="1"/>
  <c r="J18" i="32"/>
  <c r="AB15" i="37"/>
  <c r="AC15" i="37" s="1"/>
  <c r="AB14" i="37"/>
  <c r="AC14" i="37" s="1"/>
  <c r="J15" i="32" s="1"/>
  <c r="J12" i="32"/>
  <c r="AB13" i="37"/>
  <c r="AC13" i="37" s="1"/>
  <c r="J14" i="32" s="1"/>
  <c r="AB12" i="37"/>
  <c r="AC12" i="37" s="1"/>
  <c r="AB11" i="37"/>
  <c r="AC11" i="37" s="1"/>
  <c r="J11" i="32" s="1"/>
  <c r="AF8" i="37"/>
  <c r="AF13" i="37" s="1"/>
  <c r="AB9" i="37"/>
  <c r="AC9" i="37" s="1"/>
  <c r="J9" i="32" s="1"/>
  <c r="AB8" i="37"/>
  <c r="AC8" i="37" s="1"/>
  <c r="AB7" i="37"/>
  <c r="AC7" i="37" s="1"/>
  <c r="J7" i="32" s="1"/>
  <c r="AB5" i="37"/>
  <c r="AC5" i="37" s="1"/>
  <c r="J5" i="32" s="1"/>
  <c r="AB4" i="37"/>
  <c r="AC4" i="37" s="1"/>
  <c r="J4" i="32" s="1"/>
  <c r="AC47" i="37" l="1"/>
  <c r="J53" i="32" s="1"/>
  <c r="N53" i="32" s="1"/>
  <c r="Z53" i="32" s="1"/>
  <c r="I53" i="32"/>
  <c r="M53" i="32" s="1"/>
  <c r="Y53" i="32" s="1"/>
  <c r="J42" i="32"/>
  <c r="J77" i="32"/>
  <c r="I67" i="32"/>
  <c r="M67" i="32" s="1"/>
  <c r="Y67" i="32" s="1"/>
  <c r="J34" i="32"/>
  <c r="J37" i="32"/>
  <c r="J41" i="32"/>
  <c r="J43" i="32"/>
  <c r="J47" i="32"/>
  <c r="J51" i="32"/>
  <c r="J8" i="32"/>
  <c r="J13" i="32"/>
  <c r="J16" i="32"/>
  <c r="J20" i="32"/>
  <c r="J25" i="32"/>
  <c r="J29" i="32"/>
  <c r="J40" i="32"/>
  <c r="J44" i="32"/>
  <c r="J52" i="32"/>
  <c r="J21" i="32"/>
  <c r="J26" i="32"/>
  <c r="J31" i="32"/>
  <c r="J45" i="32"/>
  <c r="I49" i="32"/>
  <c r="J56" i="32"/>
  <c r="J58" i="32"/>
  <c r="AC55" i="37"/>
  <c r="J62" i="32" s="1"/>
  <c r="I62" i="32"/>
  <c r="M62" i="32" s="1"/>
  <c r="Y62" i="32" s="1"/>
  <c r="AC56" i="37"/>
  <c r="J60" i="32" s="1"/>
  <c r="I63" i="32"/>
  <c r="M63" i="32" s="1"/>
  <c r="Y63" i="32" s="1"/>
  <c r="AC51" i="37"/>
  <c r="J55" i="32" s="1"/>
  <c r="N55" i="32" s="1"/>
  <c r="Z55" i="32" s="1"/>
  <c r="I55" i="32"/>
  <c r="M55" i="32" s="1"/>
  <c r="Y55" i="32" s="1"/>
  <c r="AB66" i="37"/>
  <c r="AC66" i="37" s="1"/>
  <c r="AB71" i="37"/>
  <c r="J70" i="32"/>
  <c r="I56" i="32"/>
  <c r="I34" i="32"/>
  <c r="I20" i="32"/>
  <c r="I70" i="32"/>
  <c r="I50" i="32"/>
  <c r="I28" i="32"/>
  <c r="I16" i="32"/>
  <c r="I61" i="32"/>
  <c r="I48" i="32"/>
  <c r="I26" i="32"/>
  <c r="I58" i="32"/>
  <c r="I46" i="32"/>
  <c r="I24" i="32"/>
  <c r="I52" i="32"/>
  <c r="I45" i="32"/>
  <c r="I31" i="32"/>
  <c r="AC25" i="37"/>
  <c r="J27" i="32" s="1"/>
  <c r="AC44" i="37"/>
  <c r="J49" i="32" s="1"/>
  <c r="AC59" i="37"/>
  <c r="J23" i="32"/>
  <c r="I9" i="32"/>
  <c r="I7" i="32"/>
  <c r="I71" i="32"/>
  <c r="I69" i="32"/>
  <c r="I64" i="32"/>
  <c r="I60" i="32"/>
  <c r="I57" i="32"/>
  <c r="I54" i="32"/>
  <c r="I51" i="32"/>
  <c r="I47" i="32"/>
  <c r="I44" i="32"/>
  <c r="I35" i="32"/>
  <c r="I33" i="32"/>
  <c r="I29" i="32"/>
  <c r="I25" i="32"/>
  <c r="I23" i="32"/>
  <c r="I21" i="32"/>
  <c r="I18" i="32"/>
  <c r="I15" i="32"/>
  <c r="I78" i="32"/>
  <c r="I22" i="32"/>
  <c r="I19" i="32"/>
  <c r="I8" i="32"/>
  <c r="I5" i="32"/>
  <c r="I12" i="32"/>
  <c r="I14" i="32"/>
  <c r="I13" i="32"/>
  <c r="I11" i="32"/>
  <c r="I43" i="32"/>
  <c r="I42" i="32"/>
  <c r="I40" i="32"/>
  <c r="I41" i="32"/>
  <c r="I39" i="32"/>
  <c r="I38" i="32"/>
  <c r="I37" i="32"/>
  <c r="I4" i="32"/>
  <c r="I77" i="32" l="1"/>
  <c r="J63" i="32"/>
  <c r="J57" i="32"/>
  <c r="J39" i="32"/>
  <c r="J66" i="32"/>
  <c r="J67" i="32"/>
  <c r="N67" i="32" s="1"/>
  <c r="Z67" i="32" s="1"/>
  <c r="J50" i="32"/>
  <c r="J48" i="32"/>
  <c r="J64" i="32"/>
  <c r="J38" i="32"/>
  <c r="J61" i="32"/>
  <c r="J54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29" i="32" l="1"/>
  <c r="G29" i="32"/>
  <c r="O68" i="36"/>
  <c r="O63" i="36"/>
  <c r="G42" i="32"/>
  <c r="AC37" i="36" l="1"/>
  <c r="H42" i="32" s="1"/>
  <c r="N42" i="32" s="1"/>
  <c r="Z42" i="32" s="1"/>
  <c r="M42" i="32"/>
  <c r="Y42" i="32" s="1"/>
  <c r="AC55" i="36"/>
  <c r="H63" i="32" s="1"/>
  <c r="N63" i="32" s="1"/>
  <c r="Z63" i="32" s="1"/>
  <c r="AC54" i="36"/>
  <c r="H62" i="32" s="1"/>
  <c r="N62" i="32" s="1"/>
  <c r="Z62" i="32" s="1"/>
  <c r="N68" i="36"/>
  <c r="N63" i="36"/>
  <c r="M68" i="36" l="1"/>
  <c r="M63" i="36"/>
  <c r="L68" i="36" l="1"/>
  <c r="L63" i="36"/>
  <c r="AC21" i="36" l="1"/>
  <c r="H24" i="32" s="1"/>
  <c r="G24" i="32"/>
  <c r="AC57" i="36"/>
  <c r="H64" i="32" s="1"/>
  <c r="G64" i="32"/>
  <c r="K68" i="36"/>
  <c r="K63" i="36"/>
  <c r="AC58" i="36" l="1"/>
  <c r="H66" i="32" s="1"/>
  <c r="N66" i="32" s="1"/>
  <c r="Z66" i="32" s="1"/>
  <c r="G66" i="32"/>
  <c r="M66" i="32" s="1"/>
  <c r="Y66" i="32" s="1"/>
  <c r="AF36" i="36"/>
  <c r="AF40" i="36" s="1"/>
  <c r="AC50" i="36"/>
  <c r="J68" i="36"/>
  <c r="J63" i="36"/>
  <c r="AC53" i="36" l="1"/>
  <c r="H61" i="32" s="1"/>
  <c r="G61" i="32"/>
  <c r="AC34" i="36"/>
  <c r="H39" i="32" s="1"/>
  <c r="N39" i="32" s="1"/>
  <c r="Z39" i="32" s="1"/>
  <c r="G39" i="32"/>
  <c r="M39" i="32" s="1"/>
  <c r="Y39" i="32" s="1"/>
  <c r="AC10" i="36"/>
  <c r="H13" i="32" s="1"/>
  <c r="N13" i="32" s="1"/>
  <c r="Z13" i="32" s="1"/>
  <c r="G13" i="32"/>
  <c r="M13" i="32" s="1"/>
  <c r="Y13" i="32" s="1"/>
  <c r="I68" i="36"/>
  <c r="I63" i="36"/>
  <c r="AC35" i="36" l="1"/>
  <c r="H41" i="32" s="1"/>
  <c r="G41" i="32"/>
  <c r="AC7" i="36"/>
  <c r="H8" i="32" s="1"/>
  <c r="N8" i="32" s="1"/>
  <c r="Z8" i="32" s="1"/>
  <c r="G8" i="32"/>
  <c r="M8" i="32" s="1"/>
  <c r="Y8" i="32" s="1"/>
  <c r="AC11" i="36"/>
  <c r="H14" i="32" s="1"/>
  <c r="N14" i="32" s="1"/>
  <c r="Z14" i="32" s="1"/>
  <c r="G14" i="32"/>
  <c r="M14" i="32" s="1"/>
  <c r="Y14" i="32" s="1"/>
  <c r="AF60" i="36"/>
  <c r="AF8" i="36"/>
  <c r="AC17" i="36" l="1"/>
  <c r="G23" i="32"/>
  <c r="H23" i="32" l="1"/>
  <c r="AC27" i="36" l="1"/>
  <c r="H31" i="32" s="1"/>
  <c r="N31" i="32" s="1"/>
  <c r="Z31" i="32" s="1"/>
  <c r="G31" i="32"/>
  <c r="M31" i="32" s="1"/>
  <c r="Y31" i="32" s="1"/>
  <c r="M61" i="32"/>
  <c r="Y61" i="32" s="1"/>
  <c r="N61" i="32"/>
  <c r="Z61" i="32" s="1"/>
  <c r="H68" i="36"/>
  <c r="H63" i="36"/>
  <c r="AC36" i="36" l="1"/>
  <c r="H40" i="32" s="1"/>
  <c r="N40" i="32" s="1"/>
  <c r="Z40" i="32" s="1"/>
  <c r="G40" i="32"/>
  <c r="M40" i="32" s="1"/>
  <c r="Y40" i="32" s="1"/>
  <c r="AA68" i="36"/>
  <c r="AB66" i="36"/>
  <c r="AB65" i="36"/>
  <c r="AA63" i="36"/>
  <c r="AF63" i="36"/>
  <c r="G71" i="32"/>
  <c r="G69" i="32"/>
  <c r="G60" i="32"/>
  <c r="G58" i="32"/>
  <c r="G57" i="32"/>
  <c r="G54" i="32"/>
  <c r="G56" i="32"/>
  <c r="G52" i="32"/>
  <c r="G51" i="32"/>
  <c r="G49" i="32"/>
  <c r="G48" i="32"/>
  <c r="G47" i="32"/>
  <c r="G46" i="32"/>
  <c r="G45" i="32"/>
  <c r="G44" i="32"/>
  <c r="G38" i="32"/>
  <c r="G37" i="32"/>
  <c r="G35" i="32"/>
  <c r="G34" i="32"/>
  <c r="G33" i="32"/>
  <c r="AI29" i="36"/>
  <c r="AF29" i="36"/>
  <c r="G28" i="32"/>
  <c r="G27" i="32"/>
  <c r="G26" i="32"/>
  <c r="G25" i="32"/>
  <c r="G22" i="32"/>
  <c r="G21" i="32"/>
  <c r="G20" i="32"/>
  <c r="G19" i="32"/>
  <c r="G18" i="32"/>
  <c r="G16" i="32"/>
  <c r="G15" i="32"/>
  <c r="G12" i="32"/>
  <c r="M12" i="32" s="1"/>
  <c r="Y12" i="32" s="1"/>
  <c r="G11" i="32"/>
  <c r="AF12" i="36"/>
  <c r="AK12" i="36" s="1"/>
  <c r="G9" i="32"/>
  <c r="G7" i="32"/>
  <c r="G5" i="32"/>
  <c r="AB4" i="36"/>
  <c r="AC66" i="36" l="1"/>
  <c r="H78" i="32" s="1"/>
  <c r="G78" i="32"/>
  <c r="AC65" i="36"/>
  <c r="H77" i="32" s="1"/>
  <c r="G77" i="32"/>
  <c r="G70" i="32"/>
  <c r="G50" i="32"/>
  <c r="AC38" i="36"/>
  <c r="H43" i="32" s="1"/>
  <c r="N43" i="32" s="1"/>
  <c r="G43" i="32"/>
  <c r="M43" i="32" s="1"/>
  <c r="AC31" i="36"/>
  <c r="AC23" i="36"/>
  <c r="AC6" i="36"/>
  <c r="AC24" i="36"/>
  <c r="AC60" i="36"/>
  <c r="AC12" i="36"/>
  <c r="H12" i="32" s="1"/>
  <c r="N12" i="32" s="1"/>
  <c r="Z12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69" i="32" l="1"/>
  <c r="H71" i="32"/>
  <c r="H48" i="32"/>
  <c r="H25" i="32"/>
  <c r="H7" i="32"/>
  <c r="H27" i="32"/>
  <c r="H26" i="32"/>
  <c r="H18" i="32"/>
  <c r="H22" i="32"/>
  <c r="H35" i="32"/>
  <c r="H52" i="32"/>
  <c r="H58" i="32"/>
  <c r="H70" i="32"/>
  <c r="H50" i="32"/>
  <c r="H49" i="32"/>
  <c r="H15" i="32"/>
  <c r="H34" i="32"/>
  <c r="H33" i="32"/>
  <c r="H38" i="32"/>
  <c r="H44" i="32"/>
  <c r="H5" i="32"/>
  <c r="H4" i="32"/>
  <c r="N4" i="32" s="1"/>
  <c r="H37" i="32"/>
  <c r="H51" i="32"/>
  <c r="H56" i="32"/>
  <c r="H60" i="32"/>
  <c r="H20" i="32"/>
  <c r="H21" i="32"/>
  <c r="H57" i="32"/>
  <c r="H54" i="32"/>
  <c r="H11" i="32"/>
  <c r="H16" i="32"/>
  <c r="H28" i="32"/>
  <c r="H47" i="32"/>
  <c r="H46" i="32"/>
  <c r="H19" i="32"/>
  <c r="H9" i="32"/>
  <c r="H45" i="32"/>
  <c r="M50" i="32" l="1"/>
  <c r="Y50" i="32" s="1"/>
  <c r="N50" i="32"/>
  <c r="Z50" i="32" s="1"/>
  <c r="M49" i="32" l="1"/>
  <c r="Y49" i="32" s="1"/>
  <c r="N49" i="32" l="1"/>
  <c r="Z49" i="32" s="1"/>
  <c r="M5" i="32"/>
  <c r="N5" i="32"/>
  <c r="N29" i="32" l="1"/>
  <c r="Z29" i="32" s="1"/>
  <c r="M29" i="32"/>
  <c r="Y29" i="32" s="1"/>
  <c r="N78" i="32"/>
  <c r="M78" i="32"/>
  <c r="N77" i="32"/>
  <c r="M77" i="32"/>
  <c r="N7" i="32"/>
  <c r="M7" i="32"/>
  <c r="N15" i="32"/>
  <c r="M15" i="32"/>
  <c r="N20" i="32"/>
  <c r="M20" i="32"/>
  <c r="N24" i="32"/>
  <c r="M24" i="32"/>
  <c r="N28" i="32"/>
  <c r="M28" i="32"/>
  <c r="N35" i="32"/>
  <c r="M35" i="32"/>
  <c r="N37" i="32"/>
  <c r="M37" i="32"/>
  <c r="N44" i="32"/>
  <c r="M44" i="32"/>
  <c r="N47" i="32"/>
  <c r="M47" i="32"/>
  <c r="N56" i="32"/>
  <c r="M56" i="32"/>
  <c r="N60" i="32"/>
  <c r="M60" i="32"/>
  <c r="N71" i="32"/>
  <c r="M71" i="32"/>
  <c r="N9" i="32"/>
  <c r="Z9" i="32" s="1"/>
  <c r="M9" i="32"/>
  <c r="Y9" i="32" s="1"/>
  <c r="M16" i="32"/>
  <c r="Y16" i="32" s="1"/>
  <c r="N21" i="32"/>
  <c r="M21" i="32"/>
  <c r="N25" i="32"/>
  <c r="M25" i="32"/>
  <c r="N38" i="32"/>
  <c r="M38" i="32"/>
  <c r="N45" i="32"/>
  <c r="M45" i="32"/>
  <c r="N48" i="32"/>
  <c r="M48" i="32"/>
  <c r="N54" i="32"/>
  <c r="M54" i="32"/>
  <c r="N64" i="32"/>
  <c r="M64" i="32"/>
  <c r="M4" i="32"/>
  <c r="N11" i="32"/>
  <c r="M11" i="32"/>
  <c r="N18" i="32"/>
  <c r="M18" i="32"/>
  <c r="M23" i="32"/>
  <c r="N22" i="32"/>
  <c r="M22" i="32"/>
  <c r="N26" i="32"/>
  <c r="M26" i="32"/>
  <c r="N33" i="32"/>
  <c r="M33" i="32"/>
  <c r="N51" i="32"/>
  <c r="M51" i="32"/>
  <c r="N57" i="32"/>
  <c r="M57" i="32"/>
  <c r="N69" i="32"/>
  <c r="M69" i="32"/>
  <c r="N19" i="32"/>
  <c r="M19" i="32"/>
  <c r="N27" i="32"/>
  <c r="M27" i="32"/>
  <c r="N34" i="32"/>
  <c r="M34" i="32"/>
  <c r="N41" i="32"/>
  <c r="M41" i="32"/>
  <c r="N46" i="32"/>
  <c r="Z46" i="32" s="1"/>
  <c r="M46" i="32"/>
  <c r="Y46" i="32" s="1"/>
  <c r="N52" i="32"/>
  <c r="M52" i="32"/>
  <c r="N58" i="32"/>
  <c r="M58" i="32"/>
  <c r="N70" i="32"/>
  <c r="M70" i="32"/>
  <c r="N16" i="32" l="1"/>
  <c r="Z16" i="32" s="1"/>
  <c r="N23" i="32"/>
  <c r="Z77" i="32" l="1"/>
  <c r="Z78" i="32"/>
  <c r="Z81" i="32" l="1"/>
  <c r="Y15" i="32"/>
  <c r="Y34" i="32" l="1"/>
  <c r="Z15" i="32"/>
  <c r="I81" i="32" l="1"/>
  <c r="K74" i="32"/>
  <c r="K81" i="32"/>
  <c r="I74" i="32"/>
  <c r="G81" i="32" l="1"/>
  <c r="G74" i="32"/>
  <c r="Z34" i="32" l="1"/>
  <c r="Z56" i="32" l="1"/>
  <c r="Y56" i="32"/>
  <c r="Z28" i="32" l="1"/>
  <c r="Y28" i="32"/>
  <c r="Z41" i="32" l="1"/>
  <c r="Y41" i="32"/>
  <c r="Z24" i="32" l="1"/>
  <c r="Y24" i="32"/>
  <c r="Z52" i="32" l="1"/>
  <c r="Y52" i="32" l="1"/>
  <c r="Z54" i="32"/>
  <c r="Z69" i="32"/>
  <c r="Z64" i="32"/>
  <c r="Z35" i="32"/>
  <c r="Y69" i="32" l="1"/>
  <c r="Y54" i="32" l="1"/>
  <c r="Y35" i="32" l="1"/>
  <c r="Y23" i="32" l="1"/>
  <c r="Z23" i="32"/>
  <c r="Z57" i="32" l="1"/>
  <c r="Y57" i="32"/>
  <c r="Y64" i="32" l="1"/>
  <c r="Z43" i="32" l="1"/>
  <c r="Y43" i="32" l="1"/>
  <c r="Y48" i="32" l="1"/>
  <c r="Y77" i="32"/>
  <c r="Z4" i="32"/>
  <c r="Y26" i="32"/>
  <c r="Y58" i="32"/>
  <c r="Z58" i="32"/>
  <c r="Y78" i="32"/>
  <c r="Y51" i="32"/>
  <c r="Y60" i="32"/>
  <c r="Z60" i="32"/>
  <c r="Y21" i="32"/>
  <c r="Y22" i="32"/>
  <c r="Z7" i="32"/>
  <c r="Y7" i="32"/>
  <c r="Y19" i="32"/>
  <c r="Z18" i="32"/>
  <c r="Y18" i="32"/>
  <c r="Y25" i="32"/>
  <c r="Y27" i="32"/>
  <c r="Z38" i="32"/>
  <c r="Y38" i="32"/>
  <c r="Y45" i="32"/>
  <c r="Z5" i="32"/>
  <c r="Y5" i="32"/>
  <c r="Z20" i="32"/>
  <c r="Y20" i="32"/>
  <c r="Y44" i="32"/>
  <c r="Z11" i="32"/>
  <c r="Y11" i="32"/>
  <c r="Y33" i="32"/>
  <c r="Y37" i="32"/>
  <c r="Y47" i="32"/>
  <c r="Y81" i="32" l="1"/>
  <c r="Z70" i="32"/>
  <c r="Z71" i="32"/>
  <c r="Y70" i="32"/>
  <c r="Y71" i="32"/>
  <c r="Z25" i="32"/>
  <c r="Z37" i="32"/>
  <c r="Z33" i="32"/>
  <c r="Z44" i="32"/>
  <c r="Z19" i="32"/>
  <c r="Z51" i="32"/>
  <c r="Z45" i="32"/>
  <c r="Z27" i="32"/>
  <c r="Z22" i="32"/>
  <c r="Z26" i="32"/>
  <c r="Z21" i="32"/>
  <c r="Z47" i="32"/>
  <c r="Z48" i="32"/>
  <c r="Y4" i="32" l="1"/>
  <c r="Y74" i="32" s="1"/>
</calcChain>
</file>

<file path=xl/sharedStrings.xml><?xml version="1.0" encoding="utf-8"?>
<sst xmlns="http://schemas.openxmlformats.org/spreadsheetml/2006/main" count="2292" uniqueCount="308">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</sst>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89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P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AUG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G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4"/>
  <sheetViews>
    <sheetView tabSelected="1" topLeftCell="A34" workbookViewId="0">
      <selection activeCell="Q49" sqref="Q49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0" width="11.28515625" style="133" customWidth="1" outlineLevel="1"/>
    <col min="11" max="11" width="11.28515625" style="133" customWidth="1"/>
    <col min="12" max="12" width="10.42578125" style="133" customWidth="1" outlineLevel="1"/>
    <col min="13" max="13" width="10.7109375" style="133" customWidth="1" outlineLevel="1"/>
    <col min="14" max="19" width="9.140625" style="133"/>
    <col min="20" max="20" width="14.140625" style="133" customWidth="1"/>
    <col min="21" max="21" width="12" style="133" customWidth="1"/>
    <col min="22" max="16384" width="9.140625" style="133"/>
  </cols>
  <sheetData>
    <row r="1" spans="1:21" ht="15.75" thickBot="1" x14ac:dyDescent="0.3"/>
    <row r="2" spans="1:21" ht="15.75" thickBot="1" x14ac:dyDescent="0.3">
      <c r="G2" s="221"/>
      <c r="H2" s="222">
        <v>46237</v>
      </c>
      <c r="I2" s="256">
        <v>46238</v>
      </c>
      <c r="J2" s="256">
        <v>46239</v>
      </c>
      <c r="K2" s="183"/>
      <c r="L2" s="184" t="s">
        <v>278</v>
      </c>
      <c r="M2" s="185" t="s">
        <v>279</v>
      </c>
    </row>
    <row r="3" spans="1:21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80"/>
      <c r="L3" s="189"/>
      <c r="M3" s="180"/>
      <c r="T3" s="133" t="s">
        <v>198</v>
      </c>
      <c r="U3" s="133">
        <v>13780</v>
      </c>
    </row>
    <row r="4" spans="1:21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211"/>
      <c r="L4" s="171">
        <f t="shared" ref="L4:L35" si="0">SUM(H4:K4)</f>
        <v>-11682</v>
      </c>
      <c r="M4" s="149">
        <f t="shared" ref="M4:M35" si="1">IFERROR(L4/F4*100,0)/10000000</f>
        <v>-0.23363999999999999</v>
      </c>
      <c r="T4" s="133" t="s">
        <v>170</v>
      </c>
      <c r="U4" s="133">
        <v>2865</v>
      </c>
    </row>
    <row r="5" spans="1:21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74"/>
      <c r="L5" s="171">
        <f t="shared" si="0"/>
        <v>-196109</v>
      </c>
      <c r="M5" s="149">
        <f t="shared" si="1"/>
        <v>-0.65369666666666659</v>
      </c>
    </row>
    <row r="6" spans="1:2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84118</v>
      </c>
      <c r="I6" s="147">
        <v>-67845</v>
      </c>
      <c r="J6" s="147">
        <v>-2231</v>
      </c>
      <c r="K6" s="174"/>
      <c r="L6" s="171">
        <f t="shared" si="0"/>
        <v>14042</v>
      </c>
      <c r="M6" s="149">
        <f t="shared" si="1"/>
        <v>4.680666666666667E-2</v>
      </c>
      <c r="O6" s="5"/>
      <c r="P6" s="134">
        <v>-4644</v>
      </c>
    </row>
    <row r="7" spans="1:21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2970</v>
      </c>
      <c r="I7" s="147">
        <v>17031</v>
      </c>
      <c r="J7" s="147">
        <v>13534</v>
      </c>
      <c r="K7" s="174"/>
      <c r="L7" s="171">
        <f t="shared" si="0"/>
        <v>33535</v>
      </c>
      <c r="M7" s="149">
        <f t="shared" si="1"/>
        <v>0.22356666666666669</v>
      </c>
      <c r="O7" s="134">
        <v>141323</v>
      </c>
      <c r="P7" s="134"/>
    </row>
    <row r="8" spans="1:21" x14ac:dyDescent="0.25">
      <c r="A8" s="142" t="s">
        <v>217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>
        <v>244</v>
      </c>
      <c r="I8" s="147">
        <v>-100</v>
      </c>
      <c r="J8" s="147">
        <v>-1954</v>
      </c>
      <c r="K8" s="174"/>
      <c r="L8" s="171">
        <f t="shared" si="0"/>
        <v>-1810</v>
      </c>
      <c r="M8" s="149">
        <f t="shared" si="1"/>
        <v>-3.0166666666666668E-2</v>
      </c>
      <c r="O8" s="134">
        <v>136678</v>
      </c>
      <c r="P8" s="134">
        <f>(O8+O7)/10000000*13780</f>
        <v>383.08537799999999</v>
      </c>
    </row>
    <row r="9" spans="1:21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-814500</v>
      </c>
      <c r="J9" s="147">
        <v>0</v>
      </c>
      <c r="K9" s="174"/>
      <c r="L9" s="171">
        <f t="shared" si="0"/>
        <v>-814500</v>
      </c>
      <c r="M9" s="149">
        <f t="shared" si="1"/>
        <v>-0.54300000000000004</v>
      </c>
      <c r="O9" s="134"/>
      <c r="P9" s="134"/>
    </row>
    <row r="10" spans="1:2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30505</v>
      </c>
      <c r="I10" s="147">
        <v>55406</v>
      </c>
      <c r="J10" s="147">
        <v>0</v>
      </c>
      <c r="K10" s="174"/>
      <c r="L10" s="171">
        <f t="shared" si="0"/>
        <v>85911</v>
      </c>
      <c r="M10" s="149">
        <f t="shared" si="1"/>
        <v>0.14318500000000001</v>
      </c>
      <c r="O10" s="134"/>
      <c r="P10" s="134"/>
    </row>
    <row r="11" spans="1:21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932</v>
      </c>
      <c r="I11" s="147">
        <v>196</v>
      </c>
      <c r="J11" s="147">
        <v>3534</v>
      </c>
      <c r="K11" s="174"/>
      <c r="L11" s="171">
        <f t="shared" si="0"/>
        <v>4662</v>
      </c>
      <c r="M11" s="149">
        <f t="shared" si="1"/>
        <v>4.6620000000000002E-2</v>
      </c>
      <c r="O11" s="134"/>
      <c r="P11" s="134"/>
    </row>
    <row r="12" spans="1:21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9500</v>
      </c>
      <c r="I12" s="147">
        <v>-61370</v>
      </c>
      <c r="J12" s="147">
        <v>-32279</v>
      </c>
      <c r="K12" s="174"/>
      <c r="L12" s="171">
        <f t="shared" si="0"/>
        <v>-84149</v>
      </c>
      <c r="M12" s="149">
        <f t="shared" si="1"/>
        <v>-0.33659600000000001</v>
      </c>
      <c r="O12" s="134"/>
      <c r="P12" s="134"/>
    </row>
    <row r="13" spans="1:21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16621</v>
      </c>
      <c r="I13" s="147">
        <v>-56808</v>
      </c>
      <c r="J13" s="147">
        <v>-29607</v>
      </c>
      <c r="K13" s="174"/>
      <c r="L13" s="171">
        <f t="shared" si="0"/>
        <v>-69794</v>
      </c>
      <c r="M13" s="149">
        <f t="shared" si="1"/>
        <v>-0.31724545454545455</v>
      </c>
      <c r="O13" s="134"/>
      <c r="P13" s="193">
        <f>P6-P8</f>
        <v>-5027.0853779999998</v>
      </c>
      <c r="S13" s="133">
        <v>4722</v>
      </c>
      <c r="T13" s="133">
        <v>2932</v>
      </c>
      <c r="U13" s="133">
        <f>T13+S13</f>
        <v>7654</v>
      </c>
    </row>
    <row r="14" spans="1:21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74"/>
      <c r="L14" s="171">
        <f t="shared" si="0"/>
        <v>0</v>
      </c>
      <c r="M14" s="149">
        <f t="shared" si="1"/>
        <v>0</v>
      </c>
      <c r="O14" s="134"/>
      <c r="P14" s="134"/>
    </row>
    <row r="15" spans="1:21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11560</v>
      </c>
      <c r="I15" s="147">
        <v>430</v>
      </c>
      <c r="J15" s="147">
        <v>11053</v>
      </c>
      <c r="K15" s="174"/>
      <c r="L15" s="171">
        <f t="shared" si="0"/>
        <v>23043</v>
      </c>
      <c r="M15" s="149">
        <f t="shared" si="1"/>
        <v>0.23043</v>
      </c>
    </row>
    <row r="16" spans="1:21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-31573</v>
      </c>
      <c r="I16" s="147">
        <v>0</v>
      </c>
      <c r="J16" s="147">
        <v>-74800</v>
      </c>
      <c r="K16" s="174"/>
      <c r="L16" s="171">
        <f t="shared" si="0"/>
        <v>-106373</v>
      </c>
      <c r="M16" s="149">
        <f t="shared" si="1"/>
        <v>-0.42549199999999998</v>
      </c>
    </row>
    <row r="17" spans="1:22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1945</v>
      </c>
      <c r="I17" s="147">
        <v>1300</v>
      </c>
      <c r="J17" s="147">
        <v>4580</v>
      </c>
      <c r="K17" s="174"/>
      <c r="L17" s="171">
        <f t="shared" si="0"/>
        <v>7825</v>
      </c>
      <c r="M17" s="149">
        <f t="shared" si="1"/>
        <v>1.95625E-2</v>
      </c>
    </row>
    <row r="18" spans="1:22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0</v>
      </c>
      <c r="I18" s="147">
        <v>0</v>
      </c>
      <c r="J18" s="147">
        <v>0</v>
      </c>
      <c r="K18" s="174"/>
      <c r="L18" s="171">
        <f t="shared" si="0"/>
        <v>0</v>
      </c>
      <c r="M18" s="149">
        <f t="shared" si="1"/>
        <v>0</v>
      </c>
    </row>
    <row r="19" spans="1:22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-22322</v>
      </c>
      <c r="I19" s="147">
        <v>14560</v>
      </c>
      <c r="J19" s="147">
        <v>-69757</v>
      </c>
      <c r="K19" s="174"/>
      <c r="L19" s="171">
        <f t="shared" si="0"/>
        <v>-77519</v>
      </c>
      <c r="M19" s="149">
        <f t="shared" si="1"/>
        <v>-0.51679333333333344</v>
      </c>
    </row>
    <row r="20" spans="1:22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10600</v>
      </c>
      <c r="I20" s="147">
        <v>-11136</v>
      </c>
      <c r="J20" s="147">
        <v>-57099</v>
      </c>
      <c r="K20" s="174"/>
      <c r="L20" s="171">
        <f t="shared" si="0"/>
        <v>-57635</v>
      </c>
      <c r="M20" s="149">
        <f t="shared" si="1"/>
        <v>-0.52395454545454545</v>
      </c>
    </row>
    <row r="21" spans="1:22" x14ac:dyDescent="0.25">
      <c r="A21" s="142"/>
      <c r="B21" s="141" t="s">
        <v>111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-445</v>
      </c>
      <c r="I21" s="147">
        <v>-33920</v>
      </c>
      <c r="J21" s="147">
        <v>-17457</v>
      </c>
      <c r="K21" s="174"/>
      <c r="L21" s="171">
        <f t="shared" si="0"/>
        <v>-51822</v>
      </c>
      <c r="M21" s="149">
        <f t="shared" si="1"/>
        <v>-2.0728800000000001</v>
      </c>
    </row>
    <row r="22" spans="1:22" x14ac:dyDescent="0.25">
      <c r="A22" s="142"/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1511</v>
      </c>
      <c r="I22" s="147">
        <v>7251</v>
      </c>
      <c r="J22" s="147">
        <v>7140</v>
      </c>
      <c r="K22" s="174"/>
      <c r="L22" s="171">
        <f t="shared" si="0"/>
        <v>15902</v>
      </c>
      <c r="M22" s="149">
        <f t="shared" si="1"/>
        <v>7.9509999999999997E-2</v>
      </c>
    </row>
    <row r="23" spans="1:22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29533</v>
      </c>
      <c r="I23" s="147">
        <v>-27844</v>
      </c>
      <c r="J23" s="147">
        <v>-110528</v>
      </c>
      <c r="K23" s="174"/>
      <c r="L23" s="171">
        <f t="shared" si="0"/>
        <v>-108839</v>
      </c>
      <c r="M23" s="149">
        <f t="shared" si="1"/>
        <v>-0.98944545454545452</v>
      </c>
    </row>
    <row r="24" spans="1:22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371300</v>
      </c>
      <c r="I24" s="147">
        <v>-169004</v>
      </c>
      <c r="J24" s="147">
        <v>41570</v>
      </c>
      <c r="K24" s="174"/>
      <c r="L24" s="171">
        <f t="shared" si="0"/>
        <v>243866</v>
      </c>
      <c r="M24" s="149">
        <f t="shared" si="1"/>
        <v>1.0602869565217392</v>
      </c>
    </row>
    <row r="25" spans="1:22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>
        <v>-1309</v>
      </c>
      <c r="I25" s="147">
        <v>1160</v>
      </c>
      <c r="J25" s="147">
        <v>2778</v>
      </c>
      <c r="K25" s="174"/>
      <c r="L25" s="171">
        <f t="shared" si="0"/>
        <v>2629</v>
      </c>
      <c r="M25" s="149">
        <f t="shared" si="1"/>
        <v>0.13145000000000001</v>
      </c>
    </row>
    <row r="26" spans="1:22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-66200</v>
      </c>
      <c r="I26" s="147">
        <v>0</v>
      </c>
      <c r="J26" s="147">
        <v>-19970</v>
      </c>
      <c r="K26" s="174"/>
      <c r="L26" s="171">
        <f t="shared" si="0"/>
        <v>-86170</v>
      </c>
      <c r="M26" s="149">
        <f t="shared" si="1"/>
        <v>-0.17233999999999999</v>
      </c>
    </row>
    <row r="27" spans="1:22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-107412</v>
      </c>
      <c r="J27" s="147">
        <v>-454519</v>
      </c>
      <c r="K27" s="174"/>
      <c r="L27" s="171">
        <f t="shared" si="0"/>
        <v>-561931</v>
      </c>
      <c r="M27" s="149">
        <f t="shared" si="1"/>
        <v>-0.56193099999999996</v>
      </c>
    </row>
    <row r="28" spans="1:22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-201560</v>
      </c>
      <c r="J28" s="147">
        <v>-586162</v>
      </c>
      <c r="K28" s="174"/>
      <c r="L28" s="171">
        <f t="shared" si="0"/>
        <v>-787722</v>
      </c>
      <c r="M28" s="149">
        <f t="shared" si="1"/>
        <v>-0.60594000000000003</v>
      </c>
      <c r="P28" s="133">
        <v>-14953</v>
      </c>
    </row>
    <row r="29" spans="1:22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-89589</v>
      </c>
      <c r="J29" s="147">
        <v>-259305</v>
      </c>
      <c r="K29" s="174"/>
      <c r="L29" s="171">
        <f t="shared" si="0"/>
        <v>-348894</v>
      </c>
      <c r="M29" s="149">
        <f t="shared" si="1"/>
        <v>-0.58148999999999995</v>
      </c>
      <c r="P29" s="133">
        <v>916223</v>
      </c>
      <c r="S29" s="133">
        <v>90975</v>
      </c>
      <c r="V29" s="133">
        <v>-38200</v>
      </c>
    </row>
    <row r="30" spans="1:22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-22345</v>
      </c>
      <c r="J30" s="147">
        <v>-65000</v>
      </c>
      <c r="K30" s="174"/>
      <c r="L30" s="171">
        <f t="shared" si="0"/>
        <v>-87345</v>
      </c>
      <c r="M30" s="149">
        <f t="shared" si="1"/>
        <v>-0.58230000000000004</v>
      </c>
      <c r="P30" s="133">
        <v>0</v>
      </c>
      <c r="S30" s="133">
        <v>-31616</v>
      </c>
      <c r="V30" s="133">
        <v>11900</v>
      </c>
    </row>
    <row r="31" spans="1:22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-22390</v>
      </c>
      <c r="J31" s="151">
        <v>-64850</v>
      </c>
      <c r="K31" s="174"/>
      <c r="L31" s="171">
        <f t="shared" si="0"/>
        <v>-87240</v>
      </c>
      <c r="M31" s="149">
        <f t="shared" si="1"/>
        <v>-0.69791999999999998</v>
      </c>
    </row>
    <row r="32" spans="1:22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-22164</v>
      </c>
      <c r="J32" s="151">
        <v>-64850</v>
      </c>
      <c r="K32" s="174"/>
      <c r="L32" s="171">
        <f t="shared" si="0"/>
        <v>-87014</v>
      </c>
      <c r="M32" s="149">
        <f t="shared" si="1"/>
        <v>-0.58009333333333335</v>
      </c>
      <c r="P32" s="133">
        <f>SUM(P27:P30)</f>
        <v>901270</v>
      </c>
      <c r="S32" s="133">
        <f>SUM(S29:S30)</f>
        <v>59359</v>
      </c>
    </row>
    <row r="33" spans="1:16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-486030</v>
      </c>
      <c r="J33" s="147">
        <v>0</v>
      </c>
      <c r="K33" s="174"/>
      <c r="L33" s="171">
        <f t="shared" si="0"/>
        <v>-486030</v>
      </c>
      <c r="M33" s="149">
        <f t="shared" si="1"/>
        <v>-0.97206000000000004</v>
      </c>
    </row>
    <row r="34" spans="1:16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55819</v>
      </c>
      <c r="I34" s="147">
        <v>-13694</v>
      </c>
      <c r="J34" s="147">
        <v>-164313</v>
      </c>
      <c r="K34" s="174"/>
      <c r="L34" s="171">
        <f t="shared" si="0"/>
        <v>-122188</v>
      </c>
      <c r="M34" s="149">
        <f t="shared" si="1"/>
        <v>-0.24437600000000001</v>
      </c>
    </row>
    <row r="35" spans="1:16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21610</v>
      </c>
      <c r="I35" s="147">
        <v>-39044</v>
      </c>
      <c r="J35" s="147">
        <v>1221</v>
      </c>
      <c r="K35" s="174"/>
      <c r="L35" s="171">
        <f t="shared" si="0"/>
        <v>-16213</v>
      </c>
      <c r="M35" s="149">
        <f t="shared" si="1"/>
        <v>-0.32425999999999999</v>
      </c>
    </row>
    <row r="36" spans="1:16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-5008</v>
      </c>
      <c r="I36" s="147">
        <v>0</v>
      </c>
      <c r="J36" s="147">
        <v>-11324</v>
      </c>
      <c r="K36" s="174"/>
      <c r="L36" s="171">
        <f t="shared" ref="L36:L61" si="2">SUM(H36:K36)</f>
        <v>-16332</v>
      </c>
      <c r="M36" s="149">
        <f t="shared" ref="M36:M61" si="3">IFERROR(L36/F36*100,0)/10000000</f>
        <v>-0.4083</v>
      </c>
      <c r="P36" s="134"/>
    </row>
    <row r="37" spans="1:16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0</v>
      </c>
      <c r="I37" s="147">
        <v>0</v>
      </c>
      <c r="J37" s="147">
        <v>0</v>
      </c>
      <c r="K37" s="174"/>
      <c r="L37" s="171">
        <f t="shared" si="2"/>
        <v>0</v>
      </c>
      <c r="M37" s="149">
        <f t="shared" si="3"/>
        <v>0</v>
      </c>
      <c r="O37" s="5"/>
      <c r="P37" s="134">
        <v>-14953</v>
      </c>
    </row>
    <row r="38" spans="1:16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0</v>
      </c>
      <c r="I38" s="147">
        <v>0</v>
      </c>
      <c r="J38" s="147">
        <v>0</v>
      </c>
      <c r="K38" s="174"/>
      <c r="L38" s="171">
        <f t="shared" si="2"/>
        <v>0</v>
      </c>
      <c r="M38" s="149">
        <f t="shared" si="3"/>
        <v>0</v>
      </c>
      <c r="O38" s="5"/>
      <c r="P38" s="134"/>
    </row>
    <row r="39" spans="1:16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7928</v>
      </c>
      <c r="I39" s="147">
        <v>16328</v>
      </c>
      <c r="J39" s="147">
        <v>-86885</v>
      </c>
      <c r="K39" s="174"/>
      <c r="L39" s="171">
        <f t="shared" si="2"/>
        <v>-62629</v>
      </c>
      <c r="M39" s="149">
        <f t="shared" si="3"/>
        <v>-0.1565725</v>
      </c>
      <c r="O39" s="134">
        <v>916223</v>
      </c>
      <c r="P39" s="134">
        <f>(O40+O39)/10000000*13780</f>
        <v>2504.5053539999999</v>
      </c>
    </row>
    <row r="40" spans="1:16" x14ac:dyDescent="0.25">
      <c r="A40" s="142" t="s">
        <v>104</v>
      </c>
      <c r="B40" s="143" t="s">
        <v>105</v>
      </c>
      <c r="C40" s="142" t="s">
        <v>156</v>
      </c>
      <c r="D40" s="142" t="s">
        <v>106</v>
      </c>
      <c r="E40" s="142" t="s">
        <v>106</v>
      </c>
      <c r="F40" s="156">
        <v>1</v>
      </c>
      <c r="G40" s="191"/>
      <c r="H40" s="147">
        <v>63900</v>
      </c>
      <c r="I40" s="147">
        <v>-18927</v>
      </c>
      <c r="J40" s="147">
        <v>29559</v>
      </c>
      <c r="K40" s="174"/>
      <c r="L40" s="171">
        <f t="shared" si="2"/>
        <v>74532</v>
      </c>
      <c r="M40" s="149">
        <f t="shared" si="3"/>
        <v>0.74531999999999998</v>
      </c>
      <c r="O40" s="134">
        <v>901270</v>
      </c>
      <c r="P40" s="134"/>
    </row>
    <row r="41" spans="1:16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-15212</v>
      </c>
      <c r="I41" s="147">
        <v>0</v>
      </c>
      <c r="J41" s="147">
        <v>-8067</v>
      </c>
      <c r="K41" s="174"/>
      <c r="L41" s="171">
        <f t="shared" si="2"/>
        <v>-23279</v>
      </c>
      <c r="M41" s="149">
        <f t="shared" si="3"/>
        <v>-0.46557999999999999</v>
      </c>
      <c r="O41" s="134"/>
      <c r="P41" s="134"/>
    </row>
    <row r="42" spans="1:16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0</v>
      </c>
      <c r="I42" s="147">
        <v>-44261</v>
      </c>
      <c r="J42" s="147">
        <v>-43441</v>
      </c>
      <c r="K42" s="174"/>
      <c r="L42" s="171">
        <f t="shared" si="2"/>
        <v>-87702</v>
      </c>
      <c r="M42" s="149">
        <f t="shared" si="3"/>
        <v>-0.29233999999999999</v>
      </c>
      <c r="O42" s="134"/>
      <c r="P42" s="134"/>
    </row>
    <row r="43" spans="1:16" ht="15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-10750</v>
      </c>
      <c r="I43" s="147">
        <v>-2320</v>
      </c>
      <c r="J43" s="147">
        <v>-55319</v>
      </c>
      <c r="K43" s="174"/>
      <c r="L43" s="171">
        <f t="shared" si="2"/>
        <v>-68389</v>
      </c>
      <c r="M43" s="149">
        <f t="shared" si="3"/>
        <v>-0.2279633333333333</v>
      </c>
      <c r="O43" s="134"/>
      <c r="P43" s="193">
        <f>P37-P39</f>
        <v>-17457.505354000001</v>
      </c>
    </row>
    <row r="44" spans="1:16" ht="21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-10920</v>
      </c>
      <c r="I44" s="147">
        <v>-2652</v>
      </c>
      <c r="J44" s="147">
        <v>-55340</v>
      </c>
      <c r="K44" s="174"/>
      <c r="L44" s="171">
        <f t="shared" si="2"/>
        <v>-68912</v>
      </c>
      <c r="M44" s="149">
        <f t="shared" si="3"/>
        <v>-0.2297066666666667</v>
      </c>
      <c r="O44" s="134"/>
      <c r="P44" s="193"/>
    </row>
    <row r="45" spans="1:16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-3782</v>
      </c>
      <c r="I45" s="147">
        <v>1025</v>
      </c>
      <c r="J45" s="147">
        <v>21323</v>
      </c>
      <c r="K45" s="174"/>
      <c r="L45" s="171">
        <f t="shared" si="2"/>
        <v>18566</v>
      </c>
      <c r="M45" s="149">
        <f t="shared" si="3"/>
        <v>1.8566</v>
      </c>
      <c r="O45" s="134"/>
    </row>
    <row r="46" spans="1:16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0.5</v>
      </c>
      <c r="G46" s="191"/>
      <c r="H46" s="147">
        <v>2268</v>
      </c>
      <c r="I46" s="147">
        <v>0</v>
      </c>
      <c r="J46" s="147">
        <v>0</v>
      </c>
      <c r="K46" s="174"/>
      <c r="L46" s="171">
        <f t="shared" si="2"/>
        <v>2268</v>
      </c>
      <c r="M46" s="149">
        <f t="shared" si="3"/>
        <v>4.5359999999999998E-2</v>
      </c>
    </row>
    <row r="47" spans="1:16" x14ac:dyDescent="0.25">
      <c r="A47" s="142"/>
      <c r="B47" s="143" t="s">
        <v>129</v>
      </c>
      <c r="C47" s="142" t="s">
        <v>307</v>
      </c>
      <c r="D47" s="142" t="s">
        <v>267</v>
      </c>
      <c r="E47" s="142" t="s">
        <v>256</v>
      </c>
      <c r="F47" s="156">
        <v>0.5</v>
      </c>
      <c r="G47" s="191"/>
      <c r="H47" s="147"/>
      <c r="I47" s="147">
        <v>0</v>
      </c>
      <c r="J47" s="147">
        <v>0</v>
      </c>
      <c r="K47" s="174"/>
      <c r="L47" s="171">
        <f t="shared" ref="L47" si="4">SUM(H47:K47)</f>
        <v>0</v>
      </c>
      <c r="M47" s="149">
        <f t="shared" ref="M47" si="5">IFERROR(L47/F47*100,0)/10000000</f>
        <v>0</v>
      </c>
    </row>
    <row r="48" spans="1:16" x14ac:dyDescent="0.25">
      <c r="A48" s="142" t="s">
        <v>48</v>
      </c>
      <c r="B48" s="141" t="s">
        <v>95</v>
      </c>
      <c r="C48" s="142" t="s">
        <v>228</v>
      </c>
      <c r="D48" s="142" t="s">
        <v>107</v>
      </c>
      <c r="E48" s="142" t="s">
        <v>107</v>
      </c>
      <c r="F48" s="156">
        <v>1</v>
      </c>
      <c r="G48" s="191"/>
      <c r="H48" s="147">
        <v>129300</v>
      </c>
      <c r="I48" s="147">
        <v>101803</v>
      </c>
      <c r="J48" s="147">
        <v>43953</v>
      </c>
      <c r="K48" s="174"/>
      <c r="L48" s="171">
        <f t="shared" si="2"/>
        <v>275056</v>
      </c>
      <c r="M48" s="149">
        <f t="shared" si="3"/>
        <v>2.7505600000000001</v>
      </c>
    </row>
    <row r="49" spans="1:13" x14ac:dyDescent="0.25">
      <c r="A49" s="142" t="s">
        <v>301</v>
      </c>
      <c r="B49" s="141" t="s">
        <v>295</v>
      </c>
      <c r="C49" s="163" t="s">
        <v>296</v>
      </c>
      <c r="D49" s="163"/>
      <c r="E49" s="163" t="s">
        <v>256</v>
      </c>
      <c r="F49" s="164">
        <v>0.1</v>
      </c>
      <c r="G49" s="191"/>
      <c r="H49" s="147">
        <v>-20</v>
      </c>
      <c r="I49" s="147">
        <v>916</v>
      </c>
      <c r="J49" s="147">
        <v>-1257</v>
      </c>
      <c r="K49" s="174"/>
      <c r="L49" s="171">
        <f t="shared" si="2"/>
        <v>-361</v>
      </c>
      <c r="M49" s="149">
        <f t="shared" si="3"/>
        <v>-3.61E-2</v>
      </c>
    </row>
    <row r="50" spans="1:13" x14ac:dyDescent="0.25">
      <c r="A50" s="142" t="s">
        <v>201</v>
      </c>
      <c r="B50" s="141" t="s">
        <v>169</v>
      </c>
      <c r="C50" s="163"/>
      <c r="D50" s="163"/>
      <c r="E50" s="163"/>
      <c r="F50" s="164">
        <v>1</v>
      </c>
      <c r="G50" s="191"/>
      <c r="H50" s="147">
        <v>-500</v>
      </c>
      <c r="I50" s="147">
        <v>-3065</v>
      </c>
      <c r="J50" s="147">
        <v>-5450</v>
      </c>
      <c r="K50" s="174"/>
      <c r="L50" s="171">
        <f t="shared" si="2"/>
        <v>-9015</v>
      </c>
      <c r="M50" s="149">
        <f t="shared" si="3"/>
        <v>-9.0149999999999994E-2</v>
      </c>
    </row>
    <row r="51" spans="1:13" x14ac:dyDescent="0.25">
      <c r="A51" s="143" t="s">
        <v>168</v>
      </c>
      <c r="B51" s="141" t="s">
        <v>169</v>
      </c>
      <c r="C51" s="59" t="s">
        <v>252</v>
      </c>
      <c r="D51" s="163" t="s">
        <v>253</v>
      </c>
      <c r="E51" s="163" t="s">
        <v>253</v>
      </c>
      <c r="F51" s="114">
        <v>4</v>
      </c>
      <c r="G51" s="191"/>
      <c r="H51" s="147">
        <v>0</v>
      </c>
      <c r="I51" s="147">
        <v>0</v>
      </c>
      <c r="J51" s="147">
        <v>0</v>
      </c>
      <c r="K51" s="174"/>
      <c r="L51" s="171">
        <f t="shared" si="2"/>
        <v>0</v>
      </c>
      <c r="M51" s="149">
        <f t="shared" si="3"/>
        <v>0</v>
      </c>
    </row>
    <row r="52" spans="1:13" x14ac:dyDescent="0.25">
      <c r="A52" s="143" t="s">
        <v>202</v>
      </c>
      <c r="B52" s="141" t="s">
        <v>169</v>
      </c>
      <c r="C52" s="59" t="s">
        <v>252</v>
      </c>
      <c r="D52" s="163" t="s">
        <v>116</v>
      </c>
      <c r="E52" s="163" t="s">
        <v>256</v>
      </c>
      <c r="F52" s="114">
        <v>4</v>
      </c>
      <c r="G52" s="191"/>
      <c r="H52" s="147">
        <v>-15000</v>
      </c>
      <c r="I52" s="147">
        <v>-128525</v>
      </c>
      <c r="J52" s="147">
        <v>0</v>
      </c>
      <c r="K52" s="174"/>
      <c r="L52" s="171">
        <f t="shared" si="2"/>
        <v>-143525</v>
      </c>
      <c r="M52" s="149">
        <f t="shared" si="3"/>
        <v>-0.35881249999999998</v>
      </c>
    </row>
    <row r="53" spans="1:13" x14ac:dyDescent="0.25">
      <c r="A53" s="143" t="s">
        <v>33</v>
      </c>
      <c r="B53" s="141" t="s">
        <v>14</v>
      </c>
      <c r="C53" s="143" t="s">
        <v>13</v>
      </c>
      <c r="D53" s="141" t="s">
        <v>14</v>
      </c>
      <c r="E53" s="141" t="s">
        <v>256</v>
      </c>
      <c r="F53" s="118">
        <v>3</v>
      </c>
      <c r="G53" s="197"/>
      <c r="H53" s="147">
        <v>-6036</v>
      </c>
      <c r="I53" s="147">
        <v>-204489</v>
      </c>
      <c r="J53" s="147">
        <v>-65102</v>
      </c>
      <c r="K53" s="174"/>
      <c r="L53" s="171">
        <f t="shared" si="2"/>
        <v>-275627</v>
      </c>
      <c r="M53" s="149">
        <f t="shared" si="3"/>
        <v>-0.91875666666666678</v>
      </c>
    </row>
    <row r="54" spans="1:13" x14ac:dyDescent="0.25">
      <c r="A54" s="59" t="s">
        <v>306</v>
      </c>
      <c r="B54" s="62" t="s">
        <v>304</v>
      </c>
      <c r="C54" s="59" t="s">
        <v>128</v>
      </c>
      <c r="D54" s="141"/>
      <c r="E54" s="141" t="s">
        <v>256</v>
      </c>
      <c r="F54" s="114">
        <v>5</v>
      </c>
      <c r="G54" s="23"/>
      <c r="H54" s="151">
        <v>-50</v>
      </c>
      <c r="I54" s="151">
        <v>-465047</v>
      </c>
      <c r="J54" s="151">
        <v>0</v>
      </c>
      <c r="K54" s="174"/>
      <c r="L54" s="171">
        <f t="shared" si="2"/>
        <v>-465097</v>
      </c>
      <c r="M54" s="149">
        <f t="shared" si="3"/>
        <v>-0.93019399999999997</v>
      </c>
    </row>
    <row r="55" spans="1:13" x14ac:dyDescent="0.25">
      <c r="A55" s="59" t="s">
        <v>197</v>
      </c>
      <c r="B55" s="62" t="s">
        <v>195</v>
      </c>
      <c r="C55" s="59" t="s">
        <v>196</v>
      </c>
      <c r="D55" s="142" t="s">
        <v>268</v>
      </c>
      <c r="E55" s="163" t="s">
        <v>256</v>
      </c>
      <c r="F55" s="114">
        <v>0.5</v>
      </c>
      <c r="G55" s="23"/>
      <c r="H55" s="151">
        <v>2711</v>
      </c>
      <c r="I55" s="151">
        <v>0</v>
      </c>
      <c r="J55" s="151">
        <v>-5750</v>
      </c>
      <c r="K55" s="174"/>
      <c r="L55" s="171">
        <f t="shared" si="2"/>
        <v>-3039</v>
      </c>
      <c r="M55" s="149">
        <f t="shared" si="3"/>
        <v>-6.0780000000000001E-2</v>
      </c>
    </row>
    <row r="56" spans="1:13" x14ac:dyDescent="0.25">
      <c r="A56" s="59" t="s">
        <v>213</v>
      </c>
      <c r="B56" s="62" t="s">
        <v>209</v>
      </c>
      <c r="C56" s="59" t="s">
        <v>210</v>
      </c>
      <c r="D56" s="62" t="s">
        <v>209</v>
      </c>
      <c r="E56" s="62" t="s">
        <v>256</v>
      </c>
      <c r="F56" s="114">
        <v>4</v>
      </c>
      <c r="G56" s="23"/>
      <c r="H56" s="151">
        <v>28030</v>
      </c>
      <c r="I56" s="151">
        <v>-105716</v>
      </c>
      <c r="J56" s="151">
        <v>0</v>
      </c>
      <c r="K56" s="174"/>
      <c r="L56" s="171">
        <f t="shared" si="2"/>
        <v>-77686</v>
      </c>
      <c r="M56" s="149">
        <f t="shared" si="3"/>
        <v>-0.194215</v>
      </c>
    </row>
    <row r="57" spans="1:13" x14ac:dyDescent="0.25">
      <c r="A57" s="59" t="s">
        <v>214</v>
      </c>
      <c r="B57" s="62" t="s">
        <v>209</v>
      </c>
      <c r="C57" s="59" t="s">
        <v>211</v>
      </c>
      <c r="D57" s="62" t="s">
        <v>209</v>
      </c>
      <c r="E57" s="62" t="s">
        <v>256</v>
      </c>
      <c r="F57" s="114">
        <v>1.25</v>
      </c>
      <c r="G57" s="23"/>
      <c r="H57" s="151">
        <v>-32912</v>
      </c>
      <c r="I57" s="151">
        <v>32287</v>
      </c>
      <c r="J57" s="151">
        <v>0</v>
      </c>
      <c r="K57" s="174"/>
      <c r="L57" s="171">
        <f t="shared" si="2"/>
        <v>-625</v>
      </c>
      <c r="M57" s="149">
        <f t="shared" si="3"/>
        <v>-5.0000000000000001E-3</v>
      </c>
    </row>
    <row r="58" spans="1:13" x14ac:dyDescent="0.25">
      <c r="A58" s="59" t="s">
        <v>49</v>
      </c>
      <c r="B58" s="59" t="s">
        <v>99</v>
      </c>
      <c r="C58" s="59" t="s">
        <v>100</v>
      </c>
      <c r="D58" s="59" t="s">
        <v>99</v>
      </c>
      <c r="E58" s="59" t="s">
        <v>256</v>
      </c>
      <c r="F58" s="114">
        <v>3</v>
      </c>
      <c r="G58" s="23"/>
      <c r="H58" s="151">
        <v>0</v>
      </c>
      <c r="I58" s="151">
        <v>-241366</v>
      </c>
      <c r="J58" s="151">
        <v>0</v>
      </c>
      <c r="K58" s="174"/>
      <c r="L58" s="171">
        <f t="shared" si="2"/>
        <v>-241366</v>
      </c>
      <c r="M58" s="149">
        <f t="shared" si="3"/>
        <v>-0.80455333333333334</v>
      </c>
    </row>
    <row r="59" spans="1:13" ht="17.25" customHeight="1" x14ac:dyDescent="0.25">
      <c r="A59" s="59" t="s">
        <v>41</v>
      </c>
      <c r="B59" s="59" t="s">
        <v>86</v>
      </c>
      <c r="C59" s="59" t="s">
        <v>305</v>
      </c>
      <c r="D59" s="59" t="s">
        <v>86</v>
      </c>
      <c r="E59" s="59" t="s">
        <v>256</v>
      </c>
      <c r="F59" s="114">
        <v>2.5</v>
      </c>
      <c r="G59" s="23"/>
      <c r="H59" s="151">
        <v>-5904</v>
      </c>
      <c r="I59" s="151">
        <v>-9620</v>
      </c>
      <c r="J59" s="151">
        <v>7757</v>
      </c>
      <c r="K59" s="174"/>
      <c r="L59" s="171">
        <f t="shared" si="2"/>
        <v>-7767</v>
      </c>
      <c r="M59" s="149">
        <f t="shared" si="3"/>
        <v>-3.1067999999999998E-2</v>
      </c>
    </row>
    <row r="60" spans="1:13" x14ac:dyDescent="0.25">
      <c r="A60" s="59" t="s">
        <v>300</v>
      </c>
      <c r="B60" s="59" t="s">
        <v>286</v>
      </c>
      <c r="C60" s="59" t="s">
        <v>299</v>
      </c>
      <c r="D60" s="59"/>
      <c r="E60" s="59" t="s">
        <v>256</v>
      </c>
      <c r="F60" s="114">
        <v>0.25</v>
      </c>
      <c r="G60" s="23"/>
      <c r="H60" s="151">
        <v>1981</v>
      </c>
      <c r="I60" s="151">
        <v>-2232</v>
      </c>
      <c r="J60" s="151">
        <v>-3400</v>
      </c>
      <c r="K60" s="174"/>
      <c r="L60" s="171">
        <f t="shared" si="2"/>
        <v>-3651</v>
      </c>
      <c r="M60" s="149">
        <f t="shared" si="3"/>
        <v>-0.14604</v>
      </c>
    </row>
    <row r="61" spans="1:13" ht="17.25" customHeight="1" x14ac:dyDescent="0.25">
      <c r="A61" s="59" t="s">
        <v>288</v>
      </c>
      <c r="B61" s="59" t="s">
        <v>286</v>
      </c>
      <c r="C61" s="59" t="s">
        <v>285</v>
      </c>
      <c r="D61" s="59"/>
      <c r="E61" s="59" t="s">
        <v>287</v>
      </c>
      <c r="F61" s="114">
        <v>5</v>
      </c>
      <c r="G61" s="23"/>
      <c r="H61" s="151">
        <v>4563</v>
      </c>
      <c r="I61" s="151">
        <v>-67582</v>
      </c>
      <c r="J61" s="151">
        <v>-6980</v>
      </c>
      <c r="K61" s="174"/>
      <c r="L61" s="171">
        <f t="shared" si="2"/>
        <v>-69999</v>
      </c>
      <c r="M61" s="149">
        <f t="shared" si="3"/>
        <v>-0.13999800000000001</v>
      </c>
    </row>
    <row r="62" spans="1:13" ht="15.75" thickBot="1" x14ac:dyDescent="0.3">
      <c r="A62" s="20"/>
      <c r="B62" s="21"/>
      <c r="C62" s="20"/>
      <c r="D62" s="22"/>
      <c r="E62" s="22"/>
      <c r="F62" s="114"/>
      <c r="G62" s="23"/>
      <c r="H62" s="151"/>
      <c r="I62" s="151"/>
      <c r="J62" s="151"/>
      <c r="K62" s="174"/>
      <c r="L62" s="171"/>
      <c r="M62" s="149"/>
    </row>
    <row r="63" spans="1:13" ht="15.75" thickBot="1" x14ac:dyDescent="0.3">
      <c r="A63" s="24"/>
      <c r="B63" s="25"/>
      <c r="C63" s="26"/>
      <c r="D63" s="24"/>
      <c r="E63" s="24"/>
      <c r="F63" s="115"/>
      <c r="G63" s="16"/>
      <c r="H63" s="254">
        <f>SUM(H4:H61)</f>
        <v>662501</v>
      </c>
      <c r="I63" s="254">
        <f>SUM(I4:I61)</f>
        <v>-3280810</v>
      </c>
      <c r="J63" s="254">
        <f>SUM(J4:J61)</f>
        <v>-2455834</v>
      </c>
      <c r="K63" s="254">
        <f>SUM(K4:K61)</f>
        <v>0</v>
      </c>
      <c r="L63" s="254">
        <f>SUM(H63:K63)</f>
        <v>-5074143</v>
      </c>
      <c r="M63" s="255">
        <f>IFERROR(L63/F63*100,0)/10000000</f>
        <v>0</v>
      </c>
    </row>
    <row r="64" spans="1:13" s="249" customFormat="1" ht="15.75" thickBot="1" x14ac:dyDescent="0.3">
      <c r="A64" s="250"/>
      <c r="B64" s="250"/>
      <c r="C64" s="250"/>
      <c r="D64" s="250"/>
      <c r="E64" s="250"/>
      <c r="F64" s="251"/>
      <c r="G64" s="250"/>
      <c r="H64" s="250"/>
      <c r="I64" s="250"/>
      <c r="J64" s="250"/>
      <c r="K64" s="250"/>
      <c r="L64" s="250"/>
      <c r="M64" s="252"/>
    </row>
    <row r="65" spans="1:17" x14ac:dyDescent="0.25">
      <c r="A65" s="202" t="s">
        <v>241</v>
      </c>
      <c r="B65" s="203" t="s">
        <v>240</v>
      </c>
      <c r="C65" s="203" t="s">
        <v>57</v>
      </c>
      <c r="D65" s="203" t="s">
        <v>87</v>
      </c>
      <c r="E65" s="203" t="s">
        <v>256</v>
      </c>
      <c r="F65" s="204">
        <v>3</v>
      </c>
      <c r="G65" s="205"/>
      <c r="H65" s="162">
        <v>4780</v>
      </c>
      <c r="I65" s="162">
        <v>-77556</v>
      </c>
      <c r="J65" s="162">
        <v>0</v>
      </c>
      <c r="K65" s="246"/>
      <c r="L65" s="247">
        <f>SUM(H65:K65)</f>
        <v>-72776</v>
      </c>
      <c r="M65" s="248">
        <f>IFERROR(L65/F65*100,0)/10000000</f>
        <v>-0.2425866666666667</v>
      </c>
      <c r="P65" s="134"/>
    </row>
    <row r="66" spans="1:17" x14ac:dyDescent="0.25">
      <c r="A66" s="202" t="s">
        <v>273</v>
      </c>
      <c r="B66" s="203" t="s">
        <v>272</v>
      </c>
      <c r="C66" s="203" t="s">
        <v>57</v>
      </c>
      <c r="D66" s="203" t="s">
        <v>87</v>
      </c>
      <c r="E66" s="203" t="s">
        <v>256</v>
      </c>
      <c r="F66" s="204"/>
      <c r="G66" s="205"/>
      <c r="H66" s="162">
        <v>0</v>
      </c>
      <c r="I66" s="162">
        <v>-310900</v>
      </c>
      <c r="J66" s="162">
        <v>0</v>
      </c>
      <c r="K66" s="174"/>
      <c r="L66" s="171">
        <f>SUM(H66:K66)</f>
        <v>-310900</v>
      </c>
      <c r="M66" s="149">
        <f>IFERROR(L66/F66*100,0)/10000000</f>
        <v>0</v>
      </c>
      <c r="O66" s="134"/>
    </row>
    <row r="67" spans="1:17" ht="15.75" thickBot="1" x14ac:dyDescent="0.3">
      <c r="A67" s="198"/>
      <c r="B67" s="20"/>
      <c r="C67" s="20"/>
      <c r="D67" s="20"/>
      <c r="E67" s="20"/>
      <c r="F67" s="114"/>
      <c r="G67" s="199"/>
      <c r="H67" s="151"/>
      <c r="I67" s="151"/>
      <c r="J67" s="151"/>
      <c r="K67" s="175"/>
      <c r="L67" s="172"/>
      <c r="M67" s="66"/>
      <c r="O67" s="237"/>
      <c r="P67" s="134"/>
      <c r="Q67" s="237"/>
    </row>
    <row r="68" spans="1:17" ht="15.75" thickBot="1" x14ac:dyDescent="0.3">
      <c r="A68" s="200"/>
      <c r="B68" s="16"/>
      <c r="C68" s="16"/>
      <c r="D68" s="16"/>
      <c r="E68" s="16"/>
      <c r="F68" s="74"/>
      <c r="G68" s="17"/>
      <c r="H68" s="170">
        <f>SUM(H65:H66)</f>
        <v>4780</v>
      </c>
      <c r="I68" s="170">
        <f>SUM(I65:I66)</f>
        <v>-388456</v>
      </c>
      <c r="J68" s="170">
        <f>SUM(J65:J66)</f>
        <v>0</v>
      </c>
      <c r="K68" s="170">
        <f>SUM(K65:K66)</f>
        <v>0</v>
      </c>
      <c r="L68" s="254">
        <f>SUM(H68:K68)</f>
        <v>-383676</v>
      </c>
      <c r="M68" s="19"/>
      <c r="O68" s="5"/>
      <c r="P68" s="134"/>
      <c r="Q68" s="237"/>
    </row>
    <row r="69" spans="1:17" x14ac:dyDescent="0.25">
      <c r="O69" s="134"/>
      <c r="P69" s="134"/>
      <c r="Q69" s="237"/>
    </row>
    <row r="70" spans="1:17" x14ac:dyDescent="0.25">
      <c r="O70" s="134"/>
      <c r="P70" s="134"/>
      <c r="Q70" s="237"/>
    </row>
    <row r="71" spans="1:17" x14ac:dyDescent="0.25">
      <c r="O71" s="134"/>
      <c r="P71" s="134"/>
      <c r="Q71" s="237"/>
    </row>
    <row r="72" spans="1:17" x14ac:dyDescent="0.25">
      <c r="O72" s="134"/>
      <c r="P72" s="134"/>
      <c r="Q72" s="237"/>
    </row>
    <row r="73" spans="1:17" x14ac:dyDescent="0.25">
      <c r="O73" s="134"/>
      <c r="P73" s="237"/>
      <c r="Q73" s="237"/>
    </row>
    <row r="74" spans="1:17" x14ac:dyDescent="0.25">
      <c r="O74" s="237"/>
      <c r="P74" s="237"/>
      <c r="Q74" s="237"/>
    </row>
  </sheetData>
  <conditionalFormatting sqref="G2 A3:G3 M43:M44 M51:M53 M63:M64 M46 M9:M17 M23:M24 M19:M21 L9:L24 L5:M8 L26:L46 M26:M39 L61:M62 L50:L53 M68 L54:M59 H2:M3 A65:M67 A63:G63 L48:M48 A4:K62 A68:K68">
    <cfRule type="expression" dxfId="388" priority="16">
      <formula>MOD(ROW(),2)=0</formula>
    </cfRule>
  </conditionalFormatting>
  <conditionalFormatting sqref="M40">
    <cfRule type="expression" dxfId="387" priority="15">
      <formula>MOD(ROW(),2)=0</formula>
    </cfRule>
  </conditionalFormatting>
  <conditionalFormatting sqref="M42">
    <cfRule type="expression" dxfId="386" priority="14">
      <formula>MOD(ROW(),2)=0</formula>
    </cfRule>
  </conditionalFormatting>
  <conditionalFormatting sqref="L4:M4">
    <cfRule type="expression" dxfId="385" priority="13">
      <formula>MOD(ROW(),2)=0</formula>
    </cfRule>
  </conditionalFormatting>
  <conditionalFormatting sqref="M41">
    <cfRule type="expression" dxfId="384" priority="12">
      <formula>MOD(ROW(),2)=0</formula>
    </cfRule>
  </conditionalFormatting>
  <conditionalFormatting sqref="M18">
    <cfRule type="expression" dxfId="383" priority="11">
      <formula>MOD(ROW(),2)=0</formula>
    </cfRule>
  </conditionalFormatting>
  <conditionalFormatting sqref="M50">
    <cfRule type="expression" dxfId="382" priority="10">
      <formula>MOD(ROW(),2)=0</formula>
    </cfRule>
  </conditionalFormatting>
  <conditionalFormatting sqref="M22">
    <cfRule type="expression" dxfId="381" priority="9">
      <formula>MOD(ROW(),2)=0</formula>
    </cfRule>
  </conditionalFormatting>
  <conditionalFormatting sqref="L63">
    <cfRule type="expression" dxfId="380" priority="8">
      <formula>MOD(ROW(),2)=0</formula>
    </cfRule>
  </conditionalFormatting>
  <conditionalFormatting sqref="M45">
    <cfRule type="expression" dxfId="379" priority="7">
      <formula>MOD(ROW(),2)=0</formula>
    </cfRule>
  </conditionalFormatting>
  <conditionalFormatting sqref="L25:M25">
    <cfRule type="expression" dxfId="378" priority="6">
      <formula>MOD(ROW(),2)=0</formula>
    </cfRule>
  </conditionalFormatting>
  <conditionalFormatting sqref="L60:M60">
    <cfRule type="expression" dxfId="377" priority="5">
      <formula>MOD(ROW(),2)=0</formula>
    </cfRule>
  </conditionalFormatting>
  <conditionalFormatting sqref="L49:M49">
    <cfRule type="expression" dxfId="376" priority="4">
      <formula>MOD(ROW(),2)=0</formula>
    </cfRule>
  </conditionalFormatting>
  <conditionalFormatting sqref="L68">
    <cfRule type="expression" dxfId="375" priority="3">
      <formula>MOD(ROW(),2)=0</formula>
    </cfRule>
  </conditionalFormatting>
  <conditionalFormatting sqref="H63:K63">
    <cfRule type="expression" dxfId="374" priority="2">
      <formula>MOD(ROW(),2)=0</formula>
    </cfRule>
  </conditionalFormatting>
  <conditionalFormatting sqref="L47:M47">
    <cfRule type="expression" dxfId="373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AH34" sqref="AH34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217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/>
      <c r="B21" s="141" t="s">
        <v>111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/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156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62">
    <cfRule type="expression" dxfId="372" priority="18">
      <formula>MOD(ROW(),2)=0</formula>
    </cfRule>
  </conditionalFormatting>
  <conditionalFormatting sqref="AF40">
    <cfRule type="expression" dxfId="371" priority="17">
      <formula>MOD(ROW(),2)=0</formula>
    </cfRule>
  </conditionalFormatting>
  <conditionalFormatting sqref="AF42">
    <cfRule type="expression" dxfId="370" priority="16">
      <formula>MOD(ROW(),2)=0</formula>
    </cfRule>
  </conditionalFormatting>
  <conditionalFormatting sqref="AE4:AF4">
    <cfRule type="expression" dxfId="369" priority="14">
      <formula>MOD(ROW(),2)=0</formula>
    </cfRule>
  </conditionalFormatting>
  <conditionalFormatting sqref="AF41">
    <cfRule type="expression" dxfId="368" priority="12">
      <formula>MOD(ROW(),2)=0</formula>
    </cfRule>
  </conditionalFormatting>
  <conditionalFormatting sqref="AF18">
    <cfRule type="expression" dxfId="367" priority="11">
      <formula>MOD(ROW(),2)=0</formula>
    </cfRule>
  </conditionalFormatting>
  <conditionalFormatting sqref="AF49">
    <cfRule type="expression" dxfId="366" priority="10">
      <formula>MOD(ROW(),2)=0</formula>
    </cfRule>
  </conditionalFormatting>
  <conditionalFormatting sqref="AF22">
    <cfRule type="expression" dxfId="365" priority="9">
      <formula>MOD(ROW(),2)=0</formula>
    </cfRule>
  </conditionalFormatting>
  <conditionalFormatting sqref="AE62">
    <cfRule type="expression" dxfId="364" priority="8">
      <formula>MOD(ROW(),2)=0</formula>
    </cfRule>
  </conditionalFormatting>
  <conditionalFormatting sqref="AF45">
    <cfRule type="expression" dxfId="363" priority="7">
      <formula>MOD(ROW(),2)=0</formula>
    </cfRule>
  </conditionalFormatting>
  <conditionalFormatting sqref="AE25:AF25">
    <cfRule type="expression" dxfId="362" priority="4">
      <formula>MOD(ROW(),2)=0</formula>
    </cfRule>
  </conditionalFormatting>
  <conditionalFormatting sqref="AE59:AF59">
    <cfRule type="expression" dxfId="361" priority="3">
      <formula>MOD(ROW(),2)=0</formula>
    </cfRule>
  </conditionalFormatting>
  <conditionalFormatting sqref="AE48:AF48">
    <cfRule type="expression" dxfId="360" priority="2">
      <formula>MOD(ROW(),2)=0</formula>
    </cfRule>
  </conditionalFormatting>
  <conditionalFormatting sqref="AE67">
    <cfRule type="expression" dxfId="359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67"/>
  <sheetViews>
    <sheetView topLeftCell="A43" workbookViewId="0">
      <selection activeCell="A53" sqref="A53:F53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IFERROR(VLOOKUP($A$3:$A$122,'JULY-2026'!$A$4:$ACS$118,MATCH('FY-(26-27)Q2'!$G$2:$H$2,'JULY-2026'!$A$2:$CT$2,0),0),0)</f>
        <v>-16641</v>
      </c>
      <c r="H4" s="155">
        <f>IFERROR(VLOOKUP($A$3:$A$122,'JULY-2026'!$A$4:$ACS$118,MATCH('FY-(26-27)Q2'!$G$2:$H$2,'JULY-2026'!$A$2:$CT$2,0),0),0)</f>
        <v>-0.33282</v>
      </c>
      <c r="I4" s="153">
        <f>IFERROR(VLOOKUP($A$3:$A$122,'AUG-2026'!$A$4:$ACU$119,MATCH('FY-(26-27)Q2'!$I$2:$J$2,'AUG-2026'!$A$2:$CV$2,0),0),0)</f>
        <v>-11682</v>
      </c>
      <c r="J4" s="155">
        <f>IFERROR(VLOOKUP($A$3:$A$122,'AUG-2026'!$A$4:$ACU$119,MATCH('FY-(26-27)Q2'!$I$2:$J$2,'AUG-2026'!$A$2:$CV$2,0),0),0)</f>
        <v>-0.23363999999999999</v>
      </c>
      <c r="K4" s="153">
        <f>IFERROR(VLOOKUP($A$3:$A$122,'[1]SEP-2026'!$A$4:$ADI$113,MATCH('FY-(26-27)Q2'!$K$2:$L$2,'[1]SEP-2026'!$A$2:$DJ$2,0),0),0)</f>
        <v>0</v>
      </c>
      <c r="L4" s="155">
        <f>IFERROR(VLOOKUP($A$3:$A$122,'[1]SEP-2026'!$A$4:$ADI$113,MATCH('FY-(26-27)Q2'!$K$2:$L$2,'[1]SEP-2026'!$A$2:$DJ$2,0),0),0)</f>
        <v>0</v>
      </c>
      <c r="M4" s="71">
        <f t="shared" ref="M4:N58" si="0">G4+I4+K4</f>
        <v>-28323</v>
      </c>
      <c r="N4" s="166">
        <f t="shared" si="0"/>
        <v>-0.56645999999999996</v>
      </c>
    </row>
    <row r="5" spans="1:14" x14ac:dyDescent="0.25">
      <c r="A5" s="142" t="s">
        <v>30</v>
      </c>
      <c r="B5" s="141" t="s">
        <v>175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IFERROR(VLOOKUP($A$3:$A$122,'JULY-2026'!$A$4:$ACS$118,MATCH('FY-(26-27)Q2'!$G$2:$H$2,'JULY-2026'!$A$2:$CT$2,0),0),0)</f>
        <v>130806</v>
      </c>
      <c r="H5" s="155">
        <f>IFERROR(VLOOKUP($A$3:$A$122,'JULY-2026'!$A$4:$ACS$118,MATCH('FY-(26-27)Q2'!$G$2:$H$2,'JULY-2026'!$A$2:$CT$2,0),0),0)</f>
        <v>0.43602000000000002</v>
      </c>
      <c r="I5" s="153">
        <f>IFERROR(VLOOKUP($A$3:$A$122,'AUG-2026'!$A$4:$ACU$119,MATCH('FY-(26-27)Q2'!$I$2:$J$2,'AUG-2026'!$A$2:$CV$2,0),0),0)</f>
        <v>-196109</v>
      </c>
      <c r="J5" s="155">
        <f>IFERROR(VLOOKUP($A$3:$A$122,'AUG-2026'!$A$4:$ACU$119,MATCH('FY-(26-27)Q2'!$I$2:$J$2,'AUG-2026'!$A$2:$CV$2,0),0),0)</f>
        <v>-0.65369666666666659</v>
      </c>
      <c r="K5" s="153">
        <f>IFERROR(VLOOKUP($A$3:$A$122,'[1]SEP-2026'!$A$4:$ADI$113,MATCH('FY-(26-27)Q2'!$K$2:$L$2,'[1]SEP-2026'!$A$2:$DJ$2,0),0),0)</f>
        <v>0</v>
      </c>
      <c r="L5" s="155">
        <f>IFERROR(VLOOKUP($A$3:$A$122,'[1]SEP-2026'!$A$4:$ADI$113,MATCH('FY-(26-27)Q2'!$K$2:$L$2,'[1]SEP-2026'!$A$2:$DJ$2,0),0),0)</f>
        <v>0</v>
      </c>
      <c r="M5" s="71">
        <f t="shared" si="0"/>
        <v>-65303</v>
      </c>
      <c r="N5" s="166">
        <f t="shared" si="0"/>
        <v>-0.21767666666666657</v>
      </c>
    </row>
    <row r="6" spans="1:14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38" t="s">
        <v>256</v>
      </c>
      <c r="F6" s="156">
        <v>3</v>
      </c>
      <c r="G6" s="153">
        <f>IFERROR(VLOOKUP($A$3:$A$122,'JULY-2026'!$A$4:$ACS$118,MATCH('FY-(26-27)Q2'!$G$2:$H$2,'JULY-2026'!$A$2:$CT$2,0),0),0)</f>
        <v>39738</v>
      </c>
      <c r="H6" s="155">
        <f>IFERROR(VLOOKUP($A$3:$A$122,'JULY-2026'!$A$4:$ACS$118,MATCH('FY-(26-27)Q2'!$G$2:$H$2,'JULY-2026'!$A$2:$CT$2,0),0),0)</f>
        <v>0.13245999999999999</v>
      </c>
      <c r="I6" s="153">
        <f>IFERROR(VLOOKUP($A$3:$A$122,'AUG-2026'!$A$4:$ACU$119,MATCH('FY-(26-27)Q2'!$I$2:$J$2,'AUG-2026'!$A$2:$CV$2,0),0),0)</f>
        <v>14042</v>
      </c>
      <c r="J6" s="155">
        <f>IFERROR(VLOOKUP($A$3:$A$122,'AUG-2026'!$A$4:$ACU$119,MATCH('FY-(26-27)Q2'!$I$2:$J$2,'AUG-2026'!$A$2:$CV$2,0),0),0)</f>
        <v>4.680666666666667E-2</v>
      </c>
      <c r="K6" s="153">
        <f>IFERROR(VLOOKUP($A$3:$A$122,'[1]SEP-2026'!$A$4:$ADI$113,MATCH('FY-(26-27)Q2'!$K$2:$L$2,'[1]SEP-2026'!$A$2:$DJ$2,0),0),0)</f>
        <v>0</v>
      </c>
      <c r="L6" s="155">
        <f>IFERROR(VLOOKUP($A$3:$A$122,'[1]SEP-2026'!$A$4:$ADI$113,MATCH('FY-(26-27)Q2'!$K$2:$L$2,'[1]SEP-2026'!$A$2:$DJ$2,0),0),0)</f>
        <v>0</v>
      </c>
      <c r="M6" s="71">
        <f t="shared" si="0"/>
        <v>53780</v>
      </c>
      <c r="N6" s="166">
        <f t="shared" si="0"/>
        <v>0.17926666666666666</v>
      </c>
    </row>
    <row r="7" spans="1:14" x14ac:dyDescent="0.25">
      <c r="A7" s="142" t="s">
        <v>217</v>
      </c>
      <c r="B7" s="141" t="s">
        <v>133</v>
      </c>
      <c r="C7" s="141" t="s">
        <v>96</v>
      </c>
      <c r="D7" s="38" t="s">
        <v>116</v>
      </c>
      <c r="E7" s="38" t="s">
        <v>256</v>
      </c>
      <c r="F7" s="156">
        <v>1.5</v>
      </c>
      <c r="G7" s="153">
        <f>IFERROR(VLOOKUP($A$3:$A$122,'JULY-2026'!$A$4:$ACS$118,MATCH('FY-(26-27)Q2'!$G$2:$H$2,'JULY-2026'!$A$2:$CT$2,0),0),0)</f>
        <v>-318482</v>
      </c>
      <c r="H7" s="155">
        <f>IFERROR(VLOOKUP($A$3:$A$122,'JULY-2026'!$A$4:$ACS$118,MATCH('FY-(26-27)Q2'!$G$2:$H$2,'JULY-2026'!$A$2:$CT$2,0),0),0)</f>
        <v>-2.1232133333333336</v>
      </c>
      <c r="I7" s="153">
        <f>IFERROR(VLOOKUP($A$3:$A$122,'AUG-2026'!$A$4:$ACU$119,MATCH('FY-(26-27)Q2'!$I$2:$J$2,'AUG-2026'!$A$2:$CV$2,0),0),0)</f>
        <v>33535</v>
      </c>
      <c r="J7" s="155">
        <f>IFERROR(VLOOKUP($A$3:$A$122,'AUG-2026'!$A$4:$ACU$119,MATCH('FY-(26-27)Q2'!$I$2:$J$2,'AUG-2026'!$A$2:$CV$2,0),0),0)</f>
        <v>0.22356666666666669</v>
      </c>
      <c r="K7" s="153">
        <f>IFERROR(VLOOKUP($A$3:$A$122,'[1]SEP-2026'!$A$4:$ADI$113,MATCH('FY-(26-27)Q2'!$K$2:$L$2,'[1]SEP-2026'!$A$2:$DJ$2,0),0),0)</f>
        <v>0</v>
      </c>
      <c r="L7" s="155">
        <f>IFERROR(VLOOKUP($A$3:$A$122,'[1]SEP-2026'!$A$4:$ADI$113,MATCH('FY-(26-27)Q2'!$K$2:$L$2,'[1]SEP-2026'!$A$2:$DJ$2,0),0),0)</f>
        <v>0</v>
      </c>
      <c r="M7" s="71">
        <f t="shared" si="0"/>
        <v>-284947</v>
      </c>
      <c r="N7" s="166">
        <f t="shared" si="0"/>
        <v>-1.8996466666666669</v>
      </c>
    </row>
    <row r="8" spans="1:14" x14ac:dyDescent="0.25">
      <c r="A8" s="143" t="s">
        <v>35</v>
      </c>
      <c r="B8" s="141" t="s">
        <v>55</v>
      </c>
      <c r="C8" s="141" t="s">
        <v>79</v>
      </c>
      <c r="D8" s="143" t="s">
        <v>112</v>
      </c>
      <c r="E8" s="143" t="s">
        <v>256</v>
      </c>
      <c r="F8" s="157">
        <v>15</v>
      </c>
      <c r="G8" s="153">
        <f>IFERROR(VLOOKUP($A$3:$A$122,'JULY-2026'!$A$4:$ACS$118,MATCH('FY-(26-27)Q2'!$G$2:$H$2,'JULY-2026'!$A$2:$CT$2,0),0),0)</f>
        <v>2336276</v>
      </c>
      <c r="H8" s="155">
        <f>IFERROR(VLOOKUP($A$3:$A$122,'JULY-2026'!$A$4:$ACS$118,MATCH('FY-(26-27)Q2'!$G$2:$H$2,'JULY-2026'!$A$2:$CT$2,0),0),0)</f>
        <v>1.5575173333333334</v>
      </c>
      <c r="I8" s="153">
        <f>IFERROR(VLOOKUP($A$3:$A$122,'AUG-2026'!$A$4:$ACU$119,MATCH('FY-(26-27)Q2'!$I$2:$J$2,'AUG-2026'!$A$2:$CV$2,0),0),0)</f>
        <v>-814500</v>
      </c>
      <c r="J8" s="155">
        <f>IFERROR(VLOOKUP($A$3:$A$122,'AUG-2026'!$A$4:$ACU$119,MATCH('FY-(26-27)Q2'!$I$2:$J$2,'AUG-2026'!$A$2:$CV$2,0),0),0)</f>
        <v>-0.54300000000000004</v>
      </c>
      <c r="K8" s="153">
        <f>IFERROR(VLOOKUP($A$3:$A$122,'[1]SEP-2026'!$A$4:$ADI$113,MATCH('FY-(26-27)Q2'!$K$2:$L$2,'[1]SEP-2026'!$A$2:$DJ$2,0),0),0)</f>
        <v>0</v>
      </c>
      <c r="L8" s="155">
        <f>IFERROR(VLOOKUP($A$3:$A$122,'[1]SEP-2026'!$A$4:$ADI$113,MATCH('FY-(26-27)Q2'!$K$2:$L$2,'[1]SEP-2026'!$A$2:$DJ$2,0),0),0)</f>
        <v>0</v>
      </c>
      <c r="M8" s="71">
        <f t="shared" si="0"/>
        <v>1521776</v>
      </c>
      <c r="N8" s="166">
        <f t="shared" si="0"/>
        <v>1.0145173333333335</v>
      </c>
    </row>
    <row r="9" spans="1:14" x14ac:dyDescent="0.25">
      <c r="A9" s="143" t="s">
        <v>137</v>
      </c>
      <c r="B9" s="141" t="s">
        <v>122</v>
      </c>
      <c r="C9" s="141" t="s">
        <v>136</v>
      </c>
      <c r="D9" s="143" t="s">
        <v>259</v>
      </c>
      <c r="E9" s="39" t="s">
        <v>256</v>
      </c>
      <c r="F9" s="157">
        <v>6</v>
      </c>
      <c r="G9" s="153">
        <f>IFERROR(VLOOKUP($A$3:$A$122,'JULY-2026'!$A$4:$ACS$118,MATCH('FY-(26-27)Q2'!$G$2:$H$2,'JULY-2026'!$A$2:$CT$2,0),0),0)</f>
        <v>405946</v>
      </c>
      <c r="H9" s="155">
        <f>IFERROR(VLOOKUP($A$3:$A$122,'JULY-2026'!$A$4:$ACS$118,MATCH('FY-(26-27)Q2'!$G$2:$H$2,'JULY-2026'!$A$2:$CT$2,0),0),0)</f>
        <v>0.67657666666666672</v>
      </c>
      <c r="I9" s="153">
        <f>IFERROR(VLOOKUP($A$3:$A$122,'AUG-2026'!$A$4:$ACU$119,MATCH('FY-(26-27)Q2'!$I$2:$J$2,'AUG-2026'!$A$2:$CV$2,0),0),0)</f>
        <v>85911</v>
      </c>
      <c r="J9" s="155">
        <f>IFERROR(VLOOKUP($A$3:$A$122,'AUG-2026'!$A$4:$ACU$119,MATCH('FY-(26-27)Q2'!$I$2:$J$2,'AUG-2026'!$A$2:$CV$2,0),0),0)</f>
        <v>0.14318500000000001</v>
      </c>
      <c r="K9" s="153">
        <f>IFERROR(VLOOKUP($A$3:$A$122,'[1]SEP-2026'!$A$4:$ADI$113,MATCH('FY-(26-27)Q2'!$K$2:$L$2,'[1]SEP-2026'!$A$2:$DJ$2,0),0),0)</f>
        <v>0</v>
      </c>
      <c r="L9" s="155">
        <f>IFERROR(VLOOKUP($A$3:$A$122,'[1]SEP-2026'!$A$4:$ADI$113,MATCH('FY-(26-27)Q2'!$K$2:$L$2,'[1]SEP-2026'!$A$2:$DJ$2,0),0),0)</f>
        <v>0</v>
      </c>
      <c r="M9" s="71">
        <f t="shared" si="0"/>
        <v>491857</v>
      </c>
      <c r="N9" s="166">
        <f t="shared" si="0"/>
        <v>0.81976166666666672</v>
      </c>
    </row>
    <row r="10" spans="1:14" x14ac:dyDescent="0.25">
      <c r="A10" s="143" t="s">
        <v>42</v>
      </c>
      <c r="B10" s="141" t="s">
        <v>230</v>
      </c>
      <c r="C10" s="141" t="s">
        <v>85</v>
      </c>
      <c r="D10" s="143" t="s">
        <v>107</v>
      </c>
      <c r="E10" s="143" t="s">
        <v>107</v>
      </c>
      <c r="F10" s="157">
        <v>1</v>
      </c>
      <c r="G10" s="153">
        <f>IFERROR(VLOOKUP($A$3:$A$122,'JULY-2026'!$A$4:$ACS$118,MATCH('FY-(26-27)Q2'!$G$2:$H$2,'JULY-2026'!$A$2:$CT$2,0),0),0)</f>
        <v>1094</v>
      </c>
      <c r="H10" s="155">
        <f>IFERROR(VLOOKUP($A$3:$A$122,'JULY-2026'!$A$4:$ACS$118,MATCH('FY-(26-27)Q2'!$G$2:$H$2,'JULY-2026'!$A$2:$CT$2,0),0),0)</f>
        <v>1.094E-2</v>
      </c>
      <c r="I10" s="153">
        <f>IFERROR(VLOOKUP($A$3:$A$122,'AUG-2026'!$A$4:$ACU$119,MATCH('FY-(26-27)Q2'!$I$2:$J$2,'AUG-2026'!$A$2:$CV$2,0),0),0)</f>
        <v>4662</v>
      </c>
      <c r="J10" s="155">
        <f>IFERROR(VLOOKUP($A$3:$A$122,'AUG-2026'!$A$4:$ACU$119,MATCH('FY-(26-27)Q2'!$I$2:$J$2,'AUG-2026'!$A$2:$CV$2,0),0),0)</f>
        <v>4.6620000000000002E-2</v>
      </c>
      <c r="K10" s="153">
        <f>IFERROR(VLOOKUP($A$3:$A$122,'[1]SEP-2026'!$A$4:$ADI$113,MATCH('FY-(26-27)Q2'!$K$2:$L$2,'[1]SEP-2026'!$A$2:$DJ$2,0),0),0)</f>
        <v>0</v>
      </c>
      <c r="L10" s="155">
        <f>IFERROR(VLOOKUP($A$3:$A$122,'[1]SEP-2026'!$A$4:$ADI$113,MATCH('FY-(26-27)Q2'!$K$2:$L$2,'[1]SEP-2026'!$A$2:$DJ$2,0),0),0)</f>
        <v>0</v>
      </c>
      <c r="M10" s="71">
        <f t="shared" si="0"/>
        <v>5756</v>
      </c>
      <c r="N10" s="166">
        <f t="shared" si="0"/>
        <v>5.756E-2</v>
      </c>
    </row>
    <row r="11" spans="1:14" x14ac:dyDescent="0.25">
      <c r="A11" s="142" t="s">
        <v>212</v>
      </c>
      <c r="B11" s="141" t="s">
        <v>230</v>
      </c>
      <c r="C11" s="142" t="s">
        <v>12</v>
      </c>
      <c r="D11" s="37" t="s">
        <v>39</v>
      </c>
      <c r="E11" s="37" t="s">
        <v>256</v>
      </c>
      <c r="F11" s="156">
        <v>1</v>
      </c>
      <c r="G11" s="153">
        <f>IFERROR(VLOOKUP($A$3:$A$122,'JULY-2026'!$A$4:$ACS$118,MATCH('FY-(26-27)Q2'!$G$2:$H$2,'JULY-2026'!$A$2:$CT$2,0),0),0)</f>
        <v>207510</v>
      </c>
      <c r="H11" s="155">
        <f>IFERROR(VLOOKUP($A$3:$A$122,'JULY-2026'!$A$4:$ACS$118,MATCH('FY-(26-27)Q2'!$G$2:$H$2,'JULY-2026'!$A$2:$CT$2,0),0),0)</f>
        <v>0.83004</v>
      </c>
      <c r="I11" s="153">
        <f>IFERROR(VLOOKUP($A$3:$A$122,'AUG-2026'!$A$4:$ACU$119,MATCH('FY-(26-27)Q2'!$I$2:$J$2,'AUG-2026'!$A$2:$CV$2,0),0),0)</f>
        <v>-84149</v>
      </c>
      <c r="J11" s="155">
        <f>IFERROR(VLOOKUP($A$3:$A$122,'AUG-2026'!$A$4:$ACU$119,MATCH('FY-(26-27)Q2'!$I$2:$J$2,'AUG-2026'!$A$2:$CV$2,0),0),0)</f>
        <v>-0.33659600000000001</v>
      </c>
      <c r="K11" s="153">
        <f>IFERROR(VLOOKUP($A$3:$A$122,'[1]SEP-2026'!$A$4:$ADI$113,MATCH('FY-(26-27)Q2'!$K$2:$L$2,'[1]SEP-2026'!$A$2:$DJ$2,0),0),0)</f>
        <v>0</v>
      </c>
      <c r="L11" s="155">
        <f>IFERROR(VLOOKUP($A$3:$A$122,'[1]SEP-2026'!$A$4:$ADI$113,MATCH('FY-(26-27)Q2'!$K$2:$L$2,'[1]SEP-2026'!$A$2:$DJ$2,0),0),0)</f>
        <v>0</v>
      </c>
      <c r="M11" s="71">
        <f t="shared" si="0"/>
        <v>123361</v>
      </c>
      <c r="N11" s="166">
        <f t="shared" si="0"/>
        <v>0.49344399999999999</v>
      </c>
    </row>
    <row r="12" spans="1:14" x14ac:dyDescent="0.25">
      <c r="A12" s="142" t="s">
        <v>62</v>
      </c>
      <c r="B12" s="141" t="s">
        <v>230</v>
      </c>
      <c r="C12" s="141" t="s">
        <v>224</v>
      </c>
      <c r="D12" s="37" t="s">
        <v>39</v>
      </c>
      <c r="E12" s="37" t="s">
        <v>253</v>
      </c>
      <c r="F12" s="156">
        <v>1</v>
      </c>
      <c r="G12" s="153">
        <f>IFERROR(VLOOKUP($A$3:$A$122,'JULY-2026'!$A$4:$ACS$118,MATCH('FY-(26-27)Q2'!$G$2:$H$2,'JULY-2026'!$A$2:$CT$2,0),0),0)</f>
        <v>7426</v>
      </c>
      <c r="H12" s="155">
        <f>IFERROR(VLOOKUP($A$3:$A$122,'JULY-2026'!$A$4:$ACS$118,MATCH('FY-(26-27)Q2'!$G$2:$H$2,'JULY-2026'!$A$2:$CT$2,0),0),0)</f>
        <v>7.4260000000000007E-2</v>
      </c>
      <c r="I12" s="153">
        <f>IFERROR(VLOOKUP($A$3:$A$122,'AUG-2026'!$A$4:$ACU$119,MATCH('FY-(26-27)Q2'!$I$2:$J$2,'AUG-2026'!$A$2:$CV$2,0),0),0)</f>
        <v>0</v>
      </c>
      <c r="J12" s="155">
        <f>IFERROR(VLOOKUP($A$3:$A$122,'AUG-2026'!$A$4:$ACU$119,MATCH('FY-(26-27)Q2'!$I$2:$J$2,'AUG-2026'!$A$2:$CV$2,0),0),0)</f>
        <v>0</v>
      </c>
      <c r="K12" s="153">
        <f>IFERROR(VLOOKUP($A$3:$A$122,'[1]SEP-2026'!$A$4:$ADI$113,MATCH('FY-(26-27)Q2'!$K$2:$L$2,'[1]SEP-2026'!$A$2:$DJ$2,0),0),0)</f>
        <v>0</v>
      </c>
      <c r="L12" s="155">
        <f>IFERROR(VLOOKUP($A$3:$A$122,'[1]SEP-2026'!$A$4:$ADI$113,MATCH('FY-(26-27)Q2'!$K$2:$L$2,'[1]SEP-2026'!$A$2:$DJ$2,0),0),0)</f>
        <v>0</v>
      </c>
      <c r="M12" s="71">
        <f t="shared" si="0"/>
        <v>7426</v>
      </c>
      <c r="N12" s="166">
        <f t="shared" si="0"/>
        <v>7.4260000000000007E-2</v>
      </c>
    </row>
    <row r="13" spans="1:14" x14ac:dyDescent="0.25">
      <c r="A13" s="142" t="s">
        <v>43</v>
      </c>
      <c r="B13" s="141" t="s">
        <v>84</v>
      </c>
      <c r="C13" s="141" t="s">
        <v>85</v>
      </c>
      <c r="D13" s="37" t="s">
        <v>107</v>
      </c>
      <c r="E13" s="37" t="s">
        <v>107</v>
      </c>
      <c r="F13" s="157">
        <v>1</v>
      </c>
      <c r="G13" s="153">
        <f>IFERROR(VLOOKUP($A$3:$A$122,'JULY-2026'!$A$4:$ACS$118,MATCH('FY-(26-27)Q2'!$G$2:$H$2,'JULY-2026'!$A$2:$CT$2,0),0),0)</f>
        <v>40268</v>
      </c>
      <c r="H13" s="155">
        <f>IFERROR(VLOOKUP($A$3:$A$122,'JULY-2026'!$A$4:$ACS$118,MATCH('FY-(26-27)Q2'!$G$2:$H$2,'JULY-2026'!$A$2:$CT$2,0),0),0)</f>
        <v>0.40267999999999998</v>
      </c>
      <c r="I13" s="153">
        <f>IFERROR(VLOOKUP($A$3:$A$122,'AUG-2026'!$A$4:$ACU$119,MATCH('FY-(26-27)Q2'!$I$2:$J$2,'AUG-2026'!$A$2:$CV$2,0),0),0)</f>
        <v>23043</v>
      </c>
      <c r="J13" s="155">
        <f>IFERROR(VLOOKUP($A$3:$A$122,'AUG-2026'!$A$4:$ACU$119,MATCH('FY-(26-27)Q2'!$I$2:$J$2,'AUG-2026'!$A$2:$CV$2,0),0),0)</f>
        <v>0.23043</v>
      </c>
      <c r="K13" s="153">
        <f>IFERROR(VLOOKUP($A$3:$A$122,'[1]SEP-2026'!$A$4:$ADI$113,MATCH('FY-(26-27)Q2'!$K$2:$L$2,'[1]SEP-2026'!$A$2:$DJ$2,0),0),0)</f>
        <v>0</v>
      </c>
      <c r="L13" s="155">
        <f>IFERROR(VLOOKUP($A$3:$A$122,'[1]SEP-2026'!$A$4:$ADI$113,MATCH('FY-(26-27)Q2'!$K$2:$L$2,'[1]SEP-2026'!$A$2:$DJ$2,0),0),0)</f>
        <v>0</v>
      </c>
      <c r="M13" s="71">
        <f t="shared" si="0"/>
        <v>63311</v>
      </c>
      <c r="N13" s="166">
        <f t="shared" si="0"/>
        <v>0.63310999999999995</v>
      </c>
    </row>
    <row r="14" spans="1:14" x14ac:dyDescent="0.25">
      <c r="A14" s="142" t="s">
        <v>51</v>
      </c>
      <c r="B14" s="141" t="s">
        <v>171</v>
      </c>
      <c r="C14" s="142" t="s">
        <v>289</v>
      </c>
      <c r="D14" s="142" t="s">
        <v>39</v>
      </c>
      <c r="E14" s="142" t="s">
        <v>256</v>
      </c>
      <c r="F14" s="156">
        <v>0.2</v>
      </c>
      <c r="G14" s="153">
        <f>IFERROR(VLOOKUP($A$3:$A$122,'JULY-2026'!$A$4:$ACS$118,MATCH('FY-(26-27)Q2'!$G$2:$H$2,'JULY-2026'!$A$2:$CT$2,0),0),0)</f>
        <v>20588</v>
      </c>
      <c r="H14" s="155">
        <f>IFERROR(VLOOKUP($A$3:$A$122,'JULY-2026'!$A$4:$ACS$118,MATCH('FY-(26-27)Q2'!$G$2:$H$2,'JULY-2026'!$A$2:$CT$2,0),0),0)</f>
        <v>9.3581818181818183E-2</v>
      </c>
      <c r="I14" s="153">
        <f>IFERROR(VLOOKUP($A$3:$A$122,'AUG-2026'!$A$4:$ACU$119,MATCH('FY-(26-27)Q2'!$I$2:$J$2,'AUG-2026'!$A$2:$CV$2,0),0),0)</f>
        <v>-69794</v>
      </c>
      <c r="J14" s="155">
        <f>IFERROR(VLOOKUP($A$3:$A$122,'AUG-2026'!$A$4:$ACU$119,MATCH('FY-(26-27)Q2'!$I$2:$J$2,'AUG-2026'!$A$2:$CV$2,0),0),0)</f>
        <v>-0.31724545454545455</v>
      </c>
      <c r="K14" s="153">
        <f>IFERROR(VLOOKUP($A$3:$A$122,'[1]SEP-2026'!$A$4:$ADI$113,MATCH('FY-(26-27)Q2'!$K$2:$L$2,'[1]SEP-2026'!$A$2:$DJ$2,0),0),0)</f>
        <v>0</v>
      </c>
      <c r="L14" s="155">
        <f>IFERROR(VLOOKUP($A$3:$A$122,'[1]SEP-2026'!$A$4:$ADI$113,MATCH('FY-(26-27)Q2'!$K$2:$L$2,'[1]SEP-2026'!$A$2:$DJ$2,0),0),0)</f>
        <v>0</v>
      </c>
      <c r="M14" s="71">
        <f t="shared" ref="M14" si="1">G14+I14+K14</f>
        <v>-49206</v>
      </c>
      <c r="N14" s="166">
        <f t="shared" ref="N14" si="2">H14+J14+L14</f>
        <v>-0.22366363636363637</v>
      </c>
    </row>
    <row r="15" spans="1:14" x14ac:dyDescent="0.25">
      <c r="A15" s="142" t="s">
        <v>94</v>
      </c>
      <c r="B15" s="141" t="s">
        <v>230</v>
      </c>
      <c r="C15" s="141" t="s">
        <v>8</v>
      </c>
      <c r="D15" s="37" t="s">
        <v>39</v>
      </c>
      <c r="E15" s="37" t="s">
        <v>256</v>
      </c>
      <c r="F15" s="157">
        <v>1</v>
      </c>
      <c r="G15" s="153">
        <f>IFERROR(VLOOKUP($A$3:$A$122,'JULY-2026'!$A$4:$ACS$118,MATCH('FY-(26-27)Q2'!$G$2:$H$2,'JULY-2026'!$A$2:$CT$2,0),0),0)</f>
        <v>0</v>
      </c>
      <c r="H15" s="155">
        <f>IFERROR(VLOOKUP($A$3:$A$122,'JULY-2026'!$A$4:$ACS$118,MATCH('FY-(26-27)Q2'!$G$2:$H$2,'JULY-2026'!$A$2:$CT$2,0),0),0)</f>
        <v>0</v>
      </c>
      <c r="I15" s="153">
        <f>IFERROR(VLOOKUP($A$3:$A$122,'AUG-2026'!$A$4:$ACU$119,MATCH('FY-(26-27)Q2'!$I$2:$J$2,'AUG-2026'!$A$2:$CV$2,0),0),0)</f>
        <v>0</v>
      </c>
      <c r="J15" s="155">
        <f>IFERROR(VLOOKUP($A$3:$A$122,'AUG-2026'!$A$4:$ACU$119,MATCH('FY-(26-27)Q2'!$I$2:$J$2,'AUG-2026'!$A$2:$CV$2,0),0),0)</f>
        <v>0</v>
      </c>
      <c r="K15" s="153">
        <f>IFERROR(VLOOKUP($A$3:$A$122,'[1]SEP-2026'!$A$4:$ADI$113,MATCH('FY-(26-27)Q2'!$K$2:$L$2,'[1]SEP-2026'!$A$2:$DJ$2,0),0),0)</f>
        <v>0</v>
      </c>
      <c r="L15" s="155">
        <f>IFERROR(VLOOKUP($A$3:$A$122,'[1]SEP-2026'!$A$4:$ADI$113,MATCH('FY-(26-27)Q2'!$K$2:$L$2,'[1]SEP-2026'!$A$2:$DJ$2,0),0),0)</f>
        <v>0</v>
      </c>
      <c r="M15" s="71">
        <f t="shared" si="0"/>
        <v>0</v>
      </c>
      <c r="N15" s="166">
        <f t="shared" si="0"/>
        <v>0</v>
      </c>
    </row>
    <row r="16" spans="1:14" x14ac:dyDescent="0.25">
      <c r="A16" s="142" t="s">
        <v>24</v>
      </c>
      <c r="B16" s="141" t="s">
        <v>73</v>
      </c>
      <c r="C16" s="141" t="s">
        <v>58</v>
      </c>
      <c r="D16" s="37" t="s">
        <v>20</v>
      </c>
      <c r="E16" s="37" t="s">
        <v>256</v>
      </c>
      <c r="F16" s="156">
        <v>2.5</v>
      </c>
      <c r="G16" s="153">
        <f>IFERROR(VLOOKUP($A$3:$A$122,'JULY-2026'!$A$4:$ACS$118,MATCH('FY-(26-27)Q2'!$G$2:$H$2,'JULY-2026'!$A$2:$CT$2,0),0),0)</f>
        <v>47674</v>
      </c>
      <c r="H16" s="155">
        <f>IFERROR(VLOOKUP($A$3:$A$122,'JULY-2026'!$A$4:$ACS$118,MATCH('FY-(26-27)Q2'!$G$2:$H$2,'JULY-2026'!$A$2:$CT$2,0),0),0)</f>
        <v>0.19069599999999998</v>
      </c>
      <c r="I16" s="153">
        <f>IFERROR(VLOOKUP($A$3:$A$122,'AUG-2026'!$A$4:$ACU$119,MATCH('FY-(26-27)Q2'!$I$2:$J$2,'AUG-2026'!$A$2:$CV$2,0),0),0)</f>
        <v>-106373</v>
      </c>
      <c r="J16" s="155">
        <f>IFERROR(VLOOKUP($A$3:$A$122,'AUG-2026'!$A$4:$ACU$119,MATCH('FY-(26-27)Q2'!$I$2:$J$2,'AUG-2026'!$A$2:$CV$2,0),0),0)</f>
        <v>-0.42549199999999998</v>
      </c>
      <c r="K16" s="153">
        <f>IFERROR(VLOOKUP($A$3:$A$122,'[1]SEP-2026'!$A$4:$ADI$113,MATCH('FY-(26-27)Q2'!$K$2:$L$2,'[1]SEP-2026'!$A$2:$DJ$2,0),0),0)</f>
        <v>0</v>
      </c>
      <c r="L16" s="155">
        <f>IFERROR(VLOOKUP($A$3:$A$122,'[1]SEP-2026'!$A$4:$ADI$113,MATCH('FY-(26-27)Q2'!$K$2:$L$2,'[1]SEP-2026'!$A$2:$DJ$2,0),0),0)</f>
        <v>0</v>
      </c>
      <c r="M16" s="71">
        <f t="shared" si="0"/>
        <v>-58699</v>
      </c>
      <c r="N16" s="166">
        <f t="shared" si="0"/>
        <v>-0.234796</v>
      </c>
    </row>
    <row r="17" spans="1:15" x14ac:dyDescent="0.25">
      <c r="A17" s="142" t="s">
        <v>23</v>
      </c>
      <c r="B17" s="141" t="s">
        <v>74</v>
      </c>
      <c r="C17" s="141" t="s">
        <v>59</v>
      </c>
      <c r="D17" s="37" t="s">
        <v>3</v>
      </c>
      <c r="E17" s="37" t="s">
        <v>256</v>
      </c>
      <c r="F17" s="156">
        <v>4</v>
      </c>
      <c r="G17" s="153">
        <f>IFERROR(VLOOKUP($A$3:$A$122,'JULY-2026'!$A$4:$ACS$118,MATCH('FY-(26-27)Q2'!$G$2:$H$2,'JULY-2026'!$A$2:$CT$2,0),0),0)</f>
        <v>350017</v>
      </c>
      <c r="H17" s="155">
        <f>IFERROR(VLOOKUP($A$3:$A$122,'JULY-2026'!$A$4:$ACS$118,MATCH('FY-(26-27)Q2'!$G$2:$H$2,'JULY-2026'!$A$2:$CT$2,0),0),0)</f>
        <v>0.87504249999999995</v>
      </c>
      <c r="I17" s="153">
        <f>IFERROR(VLOOKUP($A$3:$A$122,'AUG-2026'!$A$4:$ACU$119,MATCH('FY-(26-27)Q2'!$I$2:$J$2,'AUG-2026'!$A$2:$CV$2,0),0),0)</f>
        <v>7825</v>
      </c>
      <c r="J17" s="155">
        <f>IFERROR(VLOOKUP($A$3:$A$122,'AUG-2026'!$A$4:$ACU$119,MATCH('FY-(26-27)Q2'!$I$2:$J$2,'AUG-2026'!$A$2:$CV$2,0),0),0)</f>
        <v>1.95625E-2</v>
      </c>
      <c r="K17" s="153">
        <f>IFERROR(VLOOKUP($A$3:$A$122,'[1]SEP-2026'!$A$4:$ADI$113,MATCH('FY-(26-27)Q2'!$K$2:$L$2,'[1]SEP-2026'!$A$2:$DJ$2,0),0),0)</f>
        <v>0</v>
      </c>
      <c r="L17" s="155">
        <f>IFERROR(VLOOKUP($A$3:$A$122,'[1]SEP-2026'!$A$4:$ADI$113,MATCH('FY-(26-27)Q2'!$K$2:$L$2,'[1]SEP-2026'!$A$2:$DJ$2,0),0),0)</f>
        <v>0</v>
      </c>
      <c r="M17" s="71">
        <f t="shared" si="0"/>
        <v>357842</v>
      </c>
      <c r="N17" s="166">
        <f t="shared" si="0"/>
        <v>0.89460499999999998</v>
      </c>
    </row>
    <row r="18" spans="1:15" x14ac:dyDescent="0.25">
      <c r="A18" s="142" t="s">
        <v>110</v>
      </c>
      <c r="B18" s="141" t="s">
        <v>111</v>
      </c>
      <c r="C18" s="141" t="s">
        <v>109</v>
      </c>
      <c r="D18" s="37" t="s">
        <v>87</v>
      </c>
      <c r="E18" s="37" t="s">
        <v>256</v>
      </c>
      <c r="F18" s="156">
        <v>0.25</v>
      </c>
      <c r="G18" s="153">
        <f>IFERROR(VLOOKUP($A$3:$A$122,'JULY-2026'!$A$4:$ACS$118,MATCH('FY-(26-27)Q2'!$G$2:$H$2,'JULY-2026'!$A$2:$CT$2,0),0),0)</f>
        <v>60085</v>
      </c>
      <c r="H18" s="155">
        <f>IFERROR(VLOOKUP($A$3:$A$122,'JULY-2026'!$A$4:$ACS$118,MATCH('FY-(26-27)Q2'!$G$2:$H$2,'JULY-2026'!$A$2:$CT$2,0),0),0)</f>
        <v>0.54622727272727267</v>
      </c>
      <c r="I18" s="153">
        <f>IFERROR(VLOOKUP($A$3:$A$122,'AUG-2026'!$A$4:$ACU$119,MATCH('FY-(26-27)Q2'!$I$2:$J$2,'AUG-2026'!$A$2:$CV$2,0),0),0)</f>
        <v>-57635</v>
      </c>
      <c r="J18" s="155">
        <f>IFERROR(VLOOKUP($A$3:$A$122,'AUG-2026'!$A$4:$ACU$119,MATCH('FY-(26-27)Q2'!$I$2:$J$2,'AUG-2026'!$A$2:$CV$2,0),0),0)</f>
        <v>-0.52395454545454545</v>
      </c>
      <c r="K18" s="153">
        <f>IFERROR(VLOOKUP($A$3:$A$122,'[1]SEP-2026'!$A$4:$ADI$113,MATCH('FY-(26-27)Q2'!$K$2:$L$2,'[1]SEP-2026'!$A$2:$DJ$2,0),0),0)</f>
        <v>0</v>
      </c>
      <c r="L18" s="155">
        <f>IFERROR(VLOOKUP($A$3:$A$122,'[1]SEP-2026'!$A$4:$ADI$113,MATCH('FY-(26-27)Q2'!$K$2:$L$2,'[1]SEP-2026'!$A$2:$DJ$2,0),0),0)</f>
        <v>0</v>
      </c>
      <c r="M18" s="71">
        <f t="shared" si="0"/>
        <v>2450</v>
      </c>
      <c r="N18" s="166">
        <f t="shared" si="0"/>
        <v>2.2272727272727222E-2</v>
      </c>
    </row>
    <row r="19" spans="1:15" x14ac:dyDescent="0.25">
      <c r="A19" s="142"/>
      <c r="B19" s="141" t="s">
        <v>111</v>
      </c>
      <c r="C19" s="141" t="s">
        <v>283</v>
      </c>
      <c r="D19" s="142" t="s">
        <v>152</v>
      </c>
      <c r="E19" s="142" t="s">
        <v>256</v>
      </c>
      <c r="F19" s="156">
        <v>0.25</v>
      </c>
      <c r="G19" s="153">
        <f>IFERROR(VLOOKUP($A$3:$A$122,'JULY-2026'!$A$4:$ACS$118,MATCH('FY-(26-27)Q2'!$G$2:$H$2,'JULY-2026'!$A$2:$CT$2,0),0),0)</f>
        <v>0</v>
      </c>
      <c r="H19" s="155">
        <f>IFERROR(VLOOKUP($A$3:$A$122,'JULY-2026'!$A$4:$ACS$118,MATCH('FY-(26-27)Q2'!$G$2:$H$2,'JULY-2026'!$A$2:$CT$2,0),0),0)</f>
        <v>0</v>
      </c>
      <c r="I19" s="153">
        <f>IFERROR(VLOOKUP($A$3:$A$122,'AUG-2026'!$A$4:$ACU$119,MATCH('FY-(26-27)Q2'!$I$2:$J$2,'AUG-2026'!$A$2:$CV$2,0),0),0)</f>
        <v>0</v>
      </c>
      <c r="J19" s="155">
        <f>IFERROR(VLOOKUP($A$3:$A$122,'AUG-2026'!$A$4:$ACU$119,MATCH('FY-(26-27)Q2'!$I$2:$J$2,'AUG-2026'!$A$2:$CV$2,0),0),0)</f>
        <v>0</v>
      </c>
      <c r="K19" s="153">
        <f>IFERROR(VLOOKUP($A$3:$A$122,'[1]SEP-2026'!$A$4:$ADI$113,MATCH('FY-(26-27)Q2'!$K$2:$L$2,'[1]SEP-2026'!$A$2:$DJ$2,0),0),0)</f>
        <v>0</v>
      </c>
      <c r="L19" s="155">
        <f>IFERROR(VLOOKUP($A$3:$A$122,'[1]SEP-2026'!$A$4:$ADI$113,MATCH('FY-(26-27)Q2'!$K$2:$L$2,'[1]SEP-2026'!$A$2:$DJ$2,0),0),0)</f>
        <v>0</v>
      </c>
      <c r="M19" s="71">
        <f t="shared" ref="M19:M20" si="3">G19+I19+K19</f>
        <v>0</v>
      </c>
      <c r="N19" s="166">
        <f t="shared" ref="N19:N20" si="4">H19+J19+L19</f>
        <v>0</v>
      </c>
    </row>
    <row r="20" spans="1:15" x14ac:dyDescent="0.25">
      <c r="A20" s="142"/>
      <c r="B20" s="141" t="s">
        <v>282</v>
      </c>
      <c r="C20" s="141" t="s">
        <v>38</v>
      </c>
      <c r="D20" s="142" t="s">
        <v>152</v>
      </c>
      <c r="E20" s="142" t="s">
        <v>256</v>
      </c>
      <c r="F20" s="156">
        <v>2</v>
      </c>
      <c r="G20" s="153">
        <f>IFERROR(VLOOKUP($A$3:$A$122,'JULY-2026'!$A$4:$ACS$118,MATCH('FY-(26-27)Q2'!$G$2:$H$2,'JULY-2026'!$A$2:$CT$2,0),0),0)</f>
        <v>0</v>
      </c>
      <c r="H20" s="155">
        <f>IFERROR(VLOOKUP($A$3:$A$122,'JULY-2026'!$A$4:$ACS$118,MATCH('FY-(26-27)Q2'!$G$2:$H$2,'JULY-2026'!$A$2:$CT$2,0),0),0)</f>
        <v>0</v>
      </c>
      <c r="I20" s="153">
        <f>IFERROR(VLOOKUP($A$3:$A$122,'AUG-2026'!$A$4:$ACU$119,MATCH('FY-(26-27)Q2'!$I$2:$J$2,'AUG-2026'!$A$2:$CV$2,0),0),0)</f>
        <v>0</v>
      </c>
      <c r="J20" s="155">
        <f>IFERROR(VLOOKUP($A$3:$A$122,'AUG-2026'!$A$4:$ACU$119,MATCH('FY-(26-27)Q2'!$I$2:$J$2,'AUG-2026'!$A$2:$CV$2,0),0),0)</f>
        <v>0</v>
      </c>
      <c r="K20" s="153">
        <f>IFERROR(VLOOKUP($A$3:$A$122,'[1]SEP-2026'!$A$4:$ADI$113,MATCH('FY-(26-27)Q2'!$K$2:$L$2,'[1]SEP-2026'!$A$2:$DJ$2,0),0),0)</f>
        <v>0</v>
      </c>
      <c r="L20" s="155">
        <f>IFERROR(VLOOKUP($A$3:$A$122,'[1]SEP-2026'!$A$4:$ADI$113,MATCH('FY-(26-27)Q2'!$K$2:$L$2,'[1]SEP-2026'!$A$2:$DJ$2,0),0),0)</f>
        <v>0</v>
      </c>
      <c r="M20" s="71">
        <f t="shared" si="3"/>
        <v>0</v>
      </c>
      <c r="N20" s="166">
        <f t="shared" si="4"/>
        <v>0</v>
      </c>
    </row>
    <row r="21" spans="1:15" x14ac:dyDescent="0.25">
      <c r="A21" s="142" t="s">
        <v>165</v>
      </c>
      <c r="B21" s="141" t="s">
        <v>303</v>
      </c>
      <c r="C21" s="141" t="s">
        <v>223</v>
      </c>
      <c r="D21" s="142" t="s">
        <v>261</v>
      </c>
      <c r="E21" s="37" t="s">
        <v>256</v>
      </c>
      <c r="F21" s="156">
        <v>0.5</v>
      </c>
      <c r="G21" s="153">
        <f>IFERROR(VLOOKUP($A$3:$A$122,'JULY-2026'!$A$4:$ACS$118,MATCH('FY-(26-27)Q2'!$G$2:$H$2,'JULY-2026'!$A$2:$CT$2,0),0),0)</f>
        <v>100348</v>
      </c>
      <c r="H21" s="155">
        <f>IFERROR(VLOOKUP($A$3:$A$122,'JULY-2026'!$A$4:$ACS$118,MATCH('FY-(26-27)Q2'!$G$2:$H$2,'JULY-2026'!$A$2:$CT$2,0),0),0)</f>
        <v>0.66898666666666673</v>
      </c>
      <c r="I21" s="153">
        <f>IFERROR(VLOOKUP($A$3:$A$122,'AUG-2026'!$A$4:$ACU$119,MATCH('FY-(26-27)Q2'!$I$2:$J$2,'AUG-2026'!$A$2:$CV$2,0),0),0)</f>
        <v>-77519</v>
      </c>
      <c r="J21" s="155">
        <f>IFERROR(VLOOKUP($A$3:$A$122,'AUG-2026'!$A$4:$ACU$119,MATCH('FY-(26-27)Q2'!$I$2:$J$2,'AUG-2026'!$A$2:$CV$2,0),0),0)</f>
        <v>-0.51679333333333344</v>
      </c>
      <c r="K21" s="153">
        <f>IFERROR(VLOOKUP($A$3:$A$122,'[1]SEP-2026'!$A$4:$ADI$113,MATCH('FY-(26-27)Q2'!$K$2:$L$2,'[1]SEP-2026'!$A$2:$DJ$2,0),0),0)</f>
        <v>0</v>
      </c>
      <c r="L21" s="155">
        <f>IFERROR(VLOOKUP($A$3:$A$122,'[1]SEP-2026'!$A$4:$ADI$113,MATCH('FY-(26-27)Q2'!$K$2:$L$2,'[1]SEP-2026'!$A$2:$DJ$2,0),0),0)</f>
        <v>0</v>
      </c>
      <c r="M21" s="71">
        <f t="shared" si="0"/>
        <v>22829</v>
      </c>
      <c r="N21" s="166">
        <f t="shared" si="0"/>
        <v>0.15219333333333329</v>
      </c>
    </row>
    <row r="22" spans="1:15" x14ac:dyDescent="0.25">
      <c r="A22" s="142" t="s">
        <v>275</v>
      </c>
      <c r="B22" s="141" t="s">
        <v>164</v>
      </c>
      <c r="C22" s="141" t="s">
        <v>274</v>
      </c>
      <c r="D22" s="142" t="s">
        <v>152</v>
      </c>
      <c r="E22" s="142" t="s">
        <v>256</v>
      </c>
      <c r="F22" s="156">
        <v>1</v>
      </c>
      <c r="G22" s="153">
        <f>IFERROR(VLOOKUP($A$3:$A$122,'JULY-2026'!$A$4:$ACS$118,MATCH('FY-(26-27)Q2'!$G$2:$H$2,'JULY-2026'!$A$2:$CT$2,0),0),0)</f>
        <v>-18550</v>
      </c>
      <c r="H22" s="155">
        <f>IFERROR(VLOOKUP($A$3:$A$122,'JULY-2026'!$A$4:$ACS$118,MATCH('FY-(26-27)Q2'!$G$2:$H$2,'JULY-2026'!$A$2:$CT$2,0),0),0)</f>
        <v>-0.1855</v>
      </c>
      <c r="I22" s="153">
        <f>IFERROR(VLOOKUP($A$3:$A$122,'AUG-2026'!$A$4:$ACU$119,MATCH('FY-(26-27)Q2'!$I$2:$J$2,'AUG-2026'!$A$2:$CV$2,0),0),0)</f>
        <v>0</v>
      </c>
      <c r="J22" s="155">
        <f>IFERROR(VLOOKUP($A$3:$A$122,'AUG-2026'!$A$4:$ACU$119,MATCH('FY-(26-27)Q2'!$I$2:$J$2,'AUG-2026'!$A$2:$CV$2,0),0),0)</f>
        <v>0</v>
      </c>
      <c r="K22" s="153">
        <f>IFERROR(VLOOKUP($A$3:$A$122,'[1]SEP-2026'!$A$4:$ADI$113,MATCH('FY-(26-27)Q2'!$K$2:$L$2,'[1]SEP-2026'!$A$2:$DJ$2,0),0),0)</f>
        <v>0</v>
      </c>
      <c r="L22" s="155">
        <f>IFERROR(VLOOKUP($A$3:$A$122,'[1]SEP-2026'!$A$4:$ADI$113,MATCH('FY-(26-27)Q2'!$K$2:$L$2,'[1]SEP-2026'!$A$2:$DJ$2,0),0),0)</f>
        <v>0</v>
      </c>
      <c r="M22" s="71">
        <f t="shared" si="0"/>
        <v>-18550</v>
      </c>
      <c r="N22" s="166">
        <f t="shared" si="0"/>
        <v>-0.1855</v>
      </c>
    </row>
    <row r="23" spans="1:15" x14ac:dyDescent="0.25">
      <c r="A23" s="142" t="s">
        <v>32</v>
      </c>
      <c r="B23" s="141" t="s">
        <v>63</v>
      </c>
      <c r="C23" s="142" t="s">
        <v>21</v>
      </c>
      <c r="D23" s="37" t="s">
        <v>40</v>
      </c>
      <c r="E23" s="37" t="s">
        <v>256</v>
      </c>
      <c r="F23" s="156">
        <v>1.1000000000000001</v>
      </c>
      <c r="G23" s="153">
        <f>IFERROR(VLOOKUP($A$3:$A$122,'JULY-2026'!$A$4:$ACS$118,MATCH('FY-(26-27)Q2'!$G$2:$H$2,'JULY-2026'!$A$2:$CT$2,0),0),0)</f>
        <v>330691</v>
      </c>
      <c r="H23" s="155">
        <f>IFERROR(VLOOKUP($A$3:$A$122,'JULY-2026'!$A$4:$ACS$118,MATCH('FY-(26-27)Q2'!$G$2:$H$2,'JULY-2026'!$A$2:$CT$2,0),0),0)</f>
        <v>3.0062818181818174</v>
      </c>
      <c r="I23" s="153">
        <f>IFERROR(VLOOKUP($A$3:$A$122,'AUG-2026'!$A$4:$ACU$119,MATCH('FY-(26-27)Q2'!$I$2:$J$2,'AUG-2026'!$A$2:$CV$2,0),0),0)</f>
        <v>-108839</v>
      </c>
      <c r="J23" s="155">
        <f>IFERROR(VLOOKUP($A$3:$A$122,'AUG-2026'!$A$4:$ACU$119,MATCH('FY-(26-27)Q2'!$I$2:$J$2,'AUG-2026'!$A$2:$CV$2,0),0),0)</f>
        <v>-0.98944545454545452</v>
      </c>
      <c r="K23" s="153">
        <f>IFERROR(VLOOKUP($A$3:$A$122,'[1]SEP-2026'!$A$4:$ADI$113,MATCH('FY-(26-27)Q2'!$K$2:$L$2,'[1]SEP-2026'!$A$2:$DJ$2,0),0),0)</f>
        <v>0</v>
      </c>
      <c r="L23" s="155">
        <f>IFERROR(VLOOKUP($A$3:$A$122,'[1]SEP-2026'!$A$4:$ADI$113,MATCH('FY-(26-27)Q2'!$K$2:$L$2,'[1]SEP-2026'!$A$2:$DJ$2,0),0),0)</f>
        <v>0</v>
      </c>
      <c r="M23" s="71">
        <f t="shared" si="0"/>
        <v>221852</v>
      </c>
      <c r="N23" s="166">
        <f t="shared" si="0"/>
        <v>2.0168363636363629</v>
      </c>
    </row>
    <row r="24" spans="1:15" x14ac:dyDescent="0.25">
      <c r="A24" s="142" t="s">
        <v>97</v>
      </c>
      <c r="B24" s="141" t="s">
        <v>68</v>
      </c>
      <c r="C24" s="141" t="s">
        <v>206</v>
      </c>
      <c r="D24" s="37" t="s">
        <v>107</v>
      </c>
      <c r="E24" s="37" t="s">
        <v>107</v>
      </c>
      <c r="F24" s="156">
        <v>2.2999999999999998</v>
      </c>
      <c r="G24" s="153">
        <f>IFERROR(VLOOKUP($A$3:$A$122,'JULY-2026'!$A$4:$ACS$118,MATCH('FY-(26-27)Q2'!$G$2:$H$2,'JULY-2026'!$A$2:$CT$2,0),0),0)</f>
        <v>880832</v>
      </c>
      <c r="H24" s="155">
        <f>IFERROR(VLOOKUP($A$3:$A$122,'JULY-2026'!$A$4:$ACS$118,MATCH('FY-(26-27)Q2'!$G$2:$H$2,'JULY-2026'!$A$2:$CT$2,0),0),0)</f>
        <v>3.8297043478260866</v>
      </c>
      <c r="I24" s="153">
        <f>IFERROR(VLOOKUP($A$3:$A$122,'AUG-2026'!$A$4:$ACU$119,MATCH('FY-(26-27)Q2'!$I$2:$J$2,'AUG-2026'!$A$2:$CV$2,0),0),0)</f>
        <v>243866</v>
      </c>
      <c r="J24" s="155">
        <f>IFERROR(VLOOKUP($A$3:$A$122,'AUG-2026'!$A$4:$ACU$119,MATCH('FY-(26-27)Q2'!$I$2:$J$2,'AUG-2026'!$A$2:$CV$2,0),0),0)</f>
        <v>1.0602869565217392</v>
      </c>
      <c r="K24" s="153">
        <f>IFERROR(VLOOKUP($A$3:$A$122,'[1]SEP-2026'!$A$4:$ADI$113,MATCH('FY-(26-27)Q2'!$K$2:$L$2,'[1]SEP-2026'!$A$2:$DJ$2,0),0),0)</f>
        <v>0</v>
      </c>
      <c r="L24" s="155">
        <f>IFERROR(VLOOKUP($A$3:$A$122,'[1]SEP-2026'!$A$4:$ADI$113,MATCH('FY-(26-27)Q2'!$K$2:$L$2,'[1]SEP-2026'!$A$2:$DJ$2,0),0),0)</f>
        <v>0</v>
      </c>
      <c r="M24" s="71">
        <f t="shared" si="0"/>
        <v>1124698</v>
      </c>
      <c r="N24" s="166">
        <f t="shared" si="0"/>
        <v>4.8899913043478254</v>
      </c>
    </row>
    <row r="25" spans="1:15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53">
        <f>IFERROR(VLOOKUP($A$3:$A$122,'JULY-2026'!$A$4:$ACS$118,MATCH('FY-(26-27)Q2'!$G$2:$H$2,'JULY-2026'!$A$2:$CT$2,0),0),0)</f>
        <v>-2494</v>
      </c>
      <c r="H25" s="155">
        <f>IFERROR(VLOOKUP($A$3:$A$122,'JULY-2026'!$A$4:$ACS$118,MATCH('FY-(26-27)Q2'!$G$2:$H$2,'JULY-2026'!$A$2:$CT$2,0),0),0)</f>
        <v>-0.12470000000000001</v>
      </c>
      <c r="I25" s="153">
        <f>IFERROR(VLOOKUP($A$3:$A$122,'AUG-2026'!$A$4:$ACU$119,MATCH('FY-(26-27)Q2'!$I$2:$J$2,'AUG-2026'!$A$2:$CV$2,0),0),0)</f>
        <v>2629</v>
      </c>
      <c r="J25" s="155">
        <f>IFERROR(VLOOKUP($A$3:$A$122,'AUG-2026'!$A$4:$ACU$119,MATCH('FY-(26-27)Q2'!$I$2:$J$2,'AUG-2026'!$A$2:$CV$2,0),0),0)</f>
        <v>0.13145000000000001</v>
      </c>
      <c r="K25" s="153">
        <f>IFERROR(VLOOKUP($A$3:$A$122,'[1]SEP-2026'!$A$4:$ADI$113,MATCH('FY-(26-27)Q2'!$K$2:$L$2,'[1]SEP-2026'!$A$2:$DJ$2,0),0),0)</f>
        <v>0</v>
      </c>
      <c r="L25" s="155">
        <f>IFERROR(VLOOKUP($A$3:$A$122,'[1]SEP-2026'!$A$4:$ADI$113,MATCH('FY-(26-27)Q2'!$K$2:$L$2,'[1]SEP-2026'!$A$2:$DJ$2,0),0),0)</f>
        <v>0</v>
      </c>
      <c r="M25" s="71">
        <f t="shared" ref="M25" si="5">G25+I25+K25</f>
        <v>135</v>
      </c>
      <c r="N25" s="166">
        <f t="shared" ref="N25" si="6">H25+J25+L25</f>
        <v>6.750000000000006E-3</v>
      </c>
    </row>
    <row r="26" spans="1:15" x14ac:dyDescent="0.25">
      <c r="A26" s="142" t="s">
        <v>29</v>
      </c>
      <c r="B26" s="141" t="s">
        <v>22</v>
      </c>
      <c r="C26" s="141" t="s">
        <v>151</v>
      </c>
      <c r="D26" s="37" t="s">
        <v>5</v>
      </c>
      <c r="E26" s="37" t="s">
        <v>256</v>
      </c>
      <c r="F26" s="156">
        <v>5</v>
      </c>
      <c r="G26" s="153">
        <f>IFERROR(VLOOKUP($A$3:$A$122,'JULY-2026'!$A$4:$ACS$118,MATCH('FY-(26-27)Q2'!$G$2:$H$2,'JULY-2026'!$A$2:$CT$2,0),0),0)</f>
        <v>-98470</v>
      </c>
      <c r="H26" s="155">
        <f>IFERROR(VLOOKUP($A$3:$A$122,'JULY-2026'!$A$4:$ACS$118,MATCH('FY-(26-27)Q2'!$G$2:$H$2,'JULY-2026'!$A$2:$CT$2,0),0),0)</f>
        <v>-0.19694</v>
      </c>
      <c r="I26" s="153">
        <f>IFERROR(VLOOKUP($A$3:$A$122,'AUG-2026'!$A$4:$ACU$119,MATCH('FY-(26-27)Q2'!$I$2:$J$2,'AUG-2026'!$A$2:$CV$2,0),0),0)</f>
        <v>-86170</v>
      </c>
      <c r="J26" s="155">
        <f>IFERROR(VLOOKUP($A$3:$A$122,'AUG-2026'!$A$4:$ACU$119,MATCH('FY-(26-27)Q2'!$I$2:$J$2,'AUG-2026'!$A$2:$CV$2,0),0),0)</f>
        <v>-0.17233999999999999</v>
      </c>
      <c r="K26" s="153">
        <f>IFERROR(VLOOKUP($A$3:$A$122,'[1]SEP-2026'!$A$4:$ADI$113,MATCH('FY-(26-27)Q2'!$K$2:$L$2,'[1]SEP-2026'!$A$2:$DJ$2,0),0),0)</f>
        <v>0</v>
      </c>
      <c r="L26" s="155">
        <f>IFERROR(VLOOKUP($A$3:$A$122,'[1]SEP-2026'!$A$4:$ADI$113,MATCH('FY-(26-27)Q2'!$K$2:$L$2,'[1]SEP-2026'!$A$2:$DJ$2,0),0),0)</f>
        <v>0</v>
      </c>
      <c r="M26" s="71">
        <f t="shared" si="0"/>
        <v>-184640</v>
      </c>
      <c r="N26" s="166">
        <f t="shared" si="0"/>
        <v>-0.36928</v>
      </c>
    </row>
    <row r="27" spans="1:15" x14ac:dyDescent="0.25">
      <c r="A27" s="142" t="s">
        <v>28</v>
      </c>
      <c r="B27" s="141" t="s">
        <v>247</v>
      </c>
      <c r="C27" s="141" t="s">
        <v>121</v>
      </c>
      <c r="D27" s="37" t="s">
        <v>91</v>
      </c>
      <c r="E27" s="37" t="s">
        <v>256</v>
      </c>
      <c r="F27" s="156">
        <v>10</v>
      </c>
      <c r="G27" s="153">
        <f>IFERROR(VLOOKUP($A$3:$A$122,'JULY-2026'!$A$4:$ACS$118,MATCH('FY-(26-27)Q2'!$G$2:$H$2,'JULY-2026'!$A$2:$CT$2,0),0),0)</f>
        <v>3272097</v>
      </c>
      <c r="H27" s="155">
        <f>IFERROR(VLOOKUP($A$3:$A$122,'JULY-2026'!$A$4:$ACS$118,MATCH('FY-(26-27)Q2'!$G$2:$H$2,'JULY-2026'!$A$2:$CT$2,0),0),0)</f>
        <v>3.272097</v>
      </c>
      <c r="I27" s="153">
        <f>IFERROR(VLOOKUP($A$3:$A$122,'AUG-2026'!$A$4:$ACU$119,MATCH('FY-(26-27)Q2'!$I$2:$J$2,'AUG-2026'!$A$2:$CV$2,0),0),0)</f>
        <v>-561931</v>
      </c>
      <c r="J27" s="155">
        <f>IFERROR(VLOOKUP($A$3:$A$122,'AUG-2026'!$A$4:$ACU$119,MATCH('FY-(26-27)Q2'!$I$2:$J$2,'AUG-2026'!$A$2:$CV$2,0),0),0)</f>
        <v>-0.56193099999999996</v>
      </c>
      <c r="K27" s="153">
        <f>IFERROR(VLOOKUP($A$3:$A$122,'[1]SEP-2026'!$A$4:$ADI$113,MATCH('FY-(26-27)Q2'!$K$2:$L$2,'[1]SEP-2026'!$A$2:$DJ$2,0),0),0)</f>
        <v>0</v>
      </c>
      <c r="L27" s="155">
        <f>IFERROR(VLOOKUP($A$3:$A$122,'[1]SEP-2026'!$A$4:$ADI$113,MATCH('FY-(26-27)Q2'!$K$2:$L$2,'[1]SEP-2026'!$A$2:$DJ$2,0),0),0)</f>
        <v>0</v>
      </c>
      <c r="M27" s="71">
        <f t="shared" si="0"/>
        <v>2710166</v>
      </c>
      <c r="N27" s="166">
        <f t="shared" si="0"/>
        <v>2.7101660000000001</v>
      </c>
      <c r="O27" s="131"/>
    </row>
    <row r="28" spans="1:15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53">
        <f>IFERROR(VLOOKUP($A$3:$A$122,'JULY-2026'!$A$4:$ACS$118,MATCH('FY-(26-27)Q2'!$G$2:$H$2,'JULY-2026'!$A$2:$CT$2,0),0),0)</f>
        <v>2523988</v>
      </c>
      <c r="H28" s="155">
        <f>IFERROR(VLOOKUP($A$3:$A$122,'JULY-2026'!$A$4:$ACS$118,MATCH('FY-(26-27)Q2'!$G$2:$H$2,'JULY-2026'!$A$2:$CT$2,0),0),0)</f>
        <v>1.9415292307692309</v>
      </c>
      <c r="I28" s="153">
        <f>IFERROR(VLOOKUP($A$3:$A$122,'AUG-2026'!$A$4:$ACU$119,MATCH('FY-(26-27)Q2'!$I$2:$J$2,'AUG-2026'!$A$2:$CV$2,0),0),0)</f>
        <v>-787722</v>
      </c>
      <c r="J28" s="155">
        <f>IFERROR(VLOOKUP($A$3:$A$122,'AUG-2026'!$A$4:$ACU$119,MATCH('FY-(26-27)Q2'!$I$2:$J$2,'AUG-2026'!$A$2:$CV$2,0),0),0)</f>
        <v>-0.60594000000000003</v>
      </c>
      <c r="K28" s="153">
        <f>IFERROR(VLOOKUP($A$3:$A$122,'[1]SEP-2026'!$A$4:$ADI$113,MATCH('FY-(26-27)Q2'!$K$2:$L$2,'[1]SEP-2026'!$A$2:$DJ$2,0),0),0)</f>
        <v>0</v>
      </c>
      <c r="L28" s="155">
        <f>IFERROR(VLOOKUP($A$3:$A$122,'[1]SEP-2026'!$A$4:$ADI$113,MATCH('FY-(26-27)Q2'!$K$2:$L$2,'[1]SEP-2026'!$A$2:$DJ$2,0),0),0)</f>
        <v>0</v>
      </c>
      <c r="M28" s="71">
        <f t="shared" si="0"/>
        <v>1736266</v>
      </c>
      <c r="N28" s="166">
        <f t="shared" si="0"/>
        <v>1.335589230769231</v>
      </c>
    </row>
    <row r="29" spans="1:15" ht="18" customHeight="1" x14ac:dyDescent="0.25">
      <c r="A29" s="142" t="s">
        <v>147</v>
      </c>
      <c r="B29" s="141" t="s">
        <v>146</v>
      </c>
      <c r="C29" s="141" t="s">
        <v>140</v>
      </c>
      <c r="D29" s="142" t="s">
        <v>91</v>
      </c>
      <c r="E29" s="142" t="s">
        <v>256</v>
      </c>
      <c r="F29" s="156">
        <v>1.5</v>
      </c>
      <c r="G29" s="153">
        <f>IFERROR(VLOOKUP($A$3:$A$122,'JULY-2026'!$A$4:$ACS$118,MATCH('FY-(26-27)Q2'!$G$2:$H$2,'JULY-2026'!$A$2:$CT$2,0),0),0)</f>
        <v>260765</v>
      </c>
      <c r="H29" s="155">
        <f>IFERROR(VLOOKUP($A$3:$A$122,'JULY-2026'!$A$4:$ACS$118,MATCH('FY-(26-27)Q2'!$G$2:$H$2,'JULY-2026'!$A$2:$CT$2,0),0),0)</f>
        <v>1.7384333333333335</v>
      </c>
      <c r="I29" s="153">
        <f>IFERROR(VLOOKUP($A$3:$A$122,'AUG-2026'!$A$4:$ACU$119,MATCH('FY-(26-27)Q2'!$I$2:$J$2,'AUG-2026'!$A$2:$CV$2,0),0),0)</f>
        <v>-87345</v>
      </c>
      <c r="J29" s="155">
        <f>IFERROR(VLOOKUP($A$3:$A$122,'AUG-2026'!$A$4:$ACU$119,MATCH('FY-(26-27)Q2'!$I$2:$J$2,'AUG-2026'!$A$2:$CV$2,0),0),0)</f>
        <v>-0.58230000000000004</v>
      </c>
      <c r="K29" s="153">
        <f>IFERROR(VLOOKUP($A$3:$A$122,'[1]SEP-2026'!$A$4:$ADI$113,MATCH('FY-(26-27)Q2'!$K$2:$L$2,'[1]SEP-2026'!$A$2:$DJ$2,0),0),0)</f>
        <v>0</v>
      </c>
      <c r="L29" s="155">
        <f>IFERROR(VLOOKUP($A$3:$A$122,'[1]SEP-2026'!$A$4:$ADI$113,MATCH('FY-(26-27)Q2'!$K$2:$L$2,'[1]SEP-2026'!$A$2:$DJ$2,0),0),0)</f>
        <v>0</v>
      </c>
      <c r="M29" s="71">
        <f t="shared" si="0"/>
        <v>173420</v>
      </c>
      <c r="N29" s="166">
        <f t="shared" si="0"/>
        <v>1.1561333333333335</v>
      </c>
    </row>
    <row r="30" spans="1:15" x14ac:dyDescent="0.25">
      <c r="A30" s="142" t="s">
        <v>194</v>
      </c>
      <c r="B30" s="141" t="s">
        <v>246</v>
      </c>
      <c r="C30" s="141" t="s">
        <v>180</v>
      </c>
      <c r="D30" s="37" t="s">
        <v>91</v>
      </c>
      <c r="E30" s="37" t="s">
        <v>256</v>
      </c>
      <c r="F30" s="156">
        <v>6</v>
      </c>
      <c r="G30" s="153">
        <f>IFERROR(VLOOKUP($A$3:$A$122,'JULY-2026'!$A$4:$ACS$118,MATCH('FY-(26-27)Q2'!$G$2:$H$2,'JULY-2026'!$A$2:$CT$2,0),0),0)</f>
        <v>1051922</v>
      </c>
      <c r="H30" s="155">
        <f>IFERROR(VLOOKUP($A$3:$A$122,'JULY-2026'!$A$4:$ACS$118,MATCH('FY-(26-27)Q2'!$G$2:$H$2,'JULY-2026'!$A$2:$CT$2,0),0),0)</f>
        <v>1.7532033333333337</v>
      </c>
      <c r="I30" s="153">
        <f>IFERROR(VLOOKUP($A$3:$A$122,'AUG-2026'!$A$4:$ACU$119,MATCH('FY-(26-27)Q2'!$I$2:$J$2,'AUG-2026'!$A$2:$CV$2,0),0),0)</f>
        <v>-348894</v>
      </c>
      <c r="J30" s="155">
        <f>IFERROR(VLOOKUP($A$3:$A$122,'AUG-2026'!$A$4:$ACU$119,MATCH('FY-(26-27)Q2'!$I$2:$J$2,'AUG-2026'!$A$2:$CV$2,0),0),0)</f>
        <v>-0.58148999999999995</v>
      </c>
      <c r="K30" s="153">
        <f>IFERROR(VLOOKUP($A$3:$A$122,'[1]SEP-2026'!$A$4:$ADI$113,MATCH('FY-(26-27)Q2'!$K$2:$L$2,'[1]SEP-2026'!$A$2:$DJ$2,0),0),0)</f>
        <v>0</v>
      </c>
      <c r="L30" s="155">
        <f>IFERROR(VLOOKUP($A$3:$A$122,'[1]SEP-2026'!$A$4:$ADI$113,MATCH('FY-(26-27)Q2'!$K$2:$L$2,'[1]SEP-2026'!$A$2:$DJ$2,0),0),0)</f>
        <v>0</v>
      </c>
      <c r="M30" s="71">
        <f t="shared" si="0"/>
        <v>703028</v>
      </c>
      <c r="N30" s="166">
        <f t="shared" si="0"/>
        <v>1.1717133333333338</v>
      </c>
    </row>
    <row r="31" spans="1:15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1.3</v>
      </c>
      <c r="G31" s="153">
        <f>IFERROR(VLOOKUP($A$3:$A$122,'JULY-2026'!$A$4:$ACS$118,MATCH('FY-(26-27)Q2'!$G$2:$H$2,'JULY-2026'!$A$2:$CT$2,0),0),0)</f>
        <v>270747</v>
      </c>
      <c r="H31" s="155">
        <f>IFERROR(VLOOKUP($A$3:$A$122,'JULY-2026'!$A$4:$ACS$118,MATCH('FY-(26-27)Q2'!$G$2:$H$2,'JULY-2026'!$A$2:$CT$2,0),0),0)</f>
        <v>2.1659760000000001</v>
      </c>
      <c r="I31" s="153">
        <f>IFERROR(VLOOKUP($A$3:$A$122,'AUG-2026'!$A$4:$ACU$119,MATCH('FY-(26-27)Q2'!$I$2:$J$2,'AUG-2026'!$A$2:$CV$2,0),0),0)</f>
        <v>-87240</v>
      </c>
      <c r="J31" s="155">
        <f>IFERROR(VLOOKUP($A$3:$A$122,'AUG-2026'!$A$4:$ACU$119,MATCH('FY-(26-27)Q2'!$I$2:$J$2,'AUG-2026'!$A$2:$CV$2,0),0),0)</f>
        <v>-0.69791999999999998</v>
      </c>
      <c r="K31" s="153">
        <f>IFERROR(VLOOKUP($A$3:$A$122,'[1]SEP-2026'!$A$4:$ADI$113,MATCH('FY-(26-27)Q2'!$K$2:$L$2,'[1]SEP-2026'!$A$2:$DJ$2,0),0),0)</f>
        <v>0</v>
      </c>
      <c r="L31" s="155">
        <f>IFERROR(VLOOKUP($A$3:$A$122,'[1]SEP-2026'!$A$4:$ADI$113,MATCH('FY-(26-27)Q2'!$K$2:$L$2,'[1]SEP-2026'!$A$2:$DJ$2,0),0),0)</f>
        <v>0</v>
      </c>
      <c r="M31" s="71">
        <f t="shared" si="0"/>
        <v>183507</v>
      </c>
      <c r="N31" s="166">
        <f t="shared" si="0"/>
        <v>1.4680560000000002</v>
      </c>
    </row>
    <row r="32" spans="1:15" x14ac:dyDescent="0.25">
      <c r="A32" s="62" t="s">
        <v>1</v>
      </c>
      <c r="B32" s="62" t="s">
        <v>93</v>
      </c>
      <c r="C32" s="62" t="s">
        <v>248</v>
      </c>
      <c r="D32" s="42" t="s">
        <v>92</v>
      </c>
      <c r="E32" s="42" t="s">
        <v>256</v>
      </c>
      <c r="F32" s="201">
        <v>1.5</v>
      </c>
      <c r="G32" s="153">
        <f>IFERROR(VLOOKUP($A$3:$A$122,'JULY-2026'!$A$4:$ACS$118,MATCH('FY-(26-27)Q2'!$G$2:$H$2,'JULY-2026'!$A$2:$CT$2,0),0),0)</f>
        <v>270678</v>
      </c>
      <c r="H32" s="155">
        <f>IFERROR(VLOOKUP($A$3:$A$122,'JULY-2026'!$A$4:$ACS$118,MATCH('FY-(26-27)Q2'!$G$2:$H$2,'JULY-2026'!$A$2:$CT$2,0),0),0)</f>
        <v>1.8045199999999999</v>
      </c>
      <c r="I32" s="153">
        <f>IFERROR(VLOOKUP($A$3:$A$122,'AUG-2026'!$A$4:$ACU$119,MATCH('FY-(26-27)Q2'!$I$2:$J$2,'AUG-2026'!$A$2:$CV$2,0),0),0)</f>
        <v>-87014</v>
      </c>
      <c r="J32" s="155">
        <f>IFERROR(VLOOKUP($A$3:$A$122,'AUG-2026'!$A$4:$ACU$119,MATCH('FY-(26-27)Q2'!$I$2:$J$2,'AUG-2026'!$A$2:$CV$2,0),0),0)</f>
        <v>-0.58009333333333335</v>
      </c>
      <c r="K32" s="153">
        <f>IFERROR(VLOOKUP($A$3:$A$122,'[1]SEP-2026'!$A$4:$ADI$113,MATCH('FY-(26-27)Q2'!$K$2:$L$2,'[1]SEP-2026'!$A$2:$DJ$2,0),0),0)</f>
        <v>0</v>
      </c>
      <c r="L32" s="155">
        <f>IFERROR(VLOOKUP($A$3:$A$122,'[1]SEP-2026'!$A$4:$ADI$113,MATCH('FY-(26-27)Q2'!$K$2:$L$2,'[1]SEP-2026'!$A$2:$DJ$2,0),0),0)</f>
        <v>0</v>
      </c>
      <c r="M32" s="71">
        <f t="shared" si="0"/>
        <v>183664</v>
      </c>
      <c r="N32" s="166">
        <f t="shared" si="0"/>
        <v>1.2244266666666666</v>
      </c>
    </row>
    <row r="33" spans="1:14" x14ac:dyDescent="0.25">
      <c r="A33" s="142" t="s">
        <v>65</v>
      </c>
      <c r="B33" s="141" t="s">
        <v>64</v>
      </c>
      <c r="C33" s="141" t="s">
        <v>7</v>
      </c>
      <c r="D33" s="141" t="s">
        <v>64</v>
      </c>
      <c r="E33" s="37" t="s">
        <v>256</v>
      </c>
      <c r="F33" s="156">
        <v>5</v>
      </c>
      <c r="G33" s="153">
        <f>IFERROR(VLOOKUP($A$3:$A$122,'JULY-2026'!$A$4:$ACS$118,MATCH('FY-(26-27)Q2'!$G$2:$H$2,'JULY-2026'!$A$2:$CT$2,0),0),0)</f>
        <v>1205315</v>
      </c>
      <c r="H33" s="155">
        <f>IFERROR(VLOOKUP($A$3:$A$122,'JULY-2026'!$A$4:$ACS$118,MATCH('FY-(26-27)Q2'!$G$2:$H$2,'JULY-2026'!$A$2:$CT$2,0),0),0)</f>
        <v>2.4106299999999998</v>
      </c>
      <c r="I33" s="153">
        <f>IFERROR(VLOOKUP($A$3:$A$122,'AUG-2026'!$A$4:$ACU$119,MATCH('FY-(26-27)Q2'!$I$2:$J$2,'AUG-2026'!$A$2:$CV$2,0),0),0)</f>
        <v>-486030</v>
      </c>
      <c r="J33" s="155">
        <f>IFERROR(VLOOKUP($A$3:$A$122,'AUG-2026'!$A$4:$ACU$119,MATCH('FY-(26-27)Q2'!$I$2:$J$2,'AUG-2026'!$A$2:$CV$2,0),0),0)</f>
        <v>-0.97206000000000004</v>
      </c>
      <c r="K33" s="153">
        <f>IFERROR(VLOOKUP($A$3:$A$122,'[1]SEP-2026'!$A$4:$ADI$113,MATCH('FY-(26-27)Q2'!$K$2:$L$2,'[1]SEP-2026'!$A$2:$DJ$2,0),0),0)</f>
        <v>0</v>
      </c>
      <c r="L33" s="155">
        <f>IFERROR(VLOOKUP($A$3:$A$122,'[1]SEP-2026'!$A$4:$ADI$113,MATCH('FY-(26-27)Q2'!$K$2:$L$2,'[1]SEP-2026'!$A$2:$DJ$2,0),0),0)</f>
        <v>0</v>
      </c>
      <c r="M33" s="71">
        <f t="shared" si="0"/>
        <v>719285</v>
      </c>
      <c r="N33" s="166">
        <f t="shared" si="0"/>
        <v>1.4385699999999999</v>
      </c>
    </row>
    <row r="34" spans="1:14" x14ac:dyDescent="0.25">
      <c r="A34" s="141" t="s">
        <v>34</v>
      </c>
      <c r="B34" s="143" t="s">
        <v>18</v>
      </c>
      <c r="C34" s="141" t="s">
        <v>10</v>
      </c>
      <c r="D34" s="143" t="s">
        <v>18</v>
      </c>
      <c r="E34" s="37" t="s">
        <v>256</v>
      </c>
      <c r="F34" s="118">
        <v>5</v>
      </c>
      <c r="G34" s="153">
        <f>IFERROR(VLOOKUP($A$3:$A$122,'JULY-2026'!$A$4:$ACS$118,MATCH('FY-(26-27)Q2'!$G$2:$H$2,'JULY-2026'!$A$2:$CT$2,0),0),0)</f>
        <v>457495</v>
      </c>
      <c r="H34" s="155">
        <f>IFERROR(VLOOKUP($A$3:$A$122,'JULY-2026'!$A$4:$ACS$118,MATCH('FY-(26-27)Q2'!$G$2:$H$2,'JULY-2026'!$A$2:$CT$2,0),0),0)</f>
        <v>0.91498999999999997</v>
      </c>
      <c r="I34" s="153">
        <f>IFERROR(VLOOKUP($A$3:$A$122,'AUG-2026'!$A$4:$ACU$119,MATCH('FY-(26-27)Q2'!$I$2:$J$2,'AUG-2026'!$A$2:$CV$2,0),0),0)</f>
        <v>-122188</v>
      </c>
      <c r="J34" s="155">
        <f>IFERROR(VLOOKUP($A$3:$A$122,'AUG-2026'!$A$4:$ACU$119,MATCH('FY-(26-27)Q2'!$I$2:$J$2,'AUG-2026'!$A$2:$CV$2,0),0),0)</f>
        <v>-0.24437600000000001</v>
      </c>
      <c r="K34" s="153">
        <f>IFERROR(VLOOKUP($A$3:$A$122,'[1]SEP-2026'!$A$4:$ADI$113,MATCH('FY-(26-27)Q2'!$K$2:$L$2,'[1]SEP-2026'!$A$2:$DJ$2,0),0),0)</f>
        <v>0</v>
      </c>
      <c r="L34" s="155">
        <f>IFERROR(VLOOKUP($A$3:$A$122,'[1]SEP-2026'!$A$4:$ADI$113,MATCH('FY-(26-27)Q2'!$K$2:$L$2,'[1]SEP-2026'!$A$2:$DJ$2,0),0),0)</f>
        <v>0</v>
      </c>
      <c r="M34" s="71">
        <f t="shared" si="0"/>
        <v>335307</v>
      </c>
      <c r="N34" s="166">
        <f t="shared" si="0"/>
        <v>0.67061399999999993</v>
      </c>
    </row>
    <row r="35" spans="1:1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37" t="s">
        <v>256</v>
      </c>
      <c r="F35" s="118">
        <v>0.5</v>
      </c>
      <c r="G35" s="153">
        <f>IFERROR(VLOOKUP($A$3:$A$122,'JULY-2026'!$A$4:$ACS$118,MATCH('FY-(26-27)Q2'!$G$2:$H$2,'JULY-2026'!$A$2:$CT$2,0),0),0)</f>
        <v>-15025</v>
      </c>
      <c r="H35" s="155">
        <f>IFERROR(VLOOKUP($A$3:$A$122,'JULY-2026'!$A$4:$ACS$118,MATCH('FY-(26-27)Q2'!$G$2:$H$2,'JULY-2026'!$A$2:$CT$2,0),0),0)</f>
        <v>-0.30049999999999999</v>
      </c>
      <c r="I35" s="153">
        <f>IFERROR(VLOOKUP($A$3:$A$122,'AUG-2026'!$A$4:$ACU$119,MATCH('FY-(26-27)Q2'!$I$2:$J$2,'AUG-2026'!$A$2:$CV$2,0),0),0)</f>
        <v>-16213</v>
      </c>
      <c r="J35" s="155">
        <f>IFERROR(VLOOKUP($A$3:$A$122,'AUG-2026'!$A$4:$ACU$119,MATCH('FY-(26-27)Q2'!$I$2:$J$2,'AUG-2026'!$A$2:$CV$2,0),0),0)</f>
        <v>-0.32425999999999999</v>
      </c>
      <c r="K35" s="153">
        <f>IFERROR(VLOOKUP($A$3:$A$122,'[1]SEP-2026'!$A$4:$ADI$113,MATCH('FY-(26-27)Q2'!$K$2:$L$2,'[1]SEP-2026'!$A$2:$DJ$2,0),0),0)</f>
        <v>0</v>
      </c>
      <c r="L35" s="155">
        <f>IFERROR(VLOOKUP($A$3:$A$122,'[1]SEP-2026'!$A$4:$ADI$113,MATCH('FY-(26-27)Q2'!$K$2:$L$2,'[1]SEP-2026'!$A$2:$DJ$2,0),0),0)</f>
        <v>0</v>
      </c>
      <c r="M35" s="71">
        <f t="shared" si="0"/>
        <v>-31238</v>
      </c>
      <c r="N35" s="166">
        <f t="shared" si="0"/>
        <v>-0.62475999999999998</v>
      </c>
    </row>
    <row r="36" spans="1:14" x14ac:dyDescent="0.25">
      <c r="A36" s="43" t="s">
        <v>67</v>
      </c>
      <c r="B36" s="141" t="s">
        <v>76</v>
      </c>
      <c r="C36" s="141" t="s">
        <v>60</v>
      </c>
      <c r="D36" s="37" t="s">
        <v>4</v>
      </c>
      <c r="E36" s="37" t="s">
        <v>256</v>
      </c>
      <c r="F36" s="156">
        <v>0.4</v>
      </c>
      <c r="G36" s="153">
        <f>IFERROR(VLOOKUP($A$3:$A$122,'JULY-2026'!$A$4:$ACS$118,MATCH('FY-(26-27)Q2'!$G$2:$H$2,'JULY-2026'!$A$2:$CT$2,0),0),0)</f>
        <v>-118745</v>
      </c>
      <c r="H36" s="155">
        <f>IFERROR(VLOOKUP($A$3:$A$122,'JULY-2026'!$A$4:$ACS$118,MATCH('FY-(26-27)Q2'!$G$2:$H$2,'JULY-2026'!$A$2:$CT$2,0),0),0)</f>
        <v>-2.9686249999999998</v>
      </c>
      <c r="I36" s="153">
        <f>IFERROR(VLOOKUP($A$3:$A$122,'AUG-2026'!$A$4:$ACU$119,MATCH('FY-(26-27)Q2'!$I$2:$J$2,'AUG-2026'!$A$2:$CV$2,0),0),0)</f>
        <v>-16332</v>
      </c>
      <c r="J36" s="155">
        <f>IFERROR(VLOOKUP($A$3:$A$122,'AUG-2026'!$A$4:$ACU$119,MATCH('FY-(26-27)Q2'!$I$2:$J$2,'AUG-2026'!$A$2:$CV$2,0),0),0)</f>
        <v>-0.4083</v>
      </c>
      <c r="K36" s="153">
        <f>IFERROR(VLOOKUP($A$3:$A$122,'[1]SEP-2026'!$A$4:$ADI$113,MATCH('FY-(26-27)Q2'!$K$2:$L$2,'[1]SEP-2026'!$A$2:$DJ$2,0),0),0)</f>
        <v>0</v>
      </c>
      <c r="L36" s="155">
        <f>IFERROR(VLOOKUP($A$3:$A$122,'[1]SEP-2026'!$A$4:$ADI$113,MATCH('FY-(26-27)Q2'!$K$2:$L$2,'[1]SEP-2026'!$A$2:$DJ$2,0),0),0)</f>
        <v>0</v>
      </c>
      <c r="M36" s="71">
        <f t="shared" si="0"/>
        <v>-135077</v>
      </c>
      <c r="N36" s="166">
        <f t="shared" si="0"/>
        <v>-3.376925</v>
      </c>
    </row>
    <row r="37" spans="1:14" x14ac:dyDescent="0.25">
      <c r="A37" s="43" t="s">
        <v>143</v>
      </c>
      <c r="B37" s="141" t="s">
        <v>19</v>
      </c>
      <c r="C37" s="142" t="s">
        <v>232</v>
      </c>
      <c r="D37" s="142" t="s">
        <v>145</v>
      </c>
      <c r="E37" s="142" t="s">
        <v>256</v>
      </c>
      <c r="F37" s="156">
        <v>0.5</v>
      </c>
      <c r="G37" s="153">
        <f>IFERROR(VLOOKUP($A$3:$A$122,'JULY-2026'!$A$4:$ACS$118,MATCH('FY-(26-27)Q2'!$G$2:$H$2,'JULY-2026'!$A$2:$CT$2,0),0),0)</f>
        <v>-215150</v>
      </c>
      <c r="H37" s="155">
        <f>IFERROR(VLOOKUP($A$3:$A$122,'JULY-2026'!$A$4:$ACS$118,MATCH('FY-(26-27)Q2'!$G$2:$H$2,'JULY-2026'!$A$2:$CT$2,0),0),0)</f>
        <v>-4.3029999999999999</v>
      </c>
      <c r="I37" s="153">
        <f>IFERROR(VLOOKUP($A$3:$A$122,'AUG-2026'!$A$4:$ACU$119,MATCH('FY-(26-27)Q2'!$I$2:$J$2,'AUG-2026'!$A$2:$CV$2,0),0),0)</f>
        <v>0</v>
      </c>
      <c r="J37" s="155">
        <f>IFERROR(VLOOKUP($A$3:$A$122,'AUG-2026'!$A$4:$ACU$119,MATCH('FY-(26-27)Q2'!$I$2:$J$2,'AUG-2026'!$A$2:$CV$2,0),0),0)</f>
        <v>0</v>
      </c>
      <c r="K37" s="153">
        <f>IFERROR(VLOOKUP($A$3:$A$122,'[1]SEP-2026'!$A$4:$ADI$113,MATCH('FY-(26-27)Q2'!$K$2:$L$2,'[1]SEP-2026'!$A$2:$DJ$2,0),0),0)</f>
        <v>0</v>
      </c>
      <c r="L37" s="155">
        <f>IFERROR(VLOOKUP($A$3:$A$122,'[1]SEP-2026'!$A$4:$ADI$113,MATCH('FY-(26-27)Q2'!$K$2:$L$2,'[1]SEP-2026'!$A$2:$DJ$2,0),0),0)</f>
        <v>0</v>
      </c>
      <c r="M37" s="71">
        <f t="shared" si="0"/>
        <v>-215150</v>
      </c>
      <c r="N37" s="166">
        <f t="shared" si="0"/>
        <v>-4.3029999999999999</v>
      </c>
    </row>
    <row r="38" spans="1:1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53">
        <f>IFERROR(VLOOKUP($A$3:$A$122,'JULY-2026'!$A$4:$ACS$118,MATCH('FY-(26-27)Q2'!$G$2:$H$2,'JULY-2026'!$A$2:$CT$2,0),0),0)</f>
        <v>-64553</v>
      </c>
      <c r="H38" s="155">
        <f>IFERROR(VLOOKUP($A$3:$A$122,'JULY-2026'!$A$4:$ACS$118,MATCH('FY-(26-27)Q2'!$G$2:$H$2,'JULY-2026'!$A$2:$CT$2,0),0),0)</f>
        <v>-1.2910600000000001</v>
      </c>
      <c r="I38" s="153">
        <f>IFERROR(VLOOKUP($A$3:$A$122,'AUG-2026'!$A$4:$ACU$119,MATCH('FY-(26-27)Q2'!$I$2:$J$2,'AUG-2026'!$A$2:$CV$2,0),0),0)</f>
        <v>0</v>
      </c>
      <c r="J38" s="155">
        <f>IFERROR(VLOOKUP($A$3:$A$122,'AUG-2026'!$A$4:$ACU$119,MATCH('FY-(26-27)Q2'!$I$2:$J$2,'AUG-2026'!$A$2:$CV$2,0),0),0)</f>
        <v>0</v>
      </c>
      <c r="K38" s="153">
        <f>IFERROR(VLOOKUP($A$3:$A$122,'[1]SEP-2026'!$A$4:$ADI$113,MATCH('FY-(26-27)Q2'!$K$2:$L$2,'[1]SEP-2026'!$A$2:$DJ$2,0),0),0)</f>
        <v>0</v>
      </c>
      <c r="L38" s="155">
        <f>IFERROR(VLOOKUP($A$3:$A$122,'[1]SEP-2026'!$A$4:$ADI$113,MATCH('FY-(26-27)Q2'!$K$2:$L$2,'[1]SEP-2026'!$A$2:$DJ$2,0),0),0)</f>
        <v>0</v>
      </c>
      <c r="M38" s="71">
        <f t="shared" ref="M38" si="7">G38+I38+K38</f>
        <v>-64553</v>
      </c>
      <c r="N38" s="166">
        <f t="shared" ref="N38" si="8">H38+J38+L38</f>
        <v>-1.2910600000000001</v>
      </c>
    </row>
    <row r="39" spans="1:1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40" t="s">
        <v>256</v>
      </c>
      <c r="F39" s="156">
        <v>4</v>
      </c>
      <c r="G39" s="153">
        <f>IFERROR(VLOOKUP($A$3:$A$122,'JULY-2026'!$A$4:$ACS$118,MATCH('FY-(26-27)Q2'!$G$2:$H$2,'JULY-2026'!$A$2:$CT$2,0),0),0)</f>
        <v>360685</v>
      </c>
      <c r="H39" s="155">
        <f>IFERROR(VLOOKUP($A$3:$A$122,'JULY-2026'!$A$4:$ACS$118,MATCH('FY-(26-27)Q2'!$G$2:$H$2,'JULY-2026'!$A$2:$CT$2,0),0),0)</f>
        <v>0.90171250000000003</v>
      </c>
      <c r="I39" s="153">
        <f>IFERROR(VLOOKUP($A$3:$A$122,'AUG-2026'!$A$4:$ACU$119,MATCH('FY-(26-27)Q2'!$I$2:$J$2,'AUG-2026'!$A$2:$CV$2,0),0),0)</f>
        <v>-62629</v>
      </c>
      <c r="J39" s="155">
        <f>IFERROR(VLOOKUP($A$3:$A$122,'AUG-2026'!$A$4:$ACU$119,MATCH('FY-(26-27)Q2'!$I$2:$J$2,'AUG-2026'!$A$2:$CV$2,0),0),0)</f>
        <v>-0.1565725</v>
      </c>
      <c r="K39" s="153">
        <f>IFERROR(VLOOKUP($A$3:$A$122,'[1]SEP-2026'!$A$4:$ADI$113,MATCH('FY-(26-27)Q2'!$K$2:$L$2,'[1]SEP-2026'!$A$2:$DJ$2,0),0),0)</f>
        <v>0</v>
      </c>
      <c r="L39" s="155">
        <f>IFERROR(VLOOKUP($A$3:$A$122,'[1]SEP-2026'!$A$4:$ADI$113,MATCH('FY-(26-27)Q2'!$K$2:$L$2,'[1]SEP-2026'!$A$2:$DJ$2,0),0),0)</f>
        <v>0</v>
      </c>
      <c r="M39" s="71">
        <f t="shared" si="0"/>
        <v>298056</v>
      </c>
      <c r="N39" s="166">
        <f t="shared" si="0"/>
        <v>0.74514000000000002</v>
      </c>
    </row>
    <row r="40" spans="1:14" x14ac:dyDescent="0.25">
      <c r="A40" s="142" t="s">
        <v>104</v>
      </c>
      <c r="B40" s="143" t="s">
        <v>105</v>
      </c>
      <c r="C40" s="142" t="s">
        <v>57</v>
      </c>
      <c r="D40" s="142" t="s">
        <v>106</v>
      </c>
      <c r="E40" s="40" t="s">
        <v>106</v>
      </c>
      <c r="F40" s="156">
        <v>1</v>
      </c>
      <c r="G40" s="153">
        <f>IFERROR(VLOOKUP($A$3:$A$122,'JULY-2026'!$A$4:$ACS$118,MATCH('FY-(26-27)Q2'!$G$2:$H$2,'JULY-2026'!$A$2:$CT$2,0),0),0)</f>
        <v>150383</v>
      </c>
      <c r="H40" s="155">
        <f>IFERROR(VLOOKUP($A$3:$A$122,'JULY-2026'!$A$4:$ACS$118,MATCH('FY-(26-27)Q2'!$G$2:$H$2,'JULY-2026'!$A$2:$CT$2,0),0),0)</f>
        <v>1.50383</v>
      </c>
      <c r="I40" s="153">
        <f>IFERROR(VLOOKUP($A$3:$A$122,'AUG-2026'!$A$4:$ACU$119,MATCH('FY-(26-27)Q2'!$I$2:$J$2,'AUG-2026'!$A$2:$CV$2,0),0),0)</f>
        <v>74532</v>
      </c>
      <c r="J40" s="155">
        <f>IFERROR(VLOOKUP($A$3:$A$122,'AUG-2026'!$A$4:$ACU$119,MATCH('FY-(26-27)Q2'!$I$2:$J$2,'AUG-2026'!$A$2:$CV$2,0),0),0)</f>
        <v>0.74531999999999998</v>
      </c>
      <c r="K40" s="153">
        <f>IFERROR(VLOOKUP($A$3:$A$122,'[1]SEP-2026'!$A$4:$ADI$113,MATCH('FY-(26-27)Q2'!$K$2:$L$2,'[1]SEP-2026'!$A$2:$DJ$2,0),0),0)</f>
        <v>0</v>
      </c>
      <c r="L40" s="155">
        <f>IFERROR(VLOOKUP($A$3:$A$122,'[1]SEP-2026'!$A$4:$ADI$113,MATCH('FY-(26-27)Q2'!$K$2:$L$2,'[1]SEP-2026'!$A$2:$DJ$2,0),0),0)</f>
        <v>0</v>
      </c>
      <c r="M40" s="71">
        <f t="shared" si="0"/>
        <v>224915</v>
      </c>
      <c r="N40" s="166">
        <f t="shared" si="0"/>
        <v>2.2491500000000002</v>
      </c>
    </row>
    <row r="41" spans="1:14" x14ac:dyDescent="0.25">
      <c r="A41" s="142" t="s">
        <v>229</v>
      </c>
      <c r="B41" s="143" t="s">
        <v>105</v>
      </c>
      <c r="C41" s="142" t="s">
        <v>218</v>
      </c>
      <c r="D41" s="142" t="s">
        <v>269</v>
      </c>
      <c r="E41" s="142" t="s">
        <v>256</v>
      </c>
      <c r="F41" s="156">
        <v>0.5</v>
      </c>
      <c r="G41" s="153">
        <f>IFERROR(VLOOKUP($A$3:$A$122,'JULY-2026'!$A$4:$ACS$118,MATCH('FY-(26-27)Q2'!$G$2:$H$2,'JULY-2026'!$A$2:$CT$2,0),0),0)</f>
        <v>-52106</v>
      </c>
      <c r="H41" s="155">
        <f>IFERROR(VLOOKUP($A$3:$A$122,'JULY-2026'!$A$4:$ACS$118,MATCH('FY-(26-27)Q2'!$G$2:$H$2,'JULY-2026'!$A$2:$CT$2,0),0),0)</f>
        <v>-1.0421199999999999</v>
      </c>
      <c r="I41" s="153">
        <f>IFERROR(VLOOKUP($A$3:$A$122,'AUG-2026'!$A$4:$ACU$119,MATCH('FY-(26-27)Q2'!$I$2:$J$2,'AUG-2026'!$A$2:$CV$2,0),0),0)</f>
        <v>-23279</v>
      </c>
      <c r="J41" s="155">
        <f>IFERROR(VLOOKUP($A$3:$A$122,'AUG-2026'!$A$4:$ACU$119,MATCH('FY-(26-27)Q2'!$I$2:$J$2,'AUG-2026'!$A$2:$CV$2,0),0),0)</f>
        <v>-0.46557999999999999</v>
      </c>
      <c r="K41" s="153">
        <f>IFERROR(VLOOKUP($A$3:$A$122,'[1]SEP-2026'!$A$4:$ADI$113,MATCH('FY-(26-27)Q2'!$K$2:$L$2,'[1]SEP-2026'!$A$2:$DJ$2,0),0),0)</f>
        <v>0</v>
      </c>
      <c r="L41" s="155">
        <f>IFERROR(VLOOKUP($A$3:$A$122,'[1]SEP-2026'!$A$4:$ADI$113,MATCH('FY-(26-27)Q2'!$K$2:$L$2,'[1]SEP-2026'!$A$2:$DJ$2,0),0),0)</f>
        <v>0</v>
      </c>
      <c r="M41" s="71">
        <f t="shared" si="0"/>
        <v>-75385</v>
      </c>
      <c r="N41" s="166">
        <f t="shared" si="0"/>
        <v>-1.5076999999999998</v>
      </c>
    </row>
    <row r="42" spans="1:14" x14ac:dyDescent="0.25">
      <c r="A42" s="142" t="s">
        <v>45</v>
      </c>
      <c r="B42" s="143" t="s">
        <v>98</v>
      </c>
      <c r="C42" s="142" t="s">
        <v>220</v>
      </c>
      <c r="D42" s="142" t="s">
        <v>265</v>
      </c>
      <c r="E42" s="60" t="s">
        <v>256</v>
      </c>
      <c r="F42" s="156">
        <v>1</v>
      </c>
      <c r="G42" s="153">
        <f>IFERROR(VLOOKUP($A$3:$A$122,'JULY-2026'!$A$4:$ACS$118,MATCH('FY-(26-27)Q2'!$G$2:$H$2,'JULY-2026'!$A$2:$CT$2,0),0),0)</f>
        <v>79198</v>
      </c>
      <c r="H42" s="155">
        <f>IFERROR(VLOOKUP($A$3:$A$122,'JULY-2026'!$A$4:$ACS$118,MATCH('FY-(26-27)Q2'!$G$2:$H$2,'JULY-2026'!$A$2:$CT$2,0),0),0)</f>
        <v>0.2639933333333333</v>
      </c>
      <c r="I42" s="153">
        <f>IFERROR(VLOOKUP($A$3:$A$122,'AUG-2026'!$A$4:$ACU$119,MATCH('FY-(26-27)Q2'!$I$2:$J$2,'AUG-2026'!$A$2:$CV$2,0),0),0)</f>
        <v>-68389</v>
      </c>
      <c r="J42" s="155">
        <f>IFERROR(VLOOKUP($A$3:$A$122,'AUG-2026'!$A$4:$ACU$119,MATCH('FY-(26-27)Q2'!$I$2:$J$2,'AUG-2026'!$A$2:$CV$2,0),0),0)</f>
        <v>-0.2279633333333333</v>
      </c>
      <c r="K42" s="153">
        <f>IFERROR(VLOOKUP($A$3:$A$122,'[1]SEP-2026'!$A$4:$ADI$113,MATCH('FY-(26-27)Q2'!$K$2:$L$2,'[1]SEP-2026'!$A$2:$DJ$2,0),0),0)</f>
        <v>0</v>
      </c>
      <c r="L42" s="155">
        <f>IFERROR(VLOOKUP($A$3:$A$122,'[1]SEP-2026'!$A$4:$ADI$113,MATCH('FY-(26-27)Q2'!$K$2:$L$2,'[1]SEP-2026'!$A$2:$DJ$2,0),0),0)</f>
        <v>0</v>
      </c>
      <c r="M42" s="71">
        <f t="shared" si="0"/>
        <v>10809</v>
      </c>
      <c r="N42" s="166">
        <f t="shared" si="0"/>
        <v>3.6030000000000006E-2</v>
      </c>
    </row>
    <row r="43" spans="1:14" x14ac:dyDescent="0.25">
      <c r="A43" s="142" t="s">
        <v>193</v>
      </c>
      <c r="B43" s="143" t="s">
        <v>186</v>
      </c>
      <c r="C43" s="142" t="s">
        <v>221</v>
      </c>
      <c r="D43" s="142" t="s">
        <v>265</v>
      </c>
      <c r="E43" s="142" t="s">
        <v>256</v>
      </c>
      <c r="F43" s="156">
        <v>3</v>
      </c>
      <c r="G43" s="153">
        <f>IFERROR(VLOOKUP($A$3:$A$122,'JULY-2026'!$A$4:$ACS$118,MATCH('FY-(26-27)Q2'!$G$2:$H$2,'JULY-2026'!$A$2:$CT$2,0),0),0)</f>
        <v>64077</v>
      </c>
      <c r="H43" s="155">
        <f>IFERROR(VLOOKUP($A$3:$A$122,'JULY-2026'!$A$4:$ACS$118,MATCH('FY-(26-27)Q2'!$G$2:$H$2,'JULY-2026'!$A$2:$CT$2,0),0),0)</f>
        <v>0.21359</v>
      </c>
      <c r="I43" s="153">
        <f>IFERROR(VLOOKUP($A$3:$A$122,'AUG-2026'!$A$4:$ACU$119,MATCH('FY-(26-27)Q2'!$I$2:$J$2,'AUG-2026'!$A$2:$CV$2,0),0),0)</f>
        <v>-68912</v>
      </c>
      <c r="J43" s="155">
        <f>IFERROR(VLOOKUP($A$3:$A$122,'AUG-2026'!$A$4:$ACU$119,MATCH('FY-(26-27)Q2'!$I$2:$J$2,'AUG-2026'!$A$2:$CV$2,0),0),0)</f>
        <v>-0.2297066666666667</v>
      </c>
      <c r="K43" s="153">
        <f>IFERROR(VLOOKUP($A$3:$A$122,'[1]SEP-2026'!$A$4:$ADI$113,MATCH('FY-(26-27)Q2'!$K$2:$L$2,'[1]SEP-2026'!$A$2:$DJ$2,0),0),0)</f>
        <v>0</v>
      </c>
      <c r="L43" s="155">
        <f>IFERROR(VLOOKUP($A$3:$A$122,'[1]SEP-2026'!$A$4:$ADI$113,MATCH('FY-(26-27)Q2'!$K$2:$L$2,'[1]SEP-2026'!$A$2:$DJ$2,0),0),0)</f>
        <v>0</v>
      </c>
      <c r="M43" s="71">
        <f t="shared" si="0"/>
        <v>-4835</v>
      </c>
      <c r="N43" s="166">
        <f t="shared" si="0"/>
        <v>-1.6116666666666696E-2</v>
      </c>
    </row>
    <row r="44" spans="1:14" x14ac:dyDescent="0.25">
      <c r="A44" s="142" t="s">
        <v>52</v>
      </c>
      <c r="B44" s="143" t="s">
        <v>115</v>
      </c>
      <c r="C44" s="142" t="s">
        <v>219</v>
      </c>
      <c r="D44" s="142" t="s">
        <v>269</v>
      </c>
      <c r="E44" s="37" t="s">
        <v>256</v>
      </c>
      <c r="F44" s="156">
        <v>3</v>
      </c>
      <c r="G44" s="153">
        <f>IFERROR(VLOOKUP($A$3:$A$122,'JULY-2026'!$A$4:$ACS$118,MATCH('FY-(26-27)Q2'!$G$2:$H$2,'JULY-2026'!$A$2:$CT$2,0),0),0)</f>
        <v>142838</v>
      </c>
      <c r="H44" s="155">
        <f>IFERROR(VLOOKUP($A$3:$A$122,'JULY-2026'!$A$4:$ACS$118,MATCH('FY-(26-27)Q2'!$G$2:$H$2,'JULY-2026'!$A$2:$CT$2,0),0),0)</f>
        <v>0.47612666666666659</v>
      </c>
      <c r="I44" s="153">
        <f>IFERROR(VLOOKUP($A$3:$A$122,'AUG-2026'!$A$4:$ACU$119,MATCH('FY-(26-27)Q2'!$I$2:$J$2,'AUG-2026'!$A$2:$CV$2,0),0),0)</f>
        <v>-87702</v>
      </c>
      <c r="J44" s="155">
        <f>IFERROR(VLOOKUP($A$3:$A$122,'AUG-2026'!$A$4:$ACU$119,MATCH('FY-(26-27)Q2'!$I$2:$J$2,'AUG-2026'!$A$2:$CV$2,0),0),0)</f>
        <v>-0.29233999999999999</v>
      </c>
      <c r="K44" s="153">
        <f>IFERROR(VLOOKUP($A$3:$A$122,'[1]SEP-2026'!$A$4:$ADI$113,MATCH('FY-(26-27)Q2'!$K$2:$L$2,'[1]SEP-2026'!$A$2:$DJ$2,0),0),0)</f>
        <v>0</v>
      </c>
      <c r="L44" s="155">
        <f>IFERROR(VLOOKUP($A$3:$A$122,'[1]SEP-2026'!$A$4:$ADI$113,MATCH('FY-(26-27)Q2'!$K$2:$L$2,'[1]SEP-2026'!$A$2:$DJ$2,0),0),0)</f>
        <v>0</v>
      </c>
      <c r="M44" s="71">
        <f t="shared" si="0"/>
        <v>55136</v>
      </c>
      <c r="N44" s="166">
        <f t="shared" si="0"/>
        <v>0.1837866666666666</v>
      </c>
    </row>
    <row r="45" spans="1:14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53">
        <f>IFERROR(VLOOKUP($A$3:$A$122,'JULY-2026'!$A$4:$ACS$118,MATCH('FY-(26-27)Q2'!$G$2:$H$2,'JULY-2026'!$A$2:$CT$2,0),0),0)</f>
        <v>-12015</v>
      </c>
      <c r="H45" s="155">
        <f>IFERROR(VLOOKUP($A$3:$A$122,'JULY-2026'!$A$4:$ACS$118,MATCH('FY-(26-27)Q2'!$G$2:$H$2,'JULY-2026'!$A$2:$CT$2,0),0),0)</f>
        <v>-1.2015</v>
      </c>
      <c r="I45" s="153">
        <f>IFERROR(VLOOKUP($A$3:$A$122,'AUG-2026'!$A$4:$ACU$119,MATCH('FY-(26-27)Q2'!$I$2:$J$2,'AUG-2026'!$A$2:$CV$2,0),0),0)</f>
        <v>18566</v>
      </c>
      <c r="J45" s="155">
        <f>IFERROR(VLOOKUP($A$3:$A$122,'AUG-2026'!$A$4:$ACU$119,MATCH('FY-(26-27)Q2'!$I$2:$J$2,'AUG-2026'!$A$2:$CV$2,0),0),0)</f>
        <v>1.8566</v>
      </c>
      <c r="K45" s="153">
        <f>IFERROR(VLOOKUP($A$3:$A$122,'[1]SEP-2026'!$A$4:$ADI$113,MATCH('FY-(26-27)Q2'!$K$2:$L$2,'[1]SEP-2026'!$A$2:$DJ$2,0),0),0)</f>
        <v>0</v>
      </c>
      <c r="L45" s="155">
        <f>IFERROR(VLOOKUP($A$3:$A$122,'[1]SEP-2026'!$A$4:$ADI$113,MATCH('FY-(26-27)Q2'!$K$2:$L$2,'[1]SEP-2026'!$A$2:$DJ$2,0),0),0)</f>
        <v>0</v>
      </c>
      <c r="M45" s="71">
        <f t="shared" ref="M45" si="9">G45+I45+K45</f>
        <v>6551</v>
      </c>
      <c r="N45" s="166">
        <f t="shared" ref="N45" si="10">H45+J45+L45</f>
        <v>0.65510000000000002</v>
      </c>
    </row>
    <row r="46" spans="1:14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37" t="s">
        <v>256</v>
      </c>
      <c r="F46" s="156">
        <v>1</v>
      </c>
      <c r="G46" s="153">
        <f>IFERROR(VLOOKUP($A$3:$A$122,'JULY-2026'!$A$4:$ACS$118,MATCH('FY-(26-27)Q2'!$G$2:$H$2,'JULY-2026'!$A$2:$CT$2,0),0),0)</f>
        <v>32060</v>
      </c>
      <c r="H46" s="155">
        <f>IFERROR(VLOOKUP($A$3:$A$122,'JULY-2026'!$A$4:$ACS$118,MATCH('FY-(26-27)Q2'!$G$2:$H$2,'JULY-2026'!$A$2:$CT$2,0),0),0)</f>
        <v>0.3206</v>
      </c>
      <c r="I46" s="153">
        <f>IFERROR(VLOOKUP($A$3:$A$122,'AUG-2026'!$A$4:$ACU$119,MATCH('FY-(26-27)Q2'!$I$2:$J$2,'AUG-2026'!$A$2:$CV$2,0),0),0)</f>
        <v>2268</v>
      </c>
      <c r="J46" s="155">
        <f>IFERROR(VLOOKUP($A$3:$A$122,'AUG-2026'!$A$4:$ACU$119,MATCH('FY-(26-27)Q2'!$I$2:$J$2,'AUG-2026'!$A$2:$CV$2,0),0),0)</f>
        <v>4.5359999999999998E-2</v>
      </c>
      <c r="K46" s="153">
        <f>IFERROR(VLOOKUP($A$3:$A$122,'[1]SEP-2026'!$A$4:$ADI$113,MATCH('FY-(26-27)Q2'!$K$2:$L$2,'[1]SEP-2026'!$A$2:$DJ$2,0),0),0)</f>
        <v>0</v>
      </c>
      <c r="L46" s="155">
        <f>IFERROR(VLOOKUP($A$3:$A$122,'[1]SEP-2026'!$A$4:$ADI$113,MATCH('FY-(26-27)Q2'!$K$2:$L$2,'[1]SEP-2026'!$A$2:$DJ$2,0),0),0)</f>
        <v>0</v>
      </c>
      <c r="M46" s="71">
        <f t="shared" si="0"/>
        <v>34328</v>
      </c>
      <c r="N46" s="166">
        <f t="shared" si="0"/>
        <v>0.36596000000000001</v>
      </c>
    </row>
    <row r="47" spans="1:14" x14ac:dyDescent="0.25">
      <c r="A47" s="142" t="s">
        <v>48</v>
      </c>
      <c r="B47" s="141" t="s">
        <v>95</v>
      </c>
      <c r="C47" s="142" t="s">
        <v>50</v>
      </c>
      <c r="D47" s="40" t="s">
        <v>107</v>
      </c>
      <c r="E47" s="40" t="s">
        <v>107</v>
      </c>
      <c r="F47" s="118">
        <v>1</v>
      </c>
      <c r="G47" s="153">
        <f>IFERROR(VLOOKUP($A$3:$A$122,'JULY-2026'!$A$4:$ACS$118,MATCH('FY-(26-27)Q2'!$G$2:$H$2,'JULY-2026'!$A$2:$CT$2,0),0),0)</f>
        <v>184217</v>
      </c>
      <c r="H47" s="155">
        <f>IFERROR(VLOOKUP($A$3:$A$122,'JULY-2026'!$A$4:$ACS$118,MATCH('FY-(26-27)Q2'!$G$2:$H$2,'JULY-2026'!$A$2:$CT$2,0),0),0)</f>
        <v>1.8421700000000001</v>
      </c>
      <c r="I47" s="153">
        <f>IFERROR(VLOOKUP($A$3:$A$122,'AUG-2026'!$A$4:$ACU$119,MATCH('FY-(26-27)Q2'!$I$2:$J$2,'AUG-2026'!$A$2:$CV$2,0),0),0)</f>
        <v>275056</v>
      </c>
      <c r="J47" s="155">
        <f>IFERROR(VLOOKUP($A$3:$A$122,'AUG-2026'!$A$4:$ACU$119,MATCH('FY-(26-27)Q2'!$I$2:$J$2,'AUG-2026'!$A$2:$CV$2,0),0),0)</f>
        <v>2.7505600000000001</v>
      </c>
      <c r="K47" s="153">
        <f>IFERROR(VLOOKUP($A$3:$A$122,'[1]SEP-2026'!$A$4:$ADI$113,MATCH('FY-(26-27)Q2'!$K$2:$L$2,'[1]SEP-2026'!$A$2:$DJ$2,0),0),0)</f>
        <v>0</v>
      </c>
      <c r="L47" s="155">
        <f>IFERROR(VLOOKUP($A$3:$A$122,'[1]SEP-2026'!$A$4:$ADI$113,MATCH('FY-(26-27)Q2'!$K$2:$L$2,'[1]SEP-2026'!$A$2:$DJ$2,0),0),0)</f>
        <v>0</v>
      </c>
      <c r="M47" s="71">
        <f t="shared" si="0"/>
        <v>459273</v>
      </c>
      <c r="N47" s="166">
        <f t="shared" si="0"/>
        <v>4.5927300000000004</v>
      </c>
    </row>
    <row r="48" spans="1:14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53">
        <f>IFERROR(VLOOKUP($A$3:$A$122,'JULY-2026'!$A$4:$ACS$118,MATCH('FY-(26-27)Q2'!$G$2:$H$2,'JULY-2026'!$A$2:$CT$2,0),0),0)</f>
        <v>-4465</v>
      </c>
      <c r="H48" s="155">
        <f>IFERROR(VLOOKUP($A$3:$A$122,'JULY-2026'!$A$4:$ACS$118,MATCH('FY-(26-27)Q2'!$G$2:$H$2,'JULY-2026'!$A$2:$CT$2,0),0),0)</f>
        <v>-0.44650000000000001</v>
      </c>
      <c r="I48" s="153">
        <f>IFERROR(VLOOKUP($A$3:$A$122,'AUG-2026'!$A$4:$ACU$119,MATCH('FY-(26-27)Q2'!$I$2:$J$2,'AUG-2026'!$A$2:$CV$2,0),0),0)</f>
        <v>-361</v>
      </c>
      <c r="J48" s="155">
        <f>IFERROR(VLOOKUP($A$3:$A$122,'AUG-2026'!$A$4:$ACU$119,MATCH('FY-(26-27)Q2'!$I$2:$J$2,'AUG-2026'!$A$2:$CV$2,0),0),0)</f>
        <v>-3.61E-2</v>
      </c>
      <c r="K48" s="153">
        <f>IFERROR(VLOOKUP($A$3:$A$122,'[1]SEP-2026'!$A$4:$ADI$113,MATCH('FY-(26-27)Q2'!$K$2:$L$2,'[1]SEP-2026'!$A$2:$DJ$2,0),0),0)</f>
        <v>0</v>
      </c>
      <c r="L48" s="155">
        <f>IFERROR(VLOOKUP($A$3:$A$122,'[1]SEP-2026'!$A$4:$ADI$113,MATCH('FY-(26-27)Q2'!$K$2:$L$2,'[1]SEP-2026'!$A$2:$DJ$2,0),0),0)</f>
        <v>0</v>
      </c>
      <c r="M48" s="71">
        <f t="shared" ref="M48" si="11">G48+I48+K48</f>
        <v>-4826</v>
      </c>
      <c r="N48" s="166">
        <f t="shared" ref="N48" si="12">H48+J48+L48</f>
        <v>-0.48260000000000003</v>
      </c>
    </row>
    <row r="49" spans="1:14" x14ac:dyDescent="0.25">
      <c r="A49" s="143" t="s">
        <v>33</v>
      </c>
      <c r="B49" s="141" t="s">
        <v>14</v>
      </c>
      <c r="C49" s="143" t="s">
        <v>13</v>
      </c>
      <c r="D49" s="141" t="s">
        <v>14</v>
      </c>
      <c r="E49" s="37" t="s">
        <v>256</v>
      </c>
      <c r="F49" s="118">
        <v>1</v>
      </c>
      <c r="G49" s="153">
        <f>IFERROR(VLOOKUP($A$3:$A$122,'JULY-2026'!$A$4:$ACS$118,MATCH('FY-(26-27)Q2'!$G$2:$H$2,'JULY-2026'!$A$2:$CT$2,0),0),0)</f>
        <v>352978</v>
      </c>
      <c r="H49" s="155">
        <f>IFERROR(VLOOKUP($A$3:$A$122,'JULY-2026'!$A$4:$ACS$118,MATCH('FY-(26-27)Q2'!$G$2:$H$2,'JULY-2026'!$A$2:$CT$2,0),0),0)</f>
        <v>1.1765933333333332</v>
      </c>
      <c r="I49" s="153">
        <f>IFERROR(VLOOKUP($A$3:$A$122,'AUG-2026'!$A$4:$ACU$119,MATCH('FY-(26-27)Q2'!$I$2:$J$2,'AUG-2026'!$A$2:$CV$2,0),0),0)</f>
        <v>-275627</v>
      </c>
      <c r="J49" s="155">
        <f>IFERROR(VLOOKUP($A$3:$A$122,'AUG-2026'!$A$4:$ACU$119,MATCH('FY-(26-27)Q2'!$I$2:$J$2,'AUG-2026'!$A$2:$CV$2,0),0),0)</f>
        <v>-0.91875666666666678</v>
      </c>
      <c r="K49" s="153">
        <f>IFERROR(VLOOKUP($A$3:$A$122,'[1]SEP-2026'!$A$4:$ADI$113,MATCH('FY-(26-27)Q2'!$K$2:$L$2,'[1]SEP-2026'!$A$2:$DJ$2,0),0),0)</f>
        <v>0</v>
      </c>
      <c r="L49" s="155">
        <f>IFERROR(VLOOKUP($A$3:$A$122,'[1]SEP-2026'!$A$4:$ADI$113,MATCH('FY-(26-27)Q2'!$K$2:$L$2,'[1]SEP-2026'!$A$2:$DJ$2,0),0),0)</f>
        <v>0</v>
      </c>
      <c r="M49" s="71">
        <f t="shared" si="0"/>
        <v>77351</v>
      </c>
      <c r="N49" s="166">
        <f t="shared" si="0"/>
        <v>0.25783666666666638</v>
      </c>
    </row>
    <row r="50" spans="1:14" x14ac:dyDescent="0.25">
      <c r="A50" s="142" t="s">
        <v>201</v>
      </c>
      <c r="B50" s="141" t="s">
        <v>169</v>
      </c>
      <c r="C50" s="143"/>
      <c r="D50" s="62"/>
      <c r="E50" s="60"/>
      <c r="F50" s="114">
        <v>1</v>
      </c>
      <c r="G50" s="153">
        <f>IFERROR(VLOOKUP($A$3:$A$122,'JULY-2026'!$A$4:$ACS$118,MATCH('FY-(26-27)Q2'!$G$2:$H$2,'JULY-2026'!$A$2:$CT$2,0),0),0)</f>
        <v>-11154</v>
      </c>
      <c r="H50" s="155">
        <f>IFERROR(VLOOKUP($A$3:$A$122,'JULY-2026'!$A$4:$ACS$118,MATCH('FY-(26-27)Q2'!$G$2:$H$2,'JULY-2026'!$A$2:$CT$2,0),0),0)</f>
        <v>-0.11154</v>
      </c>
      <c r="I50" s="153">
        <f>IFERROR(VLOOKUP($A$3:$A$122,'AUG-2026'!$A$4:$ACU$119,MATCH('FY-(26-27)Q2'!$I$2:$J$2,'AUG-2026'!$A$2:$CV$2,0),0),0)</f>
        <v>-9015</v>
      </c>
      <c r="J50" s="155">
        <f>IFERROR(VLOOKUP($A$3:$A$122,'AUG-2026'!$A$4:$ACU$119,MATCH('FY-(26-27)Q2'!$I$2:$J$2,'AUG-2026'!$A$2:$CV$2,0),0),0)</f>
        <v>-9.0149999999999994E-2</v>
      </c>
      <c r="K50" s="153">
        <f>IFERROR(VLOOKUP($A$3:$A$122,'[1]SEP-2026'!$A$4:$ADI$113,MATCH('FY-(26-27)Q2'!$K$2:$L$2,'[1]SEP-2026'!$A$2:$DJ$2,0),0),0)</f>
        <v>0</v>
      </c>
      <c r="L50" s="155">
        <f>IFERROR(VLOOKUP($A$3:$A$122,'[1]SEP-2026'!$A$4:$ADI$113,MATCH('FY-(26-27)Q2'!$K$2:$L$2,'[1]SEP-2026'!$A$2:$DJ$2,0),0),0)</f>
        <v>0</v>
      </c>
      <c r="M50" s="71">
        <f t="shared" ref="M50" si="13">G50+I50+K50</f>
        <v>-20169</v>
      </c>
      <c r="N50" s="166">
        <f t="shared" ref="N50" si="14">H50+J50+L50</f>
        <v>-0.20168999999999998</v>
      </c>
    </row>
    <row r="51" spans="1:14" x14ac:dyDescent="0.25">
      <c r="A51" s="143" t="s">
        <v>168</v>
      </c>
      <c r="B51" s="141" t="s">
        <v>169</v>
      </c>
      <c r="C51" s="133" t="s">
        <v>255</v>
      </c>
      <c r="D51" s="163" t="s">
        <v>253</v>
      </c>
      <c r="E51" s="163" t="s">
        <v>253</v>
      </c>
      <c r="F51" s="114">
        <v>4</v>
      </c>
      <c r="G51" s="153">
        <f>IFERROR(VLOOKUP($A$3:$A$122,'JULY-2026'!$A$4:$ACS$118,MATCH('FY-(26-27)Q2'!$G$2:$H$2,'JULY-2026'!$A$2:$CT$2,0),0),0)</f>
        <v>414410</v>
      </c>
      <c r="H51" s="155">
        <f>IFERROR(VLOOKUP($A$3:$A$122,'JULY-2026'!$A$4:$ACS$118,MATCH('FY-(26-27)Q2'!$G$2:$H$2,'JULY-2026'!$A$2:$CT$2,0),0),0)</f>
        <v>1.036025</v>
      </c>
      <c r="I51" s="153">
        <f>IFERROR(VLOOKUP($A$3:$A$122,'AUG-2026'!$A$4:$ACU$119,MATCH('FY-(26-27)Q2'!$I$2:$J$2,'AUG-2026'!$A$2:$CV$2,0),0),0)</f>
        <v>0</v>
      </c>
      <c r="J51" s="155">
        <f>IFERROR(VLOOKUP($A$3:$A$122,'AUG-2026'!$A$4:$ACU$119,MATCH('FY-(26-27)Q2'!$I$2:$J$2,'AUG-2026'!$A$2:$CV$2,0),0),0)</f>
        <v>0</v>
      </c>
      <c r="K51" s="153">
        <f>IFERROR(VLOOKUP($A$3:$A$122,'[1]SEP-2026'!$A$4:$ADI$113,MATCH('FY-(26-27)Q2'!$K$2:$L$2,'[1]SEP-2026'!$A$2:$DJ$2,0),0),0)</f>
        <v>0</v>
      </c>
      <c r="L51" s="155">
        <f>IFERROR(VLOOKUP($A$3:$A$122,'[1]SEP-2026'!$A$4:$ADI$113,MATCH('FY-(26-27)Q2'!$K$2:$L$2,'[1]SEP-2026'!$A$2:$DJ$2,0),0),0)</f>
        <v>0</v>
      </c>
      <c r="M51" s="71">
        <f t="shared" si="0"/>
        <v>414410</v>
      </c>
      <c r="N51" s="166">
        <f t="shared" si="0"/>
        <v>1.036025</v>
      </c>
    </row>
    <row r="52" spans="1:14" x14ac:dyDescent="0.25">
      <c r="A52" s="143" t="s">
        <v>202</v>
      </c>
      <c r="B52" s="141" t="s">
        <v>169</v>
      </c>
      <c r="C52" s="59" t="s">
        <v>255</v>
      </c>
      <c r="D52" s="163" t="s">
        <v>116</v>
      </c>
      <c r="E52" s="163" t="s">
        <v>256</v>
      </c>
      <c r="F52" s="114">
        <v>4</v>
      </c>
      <c r="G52" s="153">
        <f>IFERROR(VLOOKUP($A$3:$A$122,'JULY-2026'!$A$4:$ACS$118,MATCH('FY-(26-27)Q2'!$G$2:$H$2,'JULY-2026'!$A$2:$CT$2,0),0),0)</f>
        <v>443915</v>
      </c>
      <c r="H52" s="155">
        <f>IFERROR(VLOOKUP($A$3:$A$122,'JULY-2026'!$A$4:$ACS$118,MATCH('FY-(26-27)Q2'!$G$2:$H$2,'JULY-2026'!$A$2:$CT$2,0),0),0)</f>
        <v>1.1097874999999999</v>
      </c>
      <c r="I52" s="153">
        <f>IFERROR(VLOOKUP($A$3:$A$122,'AUG-2026'!$A$4:$ACU$119,MATCH('FY-(26-27)Q2'!$I$2:$J$2,'AUG-2026'!$A$2:$CV$2,0),0),0)</f>
        <v>-143525</v>
      </c>
      <c r="J52" s="155">
        <f>IFERROR(VLOOKUP($A$3:$A$122,'AUG-2026'!$A$4:$ACU$119,MATCH('FY-(26-27)Q2'!$I$2:$J$2,'AUG-2026'!$A$2:$CV$2,0),0),0)</f>
        <v>-0.35881249999999998</v>
      </c>
      <c r="K52" s="153">
        <f>IFERROR(VLOOKUP($A$3:$A$122,'[1]SEP-2026'!$A$4:$ADI$113,MATCH('FY-(26-27)Q2'!$K$2:$L$2,'[1]SEP-2026'!$A$2:$DJ$2,0),0),0)</f>
        <v>0</v>
      </c>
      <c r="L52" s="155">
        <f>IFERROR(VLOOKUP($A$3:$A$122,'[1]SEP-2026'!$A$4:$ADI$113,MATCH('FY-(26-27)Q2'!$K$2:$L$2,'[1]SEP-2026'!$A$2:$DJ$2,0),0),0)</f>
        <v>0</v>
      </c>
      <c r="M52" s="71">
        <f t="shared" si="0"/>
        <v>300390</v>
      </c>
      <c r="N52" s="166">
        <f t="shared" si="0"/>
        <v>0.75097499999999995</v>
      </c>
    </row>
    <row r="53" spans="1:14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>
        <v>0.1</v>
      </c>
      <c r="G53" s="153">
        <f>IFERROR(VLOOKUP($A$3:$A$122,'JULY-2026'!$A$4:$ACS$118,MATCH('FY-(26-27)Q2'!$G$2:$H$2,'JULY-2026'!$A$2:$CT$2,0),0),0)</f>
        <v>100</v>
      </c>
      <c r="H53" s="155">
        <f>IFERROR(VLOOKUP($A$3:$A$122,'JULY-2026'!$A$4:$ACS$118,MATCH('FY-(26-27)Q2'!$G$2:$H$2,'JULY-2026'!$A$2:$CT$2,0),0),0)</f>
        <v>0</v>
      </c>
      <c r="I53" s="153">
        <f>IFERROR(VLOOKUP($A$3:$A$122,'AUG-2026'!$A$4:$ACU$119,MATCH('FY-(26-27)Q2'!$I$2:$J$2,'AUG-2026'!$A$2:$CV$2,0),0),0)</f>
        <v>-465097</v>
      </c>
      <c r="J53" s="155">
        <f>IFERROR(VLOOKUP($A$3:$A$122,'AUG-2026'!$A$4:$ACU$119,MATCH('FY-(26-27)Q2'!$I$2:$J$2,'AUG-2026'!$A$2:$CV$2,0),0),0)</f>
        <v>-0.93019399999999997</v>
      </c>
      <c r="K53" s="153">
        <f>IFERROR(VLOOKUP($A$3:$A$122,'[1]SEP-2026'!$A$4:$ADI$113,MATCH('FY-(26-27)Q2'!$K$2:$L$2,'[1]SEP-2026'!$A$2:$DJ$2,0),0),0)</f>
        <v>0</v>
      </c>
      <c r="L53" s="155">
        <f>IFERROR(VLOOKUP($A$3:$A$122,'[1]SEP-2026'!$A$4:$ADI$113,MATCH('FY-(26-27)Q2'!$K$2:$L$2,'[1]SEP-2026'!$A$2:$DJ$2,0),0),0)</f>
        <v>0</v>
      </c>
      <c r="M53" s="71">
        <f t="shared" ref="M53" si="15">G53+I53+K53</f>
        <v>-464997</v>
      </c>
      <c r="N53" s="166">
        <f t="shared" ref="N53" si="16">H53+J53+L53</f>
        <v>-0.93019399999999997</v>
      </c>
    </row>
    <row r="54" spans="1:14" x14ac:dyDescent="0.25">
      <c r="A54" s="59" t="s">
        <v>197</v>
      </c>
      <c r="B54" s="62" t="s">
        <v>195</v>
      </c>
      <c r="C54" s="59" t="s">
        <v>196</v>
      </c>
      <c r="D54" s="62" t="s">
        <v>195</v>
      </c>
      <c r="E54" s="163" t="s">
        <v>256</v>
      </c>
      <c r="F54" s="114">
        <v>0.5</v>
      </c>
      <c r="G54" s="153">
        <f>IFERROR(VLOOKUP($A$3:$A$122,'JULY-2026'!$A$4:$ACS$118,MATCH('FY-(26-27)Q2'!$G$2:$H$2,'JULY-2026'!$A$2:$CT$2,0),0),0)</f>
        <v>-27103</v>
      </c>
      <c r="H54" s="155">
        <f>IFERROR(VLOOKUP($A$3:$A$122,'JULY-2026'!$A$4:$ACS$118,MATCH('FY-(26-27)Q2'!$G$2:$H$2,'JULY-2026'!$A$2:$CT$2,0),0),0)</f>
        <v>-0.54205999999999999</v>
      </c>
      <c r="I54" s="153">
        <f>IFERROR(VLOOKUP($A$3:$A$122,'AUG-2026'!$A$4:$ACU$119,MATCH('FY-(26-27)Q2'!$I$2:$J$2,'AUG-2026'!$A$2:$CV$2,0),0),0)</f>
        <v>-3039</v>
      </c>
      <c r="J54" s="155">
        <f>IFERROR(VLOOKUP($A$3:$A$122,'AUG-2026'!$A$4:$ACU$119,MATCH('FY-(26-27)Q2'!$I$2:$J$2,'AUG-2026'!$A$2:$CV$2,0),0),0)</f>
        <v>-6.0780000000000001E-2</v>
      </c>
      <c r="K54" s="153">
        <f>IFERROR(VLOOKUP($A$3:$A$122,'[1]SEP-2026'!$A$4:$ADI$113,MATCH('FY-(26-27)Q2'!$K$2:$L$2,'[1]SEP-2026'!$A$2:$DJ$2,0),0),0)</f>
        <v>0</v>
      </c>
      <c r="L54" s="155">
        <f>IFERROR(VLOOKUP($A$3:$A$122,'[1]SEP-2026'!$A$4:$ADI$113,MATCH('FY-(26-27)Q2'!$K$2:$L$2,'[1]SEP-2026'!$A$2:$DJ$2,0),0),0)</f>
        <v>0</v>
      </c>
      <c r="M54" s="71">
        <f t="shared" si="0"/>
        <v>-30142</v>
      </c>
      <c r="N54" s="166">
        <f t="shared" si="0"/>
        <v>-0.60284000000000004</v>
      </c>
    </row>
    <row r="55" spans="1:14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163" t="s">
        <v>256</v>
      </c>
      <c r="F55" s="114">
        <v>4</v>
      </c>
      <c r="G55" s="153">
        <f>IFERROR(VLOOKUP($A$3:$A$122,'JULY-2026'!$A$4:$ACS$118,MATCH('FY-(26-27)Q2'!$G$2:$H$2,'JULY-2026'!$A$2:$CT$2,0),0),0)</f>
        <v>877125</v>
      </c>
      <c r="H55" s="155">
        <f>IFERROR(VLOOKUP($A$3:$A$122,'JULY-2026'!$A$4:$ACS$118,MATCH('FY-(26-27)Q2'!$G$2:$H$2,'JULY-2026'!$A$2:$CT$2,0),0),0)</f>
        <v>2.1928125000000001</v>
      </c>
      <c r="I55" s="153">
        <f>IFERROR(VLOOKUP($A$3:$A$122,'AUG-2026'!$A$4:$ACU$119,MATCH('FY-(26-27)Q2'!$I$2:$J$2,'AUG-2026'!$A$2:$CV$2,0),0),0)</f>
        <v>-77686</v>
      </c>
      <c r="J55" s="155">
        <f>IFERROR(VLOOKUP($A$3:$A$122,'AUG-2026'!$A$4:$ACU$119,MATCH('FY-(26-27)Q2'!$I$2:$J$2,'AUG-2026'!$A$2:$CV$2,0),0),0)</f>
        <v>-0.194215</v>
      </c>
      <c r="K55" s="153">
        <f>IFERROR(VLOOKUP($A$3:$A$122,'[1]SEP-2026'!$A$4:$ADI$113,MATCH('FY-(26-27)Q2'!$K$2:$L$2,'[1]SEP-2026'!$A$2:$DJ$2,0),0),0)</f>
        <v>0</v>
      </c>
      <c r="L55" s="155">
        <f>IFERROR(VLOOKUP($A$3:$A$122,'[1]SEP-2026'!$A$4:$ADI$113,MATCH('FY-(26-27)Q2'!$K$2:$L$2,'[1]SEP-2026'!$A$2:$DJ$2,0),0),0)</f>
        <v>0</v>
      </c>
      <c r="M55" s="71">
        <f t="shared" si="0"/>
        <v>799439</v>
      </c>
      <c r="N55" s="166">
        <f t="shared" si="0"/>
        <v>1.9985975</v>
      </c>
    </row>
    <row r="56" spans="1:14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163" t="s">
        <v>256</v>
      </c>
      <c r="F56" s="114">
        <v>1</v>
      </c>
      <c r="G56" s="153">
        <f>IFERROR(VLOOKUP($A$3:$A$122,'JULY-2026'!$A$4:$ACS$118,MATCH('FY-(26-27)Q2'!$G$2:$H$2,'JULY-2026'!$A$2:$CT$2,0),0),0)</f>
        <v>209019</v>
      </c>
      <c r="H56" s="155">
        <f>IFERROR(VLOOKUP($A$3:$A$122,'JULY-2026'!$A$4:$ACS$118,MATCH('FY-(26-27)Q2'!$G$2:$H$2,'JULY-2026'!$A$2:$CT$2,0),0),0)</f>
        <v>1.6721520000000001</v>
      </c>
      <c r="I56" s="153">
        <f>IFERROR(VLOOKUP($A$3:$A$122,'AUG-2026'!$A$4:$ACU$119,MATCH('FY-(26-27)Q2'!$I$2:$J$2,'AUG-2026'!$A$2:$CV$2,0),0),0)</f>
        <v>-625</v>
      </c>
      <c r="J56" s="155">
        <f>IFERROR(VLOOKUP($A$3:$A$122,'AUG-2026'!$A$4:$ACU$119,MATCH('FY-(26-27)Q2'!$I$2:$J$2,'AUG-2026'!$A$2:$CV$2,0),0),0)</f>
        <v>-5.0000000000000001E-3</v>
      </c>
      <c r="K56" s="153">
        <f>IFERROR(VLOOKUP($A$3:$A$122,'[1]SEP-2026'!$A$4:$ADI$113,MATCH('FY-(26-27)Q2'!$K$2:$L$2,'[1]SEP-2026'!$A$2:$DJ$2,0),0),0)</f>
        <v>0</v>
      </c>
      <c r="L56" s="155">
        <f>IFERROR(VLOOKUP($A$3:$A$122,'[1]SEP-2026'!$A$4:$ADI$113,MATCH('FY-(26-27)Q2'!$K$2:$L$2,'[1]SEP-2026'!$A$2:$DJ$2,0),0),0)</f>
        <v>0</v>
      </c>
      <c r="M56" s="71">
        <f t="shared" si="0"/>
        <v>208394</v>
      </c>
      <c r="N56" s="166">
        <f t="shared" si="0"/>
        <v>1.6671520000000002</v>
      </c>
    </row>
    <row r="57" spans="1:14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2.5</v>
      </c>
      <c r="G57" s="153">
        <f>IFERROR(VLOOKUP($A$3:$A$122,'JULY-2026'!$A$4:$ACS$118,MATCH('FY-(26-27)Q2'!$G$2:$H$2,'JULY-2026'!$A$2:$CT$2,0),0),0)</f>
        <v>964481</v>
      </c>
      <c r="H57" s="155">
        <f>IFERROR(VLOOKUP($A$3:$A$122,'JULY-2026'!$A$4:$ACS$118,MATCH('FY-(26-27)Q2'!$G$2:$H$2,'JULY-2026'!$A$2:$CT$2,0),0),0)</f>
        <v>3.214936666666667</v>
      </c>
      <c r="I57" s="153">
        <f>IFERROR(VLOOKUP($A$3:$A$122,'AUG-2026'!$A$4:$ACU$119,MATCH('FY-(26-27)Q2'!$I$2:$J$2,'AUG-2026'!$A$2:$CV$2,0),0),0)</f>
        <v>-241366</v>
      </c>
      <c r="J57" s="155">
        <f>IFERROR(VLOOKUP($A$3:$A$122,'AUG-2026'!$A$4:$ACU$119,MATCH('FY-(26-27)Q2'!$I$2:$J$2,'AUG-2026'!$A$2:$CV$2,0),0),0)</f>
        <v>-0.80455333333333334</v>
      </c>
      <c r="K57" s="153">
        <f>IFERROR(VLOOKUP($A$3:$A$122,'[1]SEP-2026'!$A$4:$ADI$113,MATCH('FY-(26-27)Q2'!$K$2:$L$2,'[1]SEP-2026'!$A$2:$DJ$2,0),0),0)</f>
        <v>0</v>
      </c>
      <c r="L57" s="155">
        <f>IFERROR(VLOOKUP($A$3:$A$122,'[1]SEP-2026'!$A$4:$ADI$113,MATCH('FY-(26-27)Q2'!$K$2:$L$2,'[1]SEP-2026'!$A$2:$DJ$2,0),0),0)</f>
        <v>0</v>
      </c>
      <c r="M57" s="71">
        <f t="shared" si="0"/>
        <v>723115</v>
      </c>
      <c r="N57" s="166">
        <f t="shared" si="0"/>
        <v>2.4103833333333338</v>
      </c>
    </row>
    <row r="58" spans="1:14" x14ac:dyDescent="0.25">
      <c r="A58" s="59" t="s">
        <v>41</v>
      </c>
      <c r="B58" s="59" t="s">
        <v>86</v>
      </c>
      <c r="C58" s="59" t="s">
        <v>173</v>
      </c>
      <c r="D58" s="59" t="s">
        <v>86</v>
      </c>
      <c r="E58" s="59" t="s">
        <v>256</v>
      </c>
      <c r="F58" s="114">
        <v>1.5</v>
      </c>
      <c r="G58" s="153">
        <f>IFERROR(VLOOKUP($A$3:$A$122,'JULY-2026'!$A$4:$ACS$118,MATCH('FY-(26-27)Q2'!$G$2:$H$2,'JULY-2026'!$A$2:$CT$2,0),0),0)</f>
        <v>-35194</v>
      </c>
      <c r="H58" s="155">
        <f>IFERROR(VLOOKUP($A$3:$A$122,'JULY-2026'!$A$4:$ACS$118,MATCH('FY-(26-27)Q2'!$G$2:$H$2,'JULY-2026'!$A$2:$CT$2,0),0),0)</f>
        <v>-0.14077600000000001</v>
      </c>
      <c r="I58" s="153">
        <f>IFERROR(VLOOKUP($A$3:$A$122,'AUG-2026'!$A$4:$ACU$119,MATCH('FY-(26-27)Q2'!$I$2:$J$2,'AUG-2026'!$A$2:$CV$2,0),0),0)</f>
        <v>-7767</v>
      </c>
      <c r="J58" s="155">
        <f>IFERROR(VLOOKUP($A$3:$A$122,'AUG-2026'!$A$4:$ACU$119,MATCH('FY-(26-27)Q2'!$I$2:$J$2,'AUG-2026'!$A$2:$CV$2,0),0),0)</f>
        <v>-3.1067999999999998E-2</v>
      </c>
      <c r="K58" s="153">
        <f>IFERROR(VLOOKUP($A$3:$A$122,'[1]SEP-2026'!$A$4:$ADI$113,MATCH('FY-(26-27)Q2'!$K$2:$L$2,'[1]SEP-2026'!$A$2:$DJ$2,0),0),0)</f>
        <v>0</v>
      </c>
      <c r="L58" s="155">
        <f>IFERROR(VLOOKUP($A$3:$A$122,'[1]SEP-2026'!$A$4:$ADI$113,MATCH('FY-(26-27)Q2'!$K$2:$L$2,'[1]SEP-2026'!$A$2:$DJ$2,0),0),0)</f>
        <v>0</v>
      </c>
      <c r="M58" s="71">
        <f t="shared" si="0"/>
        <v>-42961</v>
      </c>
      <c r="N58" s="166">
        <f t="shared" si="0"/>
        <v>-0.171844</v>
      </c>
    </row>
    <row r="59" spans="1:14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153">
        <f>IFERROR(VLOOKUP($A$3:$A$122,'JULY-2026'!$A$4:$ACS$118,MATCH('FY-(26-27)Q2'!$G$2:$H$2,'JULY-2026'!$A$2:$CT$2,0),0),0)</f>
        <v>-2506</v>
      </c>
      <c r="H59" s="155">
        <f>IFERROR(VLOOKUP($A$3:$A$122,'JULY-2026'!$A$4:$ACS$118,MATCH('FY-(26-27)Q2'!$G$2:$H$2,'JULY-2026'!$A$2:$CT$2,0),0),0)</f>
        <v>-0.10024</v>
      </c>
      <c r="I59" s="153">
        <f>IFERROR(VLOOKUP($A$3:$A$122,'AUG-2026'!$A$4:$ACU$119,MATCH('FY-(26-27)Q2'!$I$2:$J$2,'AUG-2026'!$A$2:$CV$2,0),0),0)</f>
        <v>-3651</v>
      </c>
      <c r="J59" s="155">
        <f>IFERROR(VLOOKUP($A$3:$A$122,'AUG-2026'!$A$4:$ACU$119,MATCH('FY-(26-27)Q2'!$I$2:$J$2,'AUG-2026'!$A$2:$CV$2,0),0),0)</f>
        <v>-0.14604</v>
      </c>
      <c r="K59" s="153">
        <f>IFERROR(VLOOKUP($A$3:$A$122,'[1]SEP-2026'!$A$4:$ADI$113,MATCH('FY-(26-27)Q2'!$K$2:$L$2,'[1]SEP-2026'!$A$2:$DJ$2,0),0),0)</f>
        <v>0</v>
      </c>
      <c r="L59" s="155">
        <f>IFERROR(VLOOKUP($A$3:$A$122,'[1]SEP-2026'!$A$4:$ADI$113,MATCH('FY-(26-27)Q2'!$K$2:$L$2,'[1]SEP-2026'!$A$2:$DJ$2,0),0),0)</f>
        <v>0</v>
      </c>
      <c r="M59" s="71">
        <f t="shared" ref="M59" si="17">G59+I59+K59</f>
        <v>-6157</v>
      </c>
      <c r="N59" s="166">
        <f t="shared" ref="N59" si="18">H59+J59+L59</f>
        <v>-0.24628</v>
      </c>
    </row>
    <row r="60" spans="1:14" ht="16.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153">
        <f>IFERROR(VLOOKUP($A$3:$A$122,'JULY-2026'!$A$4:$ACS$118,MATCH('FY-(26-27)Q2'!$G$2:$H$2,'JULY-2026'!$A$2:$CT$2,0),0),0)</f>
        <v>273147</v>
      </c>
      <c r="H60" s="155">
        <f>IFERROR(VLOOKUP($A$3:$A$122,'JULY-2026'!$A$4:$ACS$118,MATCH('FY-(26-27)Q2'!$G$2:$H$2,'JULY-2026'!$A$2:$CT$2,0),0),0)</f>
        <v>0.54629399999999995</v>
      </c>
      <c r="I60" s="153">
        <f>IFERROR(VLOOKUP($A$3:$A$122,'AUG-2026'!$A$4:$ACU$119,MATCH('FY-(26-27)Q2'!$I$2:$J$2,'AUG-2026'!$A$2:$CV$2,0),0),0)</f>
        <v>-69999</v>
      </c>
      <c r="J60" s="155">
        <f>IFERROR(VLOOKUP($A$3:$A$122,'AUG-2026'!$A$4:$ACU$119,MATCH('FY-(26-27)Q2'!$I$2:$J$2,'AUG-2026'!$A$2:$CV$2,0),0),0)</f>
        <v>-0.13999800000000001</v>
      </c>
      <c r="K60" s="153">
        <f>IFERROR(VLOOKUP($A$3:$A$122,'[1]SEP-2026'!$A$4:$ADI$113,MATCH('FY-(26-27)Q2'!$K$2:$L$2,'[1]SEP-2026'!$A$2:$DJ$2,0),0),0)</f>
        <v>0</v>
      </c>
      <c r="L60" s="155">
        <f>IFERROR(VLOOKUP($A$3:$A$122,'[1]SEP-2026'!$A$4:$ADI$113,MATCH('FY-(26-27)Q2'!$K$2:$L$2,'[1]SEP-2026'!$A$2:$DJ$2,0),0),0)</f>
        <v>0</v>
      </c>
      <c r="M60" s="71">
        <f t="shared" ref="M60" si="19">G60+I60+K60</f>
        <v>203148</v>
      </c>
      <c r="N60" s="166">
        <f t="shared" ref="N60" si="20">H60+J60+L60</f>
        <v>0.40629599999999993</v>
      </c>
    </row>
    <row r="61" spans="1:14" x14ac:dyDescent="0.25">
      <c r="A61" s="187"/>
      <c r="B61" s="232"/>
      <c r="C61" s="187"/>
      <c r="D61" s="233"/>
      <c r="E61" s="233"/>
      <c r="F61" s="234"/>
      <c r="G61" s="231">
        <f>SUM(G4:G58)</f>
        <v>17537645</v>
      </c>
      <c r="H61" s="90"/>
      <c r="I61" s="99">
        <f>SUM(I4:I58)</f>
        <v>-4962763</v>
      </c>
      <c r="J61" s="100"/>
      <c r="K61" s="109">
        <f>SUM(K4:K58)</f>
        <v>0</v>
      </c>
      <c r="L61" s="109"/>
      <c r="M61" s="154">
        <f>SUM(M4:M58)</f>
        <v>12574882</v>
      </c>
      <c r="N61" s="235"/>
    </row>
    <row r="62" spans="1:14" ht="15.75" thickBot="1" x14ac:dyDescent="0.3">
      <c r="G62" s="91"/>
      <c r="H62" s="92"/>
      <c r="I62" s="101"/>
      <c r="J62" s="102"/>
      <c r="K62" s="110"/>
      <c r="L62" s="111"/>
      <c r="M62" s="111"/>
      <c r="N62" s="111"/>
    </row>
    <row r="63" spans="1:14" ht="15.75" x14ac:dyDescent="0.25">
      <c r="G63" s="84" t="s">
        <v>149</v>
      </c>
      <c r="H63" s="85" t="s">
        <v>150</v>
      </c>
      <c r="I63" s="95" t="s">
        <v>159</v>
      </c>
      <c r="J63" s="96" t="s">
        <v>160</v>
      </c>
      <c r="K63" s="105" t="s">
        <v>161</v>
      </c>
      <c r="L63" s="106" t="s">
        <v>162</v>
      </c>
      <c r="M63" s="127" t="s">
        <v>90</v>
      </c>
      <c r="N63" s="68" t="s">
        <v>125</v>
      </c>
    </row>
    <row r="64" spans="1:14" ht="15.75" x14ac:dyDescent="0.25">
      <c r="G64" s="223"/>
      <c r="H64" s="224"/>
      <c r="I64" s="225"/>
      <c r="J64" s="226"/>
      <c r="K64" s="227"/>
      <c r="L64" s="228"/>
      <c r="M64" s="229"/>
      <c r="N64" s="230"/>
    </row>
    <row r="65" spans="1:14" x14ac:dyDescent="0.25">
      <c r="A65" s="79" t="s">
        <v>241</v>
      </c>
      <c r="B65" s="141" t="s">
        <v>240</v>
      </c>
      <c r="C65" s="141" t="s">
        <v>57</v>
      </c>
      <c r="D65" s="141"/>
      <c r="E65" s="209"/>
      <c r="F65" s="207"/>
      <c r="G65" s="153">
        <f>IFERROR(VLOOKUP($A$3:$A$122,'JULY-2026'!$A$4:$ACS$118,MATCH('FY-(26-27)Q2'!$G$2:$H$2,'JULY-2026'!$A$2:$CT$2,0),0),0)</f>
        <v>614980</v>
      </c>
      <c r="H65" s="155">
        <f>IFERROR(VLOOKUP($A$3:$A$122,'JULY-2026'!$A$4:$ACS$118,MATCH('FY-(26-27)Q2'!$G$2:$H$2,'JULY-2026'!$A$2:$CT$2,0),0),0)</f>
        <v>2.0499333333333336</v>
      </c>
      <c r="I65" s="153">
        <f>IFERROR(VLOOKUP($A$3:$A$122,'[2]AUG-2026'!$A$4:$ACP$113,MATCH('FY-(26-27)Q2'!$I$2:$J$2,'[2]AUG-2026'!$A$2:$CQ$2,0),0),0)</f>
        <v>0</v>
      </c>
      <c r="J65" s="155">
        <f>IFERROR(VLOOKUP($A$3:$A$122,'[2]AUG-2026'!$A$4:$ACP$113,MATCH('FY-(26-27)Q2'!$I$2:$J$2,'[2]AUG-2026'!$A$2:$CQ$2,0),0),0)</f>
        <v>0</v>
      </c>
      <c r="K65" s="153">
        <f>IFERROR(VLOOKUP($A$3:$A$122,'[1]SEP-2026'!$A$4:$ADI$113,MATCH('FY-(26-27)Q2'!$K$2:$L$2,'[1]SEP-2026'!$A$2:$DJ$2,0),0),0)</f>
        <v>0</v>
      </c>
      <c r="L65" s="155">
        <f>IFERROR(VLOOKUP($A$3:$A$122,'[1]SEP-2026'!$A$4:$ADI$113,MATCH('FY-(26-27)Q2'!$K$2:$L$2,'[1]SEP-2026'!$A$2:$DJ$2,0),0),0)</f>
        <v>0</v>
      </c>
      <c r="M65" s="153">
        <f t="shared" ref="M65:N65" si="21">G65+I65+K65</f>
        <v>614980</v>
      </c>
      <c r="N65" s="167">
        <f t="shared" si="21"/>
        <v>2.0499333333333336</v>
      </c>
    </row>
    <row r="66" spans="1:14" x14ac:dyDescent="0.25">
      <c r="A66" s="202" t="s">
        <v>273</v>
      </c>
      <c r="B66" s="203" t="s">
        <v>272</v>
      </c>
      <c r="C66" s="203" t="s">
        <v>57</v>
      </c>
      <c r="D66" s="203" t="s">
        <v>87</v>
      </c>
      <c r="E66" s="203" t="s">
        <v>256</v>
      </c>
      <c r="F66" s="238"/>
      <c r="G66" s="153">
        <f>IFERROR(VLOOKUP($A$3:$A$122,'JULY-2026'!$A$4:$ACS$118,MATCH('FY-(26-27)Q2'!$G$2:$H$2,'JULY-2026'!$A$2:$CT$2,0),0),0)</f>
        <v>971446</v>
      </c>
      <c r="H66" s="155">
        <f>IFERROR(VLOOKUP($A$3:$A$122,'JULY-2026'!$A$4:$ACS$118,MATCH('FY-(26-27)Q2'!$G$2:$H$2,'JULY-2026'!$A$2:$CT$2,0),0),0)</f>
        <v>0</v>
      </c>
      <c r="I66" s="153">
        <f>IFERROR(VLOOKUP($A$3:$A$122,'[2]AUG-2026'!$A$4:$ACP$113,MATCH('FY-(26-27)Q2'!$I$2:$J$2,'[2]AUG-2026'!$A$2:$CQ$2,0),0),0)</f>
        <v>0</v>
      </c>
      <c r="J66" s="155">
        <f>IFERROR(VLOOKUP($A$3:$A$122,'[2]AUG-2026'!$A$4:$ACP$113,MATCH('FY-(26-27)Q2'!$I$2:$J$2,'[2]AUG-2026'!$A$2:$CQ$2,0),0),0)</f>
        <v>0</v>
      </c>
      <c r="K66" s="153">
        <f>IFERROR(VLOOKUP($A$3:$A$122,'[1]SEP-2026'!$A$4:$ADI$113,MATCH('FY-(26-27)Q2'!$K$2:$L$2,'[1]SEP-2026'!$A$2:$DJ$2,0),0),0)</f>
        <v>0</v>
      </c>
      <c r="L66" s="155">
        <f>IFERROR(VLOOKUP($A$3:$A$122,'[1]SEP-2026'!$A$4:$ADI$113,MATCH('FY-(26-27)Q2'!$K$2:$L$2,'[1]SEP-2026'!$A$2:$DJ$2,0),0),0)</f>
        <v>0</v>
      </c>
      <c r="M66" s="153">
        <f t="shared" ref="M66" si="22">G66+I66+K66</f>
        <v>971446</v>
      </c>
      <c r="N66" s="167">
        <f t="shared" ref="N66" si="23">H66+J66+L66</f>
        <v>0</v>
      </c>
    </row>
    <row r="67" spans="1:14" ht="15.75" thickBot="1" x14ac:dyDescent="0.3">
      <c r="G67" s="93"/>
      <c r="H67" s="94"/>
      <c r="I67" s="103"/>
      <c r="J67" s="104"/>
      <c r="K67" s="112"/>
      <c r="L67" s="113"/>
      <c r="M67" s="93">
        <f>SUM(M65:M66)</f>
        <v>1586426</v>
      </c>
      <c r="N67" s="236"/>
    </row>
  </sheetData>
  <conditionalFormatting sqref="A42:C42 A15:F17 A8:C8 A3:F3 L2:L3 A39:C39 A5:F5 A30:F30 F8 F40 F42 A57:C57 A58:E58 A32:F34 E39:F39 A47:F47 M5:N9 A21 A36:F37 A52:F52 F55:F58 E57 G61:N62 A23:F24 M23:N24 A61:E61 C50:F50 G15:H18 M21:N21 G21:H24 A26:F27 A49:F49 G39:H49 G26:H37 G65:N67 F53 G51:H59 G4:L4 A11:H13 K11:N13 K51:N59 K26:N37 K39:N49 K21:L24 K15:N18 I11:I60 G5:I10 K5:L10 J5:J60">
    <cfRule type="expression" dxfId="358" priority="213">
      <formula>MOD(ROW(),2)=0</formula>
    </cfRule>
  </conditionalFormatting>
  <conditionalFormatting sqref="G2:I3">
    <cfRule type="expression" dxfId="357" priority="212">
      <formula>MOD(ROW(),2)=0</formula>
    </cfRule>
  </conditionalFormatting>
  <conditionalFormatting sqref="J2:J3">
    <cfRule type="expression" dxfId="356" priority="211">
      <formula>MOD(ROW(),2)=0</formula>
    </cfRule>
  </conditionalFormatting>
  <conditionalFormatting sqref="K2:K3">
    <cfRule type="expression" dxfId="355" priority="210">
      <formula>MOD(ROW(),2)=0</formula>
    </cfRule>
  </conditionalFormatting>
  <conditionalFormatting sqref="A40:C40 E40">
    <cfRule type="expression" dxfId="354" priority="206">
      <formula>MOD(ROW(),2)=0</formula>
    </cfRule>
  </conditionalFormatting>
  <conditionalFormatting sqref="E42">
    <cfRule type="expression" dxfId="353" priority="204">
      <formula>MOD(ROW(),2)=0</formula>
    </cfRule>
  </conditionalFormatting>
  <conditionalFormatting sqref="A18:F18 A19:A20">
    <cfRule type="expression" dxfId="352" priority="202">
      <formula>MOD(ROW(),2)=0</formula>
    </cfRule>
  </conditionalFormatting>
  <conditionalFormatting sqref="A44:C44 E44:F44">
    <cfRule type="expression" dxfId="351" priority="196">
      <formula>MOD(ROW(),2)=0</formula>
    </cfRule>
  </conditionalFormatting>
  <conditionalFormatting sqref="M23:N23">
    <cfRule type="expression" dxfId="350" priority="186">
      <formula>MOD(ROW(),2)=0</formula>
    </cfRule>
  </conditionalFormatting>
  <conditionalFormatting sqref="A9:C9 E9:F9">
    <cfRule type="expression" dxfId="349" priority="191">
      <formula>MOD(ROW(),2)=0</formula>
    </cfRule>
  </conditionalFormatting>
  <conditionalFormatting sqref="N23">
    <cfRule type="expression" dxfId="348" priority="187">
      <formula>MOD(ROW(),2)=0</formula>
    </cfRule>
  </conditionalFormatting>
  <conditionalFormatting sqref="M9:N9">
    <cfRule type="expression" dxfId="347" priority="172">
      <formula>MOD(ROW(),2)=0</formula>
    </cfRule>
  </conditionalFormatting>
  <conditionalFormatting sqref="B21:C21 E21:F21">
    <cfRule type="expression" dxfId="346" priority="167">
      <formula>MOD(ROW(),2)=0</formula>
    </cfRule>
  </conditionalFormatting>
  <conditionalFormatting sqref="N9">
    <cfRule type="expression" dxfId="345" priority="173">
      <formula>MOD(ROW(),2)=0</formula>
    </cfRule>
  </conditionalFormatting>
  <conditionalFormatting sqref="A7:F7 A6:C6 E6:F6">
    <cfRule type="expression" dxfId="344" priority="158">
      <formula>MOD(ROW(),2)=0</formula>
    </cfRule>
  </conditionalFormatting>
  <conditionalFormatting sqref="N6:N7">
    <cfRule type="expression" dxfId="343" priority="156">
      <formula>MOD(ROW(),2)=0</formula>
    </cfRule>
  </conditionalFormatting>
  <conditionalFormatting sqref="M6:N7">
    <cfRule type="expression" dxfId="342" priority="155">
      <formula>MOD(ROW(),2)=0</formula>
    </cfRule>
  </conditionalFormatting>
  <conditionalFormatting sqref="A35:C35 E35:F35">
    <cfRule type="expression" dxfId="341" priority="150">
      <formula>MOD(ROW(),2)=0</formula>
    </cfRule>
  </conditionalFormatting>
  <conditionalFormatting sqref="M35:N35">
    <cfRule type="expression" dxfId="340" priority="146">
      <formula>MOD(ROW(),2)=0</formula>
    </cfRule>
  </conditionalFormatting>
  <conditionalFormatting sqref="N35">
    <cfRule type="expression" dxfId="339" priority="147">
      <formula>MOD(ROW(),2)=0</formula>
    </cfRule>
  </conditionalFormatting>
  <conditionalFormatting sqref="A46:C46 E46:F46">
    <cfRule type="expression" dxfId="338" priority="141">
      <formula>MOD(ROW(),2)=0</formula>
    </cfRule>
  </conditionalFormatting>
  <conditionalFormatting sqref="N21">
    <cfRule type="expression" dxfId="337" priority="127">
      <formula>MOD(ROW(),2)=0</formula>
    </cfRule>
  </conditionalFormatting>
  <conditionalFormatting sqref="M21:N21">
    <cfRule type="expression" dxfId="336" priority="126">
      <formula>MOD(ROW(),2)=0</formula>
    </cfRule>
  </conditionalFormatting>
  <conditionalFormatting sqref="A54:C54 E54:F54">
    <cfRule type="expression" dxfId="335" priority="116">
      <formula>MOD(ROW(),2)=0</formula>
    </cfRule>
  </conditionalFormatting>
  <conditionalFormatting sqref="L63:L64">
    <cfRule type="expression" dxfId="334" priority="110">
      <formula>MOD(ROW(),2)=0</formula>
    </cfRule>
  </conditionalFormatting>
  <conditionalFormatting sqref="G63:I64">
    <cfRule type="expression" dxfId="333" priority="109">
      <formula>MOD(ROW(),2)=0</formula>
    </cfRule>
  </conditionalFormatting>
  <conditionalFormatting sqref="J63:J64">
    <cfRule type="expression" dxfId="332" priority="108">
      <formula>MOD(ROW(),2)=0</formula>
    </cfRule>
  </conditionalFormatting>
  <conditionalFormatting sqref="K63:K64">
    <cfRule type="expression" dxfId="331" priority="107">
      <formula>MOD(ROW(),2)=0</formula>
    </cfRule>
  </conditionalFormatting>
  <conditionalFormatting sqref="A28:F28">
    <cfRule type="expression" dxfId="330" priority="106">
      <formula>MOD(ROW(),2)=0</formula>
    </cfRule>
  </conditionalFormatting>
  <conditionalFormatting sqref="A29:F29">
    <cfRule type="expression" dxfId="329" priority="105">
      <formula>MOD(ROW(),2)=0</formula>
    </cfRule>
  </conditionalFormatting>
  <conditionalFormatting sqref="A31:F31">
    <cfRule type="expression" dxfId="328" priority="104">
      <formula>MOD(ROW(),2)=0</formula>
    </cfRule>
  </conditionalFormatting>
  <conditionalFormatting sqref="D8:E8">
    <cfRule type="expression" dxfId="327" priority="93">
      <formula>MOD(ROW(),2)=0</formula>
    </cfRule>
  </conditionalFormatting>
  <conditionalFormatting sqref="A55:C56 E55:E56">
    <cfRule type="expression" dxfId="326" priority="89">
      <formula>MOD(ROW(),2)=0</formula>
    </cfRule>
  </conditionalFormatting>
  <conditionalFormatting sqref="M55:N56">
    <cfRule type="expression" dxfId="325" priority="88">
      <formula>MOD(ROW(),2)=0</formula>
    </cfRule>
  </conditionalFormatting>
  <conditionalFormatting sqref="A43:C43 E43:F43">
    <cfRule type="expression" dxfId="324" priority="85">
      <formula>MOD(ROW(),2)=0</formula>
    </cfRule>
  </conditionalFormatting>
  <conditionalFormatting sqref="A51:B51">
    <cfRule type="expression" dxfId="323" priority="81">
      <formula>MOD(ROW(),2)=0</formula>
    </cfRule>
  </conditionalFormatting>
  <conditionalFormatting sqref="A4:C4 E4:F4">
    <cfRule type="expression" dxfId="322" priority="76">
      <formula>MOD(ROW(),2)=0</formula>
    </cfRule>
  </conditionalFormatting>
  <conditionalFormatting sqref="M4:N4">
    <cfRule type="expression" dxfId="321" priority="75">
      <formula>MOD(ROW(),2)=0</formula>
    </cfRule>
  </conditionalFormatting>
  <conditionalFormatting sqref="M4:N4">
    <cfRule type="expression" dxfId="320" priority="72">
      <formula>MOD(ROW(),2)=0</formula>
    </cfRule>
  </conditionalFormatting>
  <conditionalFormatting sqref="N4">
    <cfRule type="expression" dxfId="319" priority="73">
      <formula>MOD(ROW(),2)=0</formula>
    </cfRule>
  </conditionalFormatting>
  <conditionalFormatting sqref="A41:C41 E41:F41">
    <cfRule type="expression" dxfId="318" priority="67">
      <formula>MOD(ROW(),2)=0</formula>
    </cfRule>
  </conditionalFormatting>
  <conditionalFormatting sqref="A65:F65 F66">
    <cfRule type="expression" dxfId="317" priority="66">
      <formula>MOD(ROW(),2)=0</formula>
    </cfRule>
  </conditionalFormatting>
  <conditionalFormatting sqref="A10:F10">
    <cfRule type="expression" dxfId="316" priority="58">
      <formula>MOD(ROW(),2)=0</formula>
    </cfRule>
  </conditionalFormatting>
  <conditionalFormatting sqref="M10:N10">
    <cfRule type="expression" dxfId="315" priority="57">
      <formula>MOD(ROW(),2)=0</formula>
    </cfRule>
  </conditionalFormatting>
  <conditionalFormatting sqref="M10:N10">
    <cfRule type="expression" dxfId="314" priority="54">
      <formula>MOD(ROW(),2)=0</formula>
    </cfRule>
  </conditionalFormatting>
  <conditionalFormatting sqref="N10">
    <cfRule type="expression" dxfId="313" priority="55">
      <formula>MOD(ROW(),2)=0</formula>
    </cfRule>
  </conditionalFormatting>
  <conditionalFormatting sqref="F51">
    <cfRule type="expression" dxfId="312" priority="47">
      <formula>MOD(ROW(),2)=0</formula>
    </cfRule>
  </conditionalFormatting>
  <conditionalFormatting sqref="D51:E51">
    <cfRule type="expression" dxfId="311" priority="46">
      <formula>MOD(ROW(),2)=0</formula>
    </cfRule>
  </conditionalFormatting>
  <conditionalFormatting sqref="D6">
    <cfRule type="expression" dxfId="310" priority="45">
      <formula>MOD(ROW(),2)=0</formula>
    </cfRule>
  </conditionalFormatting>
  <conditionalFormatting sqref="D4">
    <cfRule type="expression" dxfId="309" priority="44">
      <formula>MOD(ROW(),2)=0</formula>
    </cfRule>
  </conditionalFormatting>
  <conditionalFormatting sqref="D9">
    <cfRule type="expression" dxfId="308" priority="43">
      <formula>MOD(ROW(),2)=0</formula>
    </cfRule>
  </conditionalFormatting>
  <conditionalFormatting sqref="D21">
    <cfRule type="expression" dxfId="307" priority="42">
      <formula>MOD(ROW(),2)=0</formula>
    </cfRule>
  </conditionalFormatting>
  <conditionalFormatting sqref="D55:D56">
    <cfRule type="expression" dxfId="306" priority="31">
      <formula>MOD(ROW(),2)=0</formula>
    </cfRule>
  </conditionalFormatting>
  <conditionalFormatting sqref="D35">
    <cfRule type="expression" dxfId="305" priority="41">
      <formula>MOD(ROW(),2)=0</formula>
    </cfRule>
  </conditionalFormatting>
  <conditionalFormatting sqref="D40:D41">
    <cfRule type="expression" dxfId="304" priority="40">
      <formula>MOD(ROW(),2)=0</formula>
    </cfRule>
  </conditionalFormatting>
  <conditionalFormatting sqref="D39">
    <cfRule type="expression" dxfId="303" priority="39">
      <formula>MOD(ROW(),2)=0</formula>
    </cfRule>
  </conditionalFormatting>
  <conditionalFormatting sqref="D42">
    <cfRule type="expression" dxfId="302" priority="38">
      <formula>MOD(ROW(),2)=0</formula>
    </cfRule>
  </conditionalFormatting>
  <conditionalFormatting sqref="D43">
    <cfRule type="expression" dxfId="301" priority="37">
      <formula>MOD(ROW(),2)=0</formula>
    </cfRule>
  </conditionalFormatting>
  <conditionalFormatting sqref="D44">
    <cfRule type="expression" dxfId="300" priority="36">
      <formula>MOD(ROW(),2)=0</formula>
    </cfRule>
  </conditionalFormatting>
  <conditionalFormatting sqref="D46">
    <cfRule type="expression" dxfId="299" priority="35">
      <formula>MOD(ROW(),2)=0</formula>
    </cfRule>
  </conditionalFormatting>
  <conditionalFormatting sqref="D57">
    <cfRule type="expression" dxfId="298" priority="34">
      <formula>MOD(ROW(),2)=0</formula>
    </cfRule>
  </conditionalFormatting>
  <conditionalFormatting sqref="D54">
    <cfRule type="expression" dxfId="297" priority="32">
      <formula>MOD(ROW(),2)=0</formula>
    </cfRule>
  </conditionalFormatting>
  <conditionalFormatting sqref="A22:F22">
    <cfRule type="expression" dxfId="296" priority="30">
      <formula>MOD(ROW(),2)=0</formula>
    </cfRule>
  </conditionalFormatting>
  <conditionalFormatting sqref="M22:N22">
    <cfRule type="expression" dxfId="295" priority="29">
      <formula>MOD(ROW(),2)=0</formula>
    </cfRule>
  </conditionalFormatting>
  <conditionalFormatting sqref="N22">
    <cfRule type="expression" dxfId="294" priority="26">
      <formula>MOD(ROW(),2)=0</formula>
    </cfRule>
  </conditionalFormatting>
  <conditionalFormatting sqref="M22:N22">
    <cfRule type="expression" dxfId="293" priority="25">
      <formula>MOD(ROW(),2)=0</formula>
    </cfRule>
  </conditionalFormatting>
  <conditionalFormatting sqref="A60:F60">
    <cfRule type="expression" dxfId="292" priority="18">
      <formula>MOD(ROW(),2)=0</formula>
    </cfRule>
  </conditionalFormatting>
  <conditionalFormatting sqref="G60:H60 K60:N60">
    <cfRule type="expression" dxfId="291" priority="17">
      <formula>MOD(ROW(),2)=0</formula>
    </cfRule>
  </conditionalFormatting>
  <conditionalFormatting sqref="A50:B50">
    <cfRule type="expression" dxfId="290" priority="16">
      <formula>MOD(ROW(),2)=0</formula>
    </cfRule>
  </conditionalFormatting>
  <conditionalFormatting sqref="G50:H50 K50:N50">
    <cfRule type="expression" dxfId="289" priority="15">
      <formula>MOD(ROW(),2)=0</formula>
    </cfRule>
  </conditionalFormatting>
  <conditionalFormatting sqref="A38:F38">
    <cfRule type="expression" dxfId="288" priority="14">
      <formula>MOD(ROW(),2)=0</formula>
    </cfRule>
  </conditionalFormatting>
  <conditionalFormatting sqref="G38:H38 K38:N38">
    <cfRule type="expression" dxfId="287" priority="13">
      <formula>MOD(ROW(),2)=0</formula>
    </cfRule>
  </conditionalFormatting>
  <conditionalFormatting sqref="A45:F45">
    <cfRule type="expression" dxfId="286" priority="12">
      <formula>MOD(ROW(),2)=0</formula>
    </cfRule>
  </conditionalFormatting>
  <conditionalFormatting sqref="A14:F14">
    <cfRule type="expression" dxfId="285" priority="11">
      <formula>MOD(ROW(),2)=0</formula>
    </cfRule>
  </conditionalFormatting>
  <conditionalFormatting sqref="G14:H14 K14:N14">
    <cfRule type="expression" dxfId="284" priority="10">
      <formula>MOD(ROW(),2)=0</formula>
    </cfRule>
  </conditionalFormatting>
  <conditionalFormatting sqref="B19:F20">
    <cfRule type="expression" dxfId="283" priority="9">
      <formula>MOD(ROW(),2)=0</formula>
    </cfRule>
  </conditionalFormatting>
  <conditionalFormatting sqref="G19:H20 K19:N20">
    <cfRule type="expression" dxfId="282" priority="8">
      <formula>MOD(ROW(),2)=0</formula>
    </cfRule>
  </conditionalFormatting>
  <conditionalFormatting sqref="G25:H25 K25:N25">
    <cfRule type="expression" dxfId="281" priority="4">
      <formula>MOD(ROW(),2)=0</formula>
    </cfRule>
  </conditionalFormatting>
  <conditionalFormatting sqref="A25:F25">
    <cfRule type="expression" dxfId="280" priority="7">
      <formula>MOD(ROW(),2)=0</formula>
    </cfRule>
  </conditionalFormatting>
  <conditionalFormatting sqref="A48:F48">
    <cfRule type="expression" dxfId="279" priority="6">
      <formula>MOD(ROW(),2)=0</formula>
    </cfRule>
  </conditionalFormatting>
  <conditionalFormatting sqref="A59:F59">
    <cfRule type="expression" dxfId="278" priority="5">
      <formula>MOD(ROW(),2)=0</formula>
    </cfRule>
  </conditionalFormatting>
  <conditionalFormatting sqref="A66:E66">
    <cfRule type="expression" dxfId="277" priority="3">
      <formula>MOD(ROW(),2)=0</formula>
    </cfRule>
  </conditionalFormatting>
  <conditionalFormatting sqref="A53:E53">
    <cfRule type="expression" dxfId="276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workbookViewId="0">
      <selection activeCell="V26" sqref="V26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hidden="1" customWidth="1" outlineLevel="1"/>
    <col min="31" max="31" width="10.7109375" style="133" hidden="1" customWidth="1" outlineLevel="1"/>
    <col min="32" max="32" width="9.140625" style="133" collapsed="1"/>
    <col min="33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156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75" priority="13">
      <formula>MOD(ROW(),2)=0</formula>
    </cfRule>
  </conditionalFormatting>
  <conditionalFormatting sqref="AE40">
    <cfRule type="expression" dxfId="274" priority="12">
      <formula>MOD(ROW(),2)=0</formula>
    </cfRule>
  </conditionalFormatting>
  <conditionalFormatting sqref="AE42">
    <cfRule type="expression" dxfId="273" priority="11">
      <formula>MOD(ROW(),2)=0</formula>
    </cfRule>
  </conditionalFormatting>
  <conditionalFormatting sqref="B48:B49">
    <cfRule type="expression" dxfId="272" priority="5">
      <formula>MOD(ROW(),2)=0</formula>
    </cfRule>
  </conditionalFormatting>
  <conditionalFormatting sqref="AD5:AE5">
    <cfRule type="expression" dxfId="271" priority="4">
      <formula>MOD(ROW(),2)=0</formula>
    </cfRule>
  </conditionalFormatting>
  <conditionalFormatting sqref="AD41">
    <cfRule type="expression" dxfId="270" priority="3">
      <formula>MOD(ROW(),2)=0</formula>
    </cfRule>
  </conditionalFormatting>
  <conditionalFormatting sqref="AE41">
    <cfRule type="expression" dxfId="269" priority="2">
      <formula>MOD(ROW(),2)=0</formula>
    </cfRule>
  </conditionalFormatting>
  <conditionalFormatting sqref="AD20:AE20">
    <cfRule type="expression" dxfId="268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topLeftCell="O28" zoomScale="115" zoomScaleNormal="115" workbookViewId="0">
      <selection activeCell="AB38" sqref="AB38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156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67" priority="28">
      <formula>MOD(ROW(),2)=0</formula>
    </cfRule>
  </conditionalFormatting>
  <conditionalFormatting sqref="AC47">
    <cfRule type="expression" dxfId="266" priority="27">
      <formula>MOD(ROW(),2)=0</formula>
    </cfRule>
  </conditionalFormatting>
  <conditionalFormatting sqref="AC49">
    <cfRule type="expression" dxfId="265" priority="26">
      <formula>MOD(ROW(),2)=0</formula>
    </cfRule>
  </conditionalFormatting>
  <conditionalFormatting sqref="A30:C30 F30">
    <cfRule type="expression" dxfId="264" priority="25">
      <formula>MOD(ROW(),2)=0</formula>
    </cfRule>
  </conditionalFormatting>
  <conditionalFormatting sqref="A14:F14 A15:C15 E15:F15">
    <cfRule type="expression" dxfId="263" priority="23">
      <formula>MOD(ROW(),2)=0</formula>
    </cfRule>
  </conditionalFormatting>
  <conditionalFormatting sqref="D30:E30">
    <cfRule type="expression" dxfId="262" priority="22">
      <formula>MOD(ROW(),2)=0</formula>
    </cfRule>
  </conditionalFormatting>
  <conditionalFormatting sqref="A58:F58">
    <cfRule type="expression" dxfId="261" priority="20">
      <formula>MOD(ROW(),2)=0</formula>
    </cfRule>
  </conditionalFormatting>
  <conditionalFormatting sqref="B55:B56">
    <cfRule type="expression" dxfId="260" priority="19">
      <formula>MOD(ROW(),2)=0</formula>
    </cfRule>
  </conditionalFormatting>
  <conditionalFormatting sqref="AB6:AC6">
    <cfRule type="expression" dxfId="259" priority="15">
      <formula>MOD(ROW(),2)=0</formula>
    </cfRule>
  </conditionalFormatting>
  <conditionalFormatting sqref="AB48">
    <cfRule type="expression" dxfId="258" priority="14">
      <formula>MOD(ROW(),2)=0</formula>
    </cfRule>
  </conditionalFormatting>
  <conditionalFormatting sqref="AC48">
    <cfRule type="expression" dxfId="257" priority="13">
      <formula>MOD(ROW(),2)=0</formula>
    </cfRule>
  </conditionalFormatting>
  <conditionalFormatting sqref="D6">
    <cfRule type="expression" dxfId="256" priority="12">
      <formula>MOD(ROW(),2)=0</formula>
    </cfRule>
  </conditionalFormatting>
  <conditionalFormatting sqref="D9">
    <cfRule type="expression" dxfId="255" priority="11">
      <formula>MOD(ROW(),2)=0</formula>
    </cfRule>
  </conditionalFormatting>
  <conditionalFormatting sqref="D15">
    <cfRule type="expression" dxfId="254" priority="10">
      <formula>MOD(ROW(),2)=0</formula>
    </cfRule>
  </conditionalFormatting>
  <conditionalFormatting sqref="D28">
    <cfRule type="expression" dxfId="253" priority="9">
      <formula>MOD(ROW(),2)=0</formula>
    </cfRule>
  </conditionalFormatting>
  <conditionalFormatting sqref="D41">
    <cfRule type="expression" dxfId="252" priority="8">
      <formula>MOD(ROW(),2)=0</formula>
    </cfRule>
  </conditionalFormatting>
  <conditionalFormatting sqref="D46">
    <cfRule type="expression" dxfId="251" priority="7">
      <formula>MOD(ROW(),2)=0</formula>
    </cfRule>
  </conditionalFormatting>
  <conditionalFormatting sqref="D49">
    <cfRule type="expression" dxfId="250" priority="6">
      <formula>MOD(ROW(),2)=0</formula>
    </cfRule>
  </conditionalFormatting>
  <conditionalFormatting sqref="D60:D63">
    <cfRule type="expression" dxfId="249" priority="1">
      <formula>MOD(ROW(),2)=0</formula>
    </cfRule>
  </conditionalFormatting>
  <conditionalFormatting sqref="D50:D51">
    <cfRule type="expression" dxfId="248" priority="5">
      <formula>MOD(ROW(),2)=0</formula>
    </cfRule>
  </conditionalFormatting>
  <conditionalFormatting sqref="D52">
    <cfRule type="expression" dxfId="247" priority="4">
      <formula>MOD(ROW(),2)=0</formula>
    </cfRule>
  </conditionalFormatting>
  <conditionalFormatting sqref="D59">
    <cfRule type="expression" dxfId="246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43" workbookViewId="0">
      <selection activeCell="AF28" sqref="AF28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45" priority="24">
      <formula>MOD(ROW(),2)=0</formula>
    </cfRule>
  </conditionalFormatting>
  <conditionalFormatting sqref="AC47">
    <cfRule type="expression" dxfId="244" priority="23">
      <formula>MOD(ROW(),2)=0</formula>
    </cfRule>
  </conditionalFormatting>
  <conditionalFormatting sqref="AC48">
    <cfRule type="expression" dxfId="243" priority="22">
      <formula>MOD(ROW(),2)=0</formula>
    </cfRule>
  </conditionalFormatting>
  <conditionalFormatting sqref="A29:C29 F29">
    <cfRule type="expression" dxfId="242" priority="21">
      <formula>MOD(ROW(),2)=0</formula>
    </cfRule>
  </conditionalFormatting>
  <conditionalFormatting sqref="AC59">
    <cfRule type="expression" dxfId="241" priority="20">
      <formula>MOD(ROW(),2)=0</formula>
    </cfRule>
  </conditionalFormatting>
  <conditionalFormatting sqref="A13:F13 A14:C14 E14:F14">
    <cfRule type="expression" dxfId="240" priority="19">
      <formula>MOD(ROW(),2)=0</formula>
    </cfRule>
  </conditionalFormatting>
  <conditionalFormatting sqref="D29:E29">
    <cfRule type="expression" dxfId="239" priority="18">
      <formula>MOD(ROW(),2)=0</formula>
    </cfRule>
  </conditionalFormatting>
  <conditionalFormatting sqref="A53:B53 F53">
    <cfRule type="expression" dxfId="238" priority="15">
      <formula>MOD(ROW(),2)=0</formula>
    </cfRule>
  </conditionalFormatting>
  <conditionalFormatting sqref="A57:F57">
    <cfRule type="expression" dxfId="237" priority="14">
      <formula>MOD(ROW(),2)=0</formula>
    </cfRule>
  </conditionalFormatting>
  <conditionalFormatting sqref="B54:B55">
    <cfRule type="expression" dxfId="236" priority="13">
      <formula>MOD(ROW(),2)=0</formula>
    </cfRule>
  </conditionalFormatting>
  <conditionalFormatting sqref="D53:E53 C54:E55">
    <cfRule type="expression" dxfId="235" priority="12">
      <formula>MOD(ROW(),2)=0</formula>
    </cfRule>
  </conditionalFormatting>
  <conditionalFormatting sqref="D58:D61">
    <cfRule type="expression" dxfId="234" priority="1">
      <formula>MOD(ROW(),2)=0</formula>
    </cfRule>
  </conditionalFormatting>
  <conditionalFormatting sqref="D8">
    <cfRule type="expression" dxfId="233" priority="10">
      <formula>MOD(ROW(),2)=0</formula>
    </cfRule>
  </conditionalFormatting>
  <conditionalFormatting sqref="D14">
    <cfRule type="expression" dxfId="232" priority="9">
      <formula>MOD(ROW(),2)=0</formula>
    </cfRule>
  </conditionalFormatting>
  <conditionalFormatting sqref="D27">
    <cfRule type="expression" dxfId="231" priority="8">
      <formula>MOD(ROW(),2)=0</formula>
    </cfRule>
  </conditionalFormatting>
  <conditionalFormatting sqref="D41">
    <cfRule type="expression" dxfId="230" priority="7">
      <formula>MOD(ROW(),2)=0</formula>
    </cfRule>
  </conditionalFormatting>
  <conditionalFormatting sqref="D47:D48">
    <cfRule type="expression" dxfId="229" priority="6">
      <formula>MOD(ROW(),2)=0</formula>
    </cfRule>
  </conditionalFormatting>
  <conditionalFormatting sqref="D46">
    <cfRule type="expression" dxfId="228" priority="5">
      <formula>MOD(ROW(),2)=0</formula>
    </cfRule>
  </conditionalFormatting>
  <conditionalFormatting sqref="D49">
    <cfRule type="expression" dxfId="227" priority="4">
      <formula>MOD(ROW(),2)=0</formula>
    </cfRule>
  </conditionalFormatting>
  <conditionalFormatting sqref="D50">
    <cfRule type="expression" dxfId="226" priority="3">
      <formula>MOD(ROW(),2)=0</formula>
    </cfRule>
  </conditionalFormatting>
  <conditionalFormatting sqref="D51">
    <cfRule type="expression" dxfId="225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2"/>
  <sheetViews>
    <sheetView zoomScaleNormal="100" workbookViewId="0">
      <selection activeCell="A42" sqref="A42:XFD42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customWidth="1" outlineLevel="1"/>
    <col min="8" max="8" width="9.42578125" customWidth="1" outlineLevel="1"/>
    <col min="9" max="9" width="11.28515625" customWidth="1" outlineLevel="1"/>
    <col min="10" max="10" width="10" customWidth="1" outlineLevel="1"/>
    <col min="11" max="11" width="11.140625" customWidth="1" outlineLevel="1"/>
    <col min="12" max="12" width="10.5703125" customWidth="1" outlineLevel="1"/>
    <col min="13" max="14" width="10.5703125" style="1" customWidth="1" outlineLevel="1"/>
    <col min="15" max="15" width="10.5703125" style="132" customWidth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hidden="1" customWidth="1" outlineLevel="1"/>
    <col min="21" max="21" width="10.5703125" style="132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IFERROR(VLOOKUP($A$3:$A$136,'APR-2026'!$A$4:$ABX$112,MATCH('FY-(26-27)Q1'!$G$2:$H$2,'APR-2026'!$A$2:$BY$2,0),0),0)</f>
        <v>330000</v>
      </c>
      <c r="H4" s="155">
        <f>IFERROR(VLOOKUP($A$3:$A$136,'APR-2026'!$A$4:$ABX$112,MATCH('FY-(26-27)Q1'!$G$2:$H$2,'APR-2026'!$A$2:$BY$2,0),0),0)</f>
        <v>1.1000000000000001</v>
      </c>
      <c r="I4" s="153">
        <f>IFERROR(VLOOKUP($A$3:$A$136,'MAY-2026'!$A$4:$ACP$113,MATCH('FY-(26-27)Q1'!$I$2:$J$2,'MAY-2026'!$A$2:$CQ$2,0),0),0)</f>
        <v>-198725</v>
      </c>
      <c r="J4" s="155">
        <f>IFERROR(VLOOKUP($A$3:$A$136,'MAY-2026'!$A$4:$ACP$113,MATCH('FY-(26-27)Q1'!$I$2:$J$2,'MAY-2026'!$A$2:$CQ$2,0),0),0)</f>
        <v>-0.66241666666666665</v>
      </c>
      <c r="K4" s="153">
        <f>IFERROR(VLOOKUP($A$3:$A$136,'JUNE-2026'!$A$4:$ADJ$113,MATCH('FY-(26-27)Q1'!$K$2:$L$2,'JUNE-2026'!$A$2:$DK$2,0),0),0)</f>
        <v>50000</v>
      </c>
      <c r="L4" s="155">
        <f>IFERROR(VLOOKUP($A$3:$A$136,'JUNE-2026'!$A$4:$ADJ$113,MATCH('FY-(26-27)Q1'!$K$2:$L$2,'JUNE-2026'!$A$2:$DK$2,0),0),0)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IFERROR(VLOOKUP($A$3:$A$136,'FY-(26-27)Q2'!$A$4:$ABW$120,MATCH('FY-(26-27)Q1'!$P$2:$Q$2,'FY-(26-27)Q2'!$A$2:$BX$2,0),0),0)</f>
        <v>0</v>
      </c>
      <c r="Q4" s="155">
        <f>IFERROR(VLOOKUP($A$3:$A$136,'FY-(26-27)Q2'!$A$4:$ABW$120,MATCH('FY-(26-27)Q1'!$P$2:$Q$2,'FY-(26-27)Q2'!$A$2:$BX$2,0),0),0)</f>
        <v>0</v>
      </c>
      <c r="R4" s="159"/>
      <c r="S4" s="88">
        <f>IFERROR(VLOOKUP($A$4:$A$71,#REF!,MATCH('FY-(26-27)Q1'!$S$2:$T$2,#REF!,0),0),0)</f>
        <v>0</v>
      </c>
      <c r="T4" s="124">
        <f>IFERROR(VLOOKUP($A$4:$A$71,#REF!,MATCH('FY-(26-27)Q1'!$S$2:$T$2,#REF!,0),0),0)</f>
        <v>0</v>
      </c>
      <c r="U4" s="217"/>
      <c r="V4" s="71"/>
      <c r="W4" s="72"/>
      <c r="Y4" s="89">
        <f t="shared" ref="Y4:Y37" si="0">M4+P4+S4+V4</f>
        <v>181275</v>
      </c>
      <c r="Z4" s="168">
        <f t="shared" ref="Z4:Z37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IFERROR(VLOOKUP($A$3:$A$136,'APR-2026'!$A$4:$ABX$112,MATCH('FY-(26-27)Q1'!$G$2:$H$2,'APR-2026'!$A$2:$BY$2,0),0),0)</f>
        <v>-21500</v>
      </c>
      <c r="H5" s="155">
        <f>IFERROR(VLOOKUP($A$3:$A$136,'APR-2026'!$A$4:$ABX$112,MATCH('FY-(26-27)Q1'!$G$2:$H$2,'APR-2026'!$A$2:$BY$2,0),0),0)</f>
        <v>-7.166666666666667E-2</v>
      </c>
      <c r="I5" s="153">
        <f>IFERROR(VLOOKUP($A$3:$A$136,'MAY-2026'!$A$4:$ACP$113,MATCH('FY-(26-27)Q1'!$I$2:$J$2,'MAY-2026'!$A$2:$CQ$2,0),0),0)</f>
        <v>2411</v>
      </c>
      <c r="J5" s="155">
        <f>IFERROR(VLOOKUP($A$3:$A$136,'MAY-2026'!$A$4:$ACP$113,MATCH('FY-(26-27)Q1'!$I$2:$J$2,'MAY-2026'!$A$2:$CQ$2,0),0),0)</f>
        <v>8.0366666666666659E-3</v>
      </c>
      <c r="K5" s="153">
        <f>IFERROR(VLOOKUP($A$3:$A$136,'JUNE-2026'!$A$4:$ADJ$113,MATCH('FY-(26-27)Q1'!$K$2:$L$2,'JUNE-2026'!$A$2:$DK$2,0),0),0)</f>
        <v>0</v>
      </c>
      <c r="L5" s="155">
        <f>IFERROR(VLOOKUP($A$3:$A$136,'JUNE-2026'!$A$4:$ADJ$113,MATCH('FY-(26-27)Q1'!$K$2:$L$2,'JUNE-2026'!$A$2:$DK$2,0),0),0)</f>
        <v>0</v>
      </c>
      <c r="M5" s="71">
        <f t="shared" ref="M5:M71" si="2">G5+I5+K5</f>
        <v>-19089</v>
      </c>
      <c r="N5" s="166">
        <f t="shared" ref="N5:N71" si="3">H5+J5+L5</f>
        <v>-6.3630000000000006E-2</v>
      </c>
      <c r="O5" s="215"/>
      <c r="P5" s="153">
        <f>IFERROR(VLOOKUP($A$3:$A$136,'FY-(26-27)Q2'!$A$4:$ABW$120,MATCH('FY-(26-27)Q1'!$P$2:$Q$2,'FY-(26-27)Q2'!$A$2:$BX$2,0),0),0)</f>
        <v>0</v>
      </c>
      <c r="Q5" s="155">
        <f>IFERROR(VLOOKUP($A$3:$A$136,'FY-(26-27)Q2'!$A$4:$ABW$120,MATCH('FY-(26-27)Q1'!$P$2:$Q$2,'FY-(26-27)Q2'!$A$2:$BX$2,0),0),0)</f>
        <v>0</v>
      </c>
      <c r="R5" s="159"/>
      <c r="S5" s="88">
        <f>IFERROR(VLOOKUP($A$4:$A$71,#REF!,MATCH('FY-(26-27)Q1'!$S$2:$T$2,#REF!,0),0),0)</f>
        <v>0</v>
      </c>
      <c r="T5" s="124">
        <f>IFERROR(VLOOKUP($A$4:$A$71,#REF!,MATCH('FY-(26-27)Q1'!$S$2:$T$2,#REF!,0),0),0)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IFERROR(VLOOKUP($A$3:$A$136,'APR-2026'!$A$4:$ABX$112,MATCH('FY-(26-27)Q1'!$G$2:$H$2,'APR-2026'!$A$2:$BY$2,0),0),0)</f>
        <v>0</v>
      </c>
      <c r="H6" s="155">
        <f>IFERROR(VLOOKUP($A$3:$A$136,'APR-2026'!$A$4:$ABX$112,MATCH('FY-(26-27)Q1'!$G$2:$H$2,'APR-2026'!$A$2:$BY$2,0),0),0)</f>
        <v>0</v>
      </c>
      <c r="I6" s="153">
        <f>IFERROR(VLOOKUP($A$3:$A$136,'MAY-2026'!$A$4:$ACP$113,MATCH('FY-(26-27)Q1'!$I$2:$J$2,'MAY-2026'!$A$2:$CQ$2,0),0),0)</f>
        <v>-44821</v>
      </c>
      <c r="J6" s="155">
        <f>IFERROR(VLOOKUP($A$3:$A$136,'MAY-2026'!$A$4:$ACP$113,MATCH('FY-(26-27)Q1'!$I$2:$J$2,'MAY-2026'!$A$2:$CQ$2,0),0),0)</f>
        <v>-0.89641999999999999</v>
      </c>
      <c r="K6" s="153">
        <f>IFERROR(VLOOKUP($A$3:$A$136,'JUNE-2026'!$A$4:$ADJ$113,MATCH('FY-(26-27)Q1'!$K$2:$L$2,'JUNE-2026'!$A$2:$DK$2,0),0),0)</f>
        <v>-3515</v>
      </c>
      <c r="L6" s="155">
        <f>IFERROR(VLOOKUP($A$3:$A$136,'JUNE-2026'!$A$4:$ADJ$113,MATCH('FY-(26-27)Q1'!$K$2:$L$2,'JUNE-2026'!$A$2:$DK$2,0),0),0)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IFERROR(VLOOKUP($A$3:$A$136,'FY-(26-27)Q2'!$A$4:$ABW$120,MATCH('FY-(26-27)Q1'!$P$2:$Q$2,'FY-(26-27)Q2'!$A$2:$BX$2,0),0),0)</f>
        <v>-28323</v>
      </c>
      <c r="Q6" s="155">
        <f>IFERROR(VLOOKUP($A$3:$A$136,'FY-(26-27)Q2'!$A$4:$ABW$120,MATCH('FY-(26-27)Q1'!$P$2:$Q$2,'FY-(26-27)Q2'!$A$2:$BX$2,0),0),0)</f>
        <v>-0.56645999999999996</v>
      </c>
      <c r="R6" s="159"/>
      <c r="S6" s="153">
        <f>IFERROR(VLOOKUP($A$4:$A$71,#REF!,MATCH('FY-(26-27)Q1'!$S$2:$T$2,#REF!,0),0),0)</f>
        <v>0</v>
      </c>
      <c r="T6" s="159">
        <f>IFERROR(VLOOKUP($A$4:$A$71,#REF!,MATCH('FY-(26-27)Q1'!$S$2:$T$2,#REF!,0),0),0)</f>
        <v>0</v>
      </c>
      <c r="U6" s="217"/>
      <c r="V6" s="71"/>
      <c r="W6" s="150"/>
      <c r="X6" s="132"/>
      <c r="Y6" s="154">
        <f t="shared" si="0"/>
        <v>-76659</v>
      </c>
      <c r="Z6" s="168">
        <f t="shared" si="1"/>
        <v>-1.53318</v>
      </c>
    </row>
    <row r="7" spans="1:26" s="1" customFormat="1" ht="15" customHeight="1" x14ac:dyDescent="0.25">
      <c r="A7" s="35" t="s">
        <v>30</v>
      </c>
      <c r="B7" s="34" t="s">
        <v>175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IFERROR(VLOOKUP($A$3:$A$136,'APR-2026'!$A$4:$ABX$112,MATCH('FY-(26-27)Q1'!$G$2:$H$2,'APR-2026'!$A$2:$BY$2,0),0),0)</f>
        <v>602695</v>
      </c>
      <c r="H7" s="155">
        <f>IFERROR(VLOOKUP($A$3:$A$136,'APR-2026'!$A$4:$ABX$112,MATCH('FY-(26-27)Q1'!$G$2:$H$2,'APR-2026'!$A$2:$BY$2,0),0),0)</f>
        <v>2.0089833333333336</v>
      </c>
      <c r="I7" s="153">
        <f>IFERROR(VLOOKUP($A$3:$A$136,'MAY-2026'!$A$4:$ACP$113,MATCH('FY-(26-27)Q1'!$I$2:$J$2,'MAY-2026'!$A$2:$CQ$2,0),0),0)</f>
        <v>-40749</v>
      </c>
      <c r="J7" s="155">
        <f>IFERROR(VLOOKUP($A$3:$A$136,'MAY-2026'!$A$4:$ACP$113,MATCH('FY-(26-27)Q1'!$I$2:$J$2,'MAY-2026'!$A$2:$CQ$2,0),0),0)</f>
        <v>-0.13583000000000001</v>
      </c>
      <c r="K7" s="153">
        <f>IFERROR(VLOOKUP($A$3:$A$136,'JUNE-2026'!$A$4:$ADJ$113,MATCH('FY-(26-27)Q1'!$K$2:$L$2,'JUNE-2026'!$A$2:$DK$2,0),0),0)</f>
        <v>772328</v>
      </c>
      <c r="L7" s="155">
        <f>IFERROR(VLOOKUP($A$3:$A$136,'JUNE-2026'!$A$4:$ADJ$113,MATCH('FY-(26-27)Q1'!$K$2:$L$2,'JUNE-2026'!$A$2:$DK$2,0),0),0)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IFERROR(VLOOKUP($A$3:$A$136,'FY-(26-27)Q2'!$A$4:$ABW$120,MATCH('FY-(26-27)Q1'!$P$2:$Q$2,'FY-(26-27)Q2'!$A$2:$BX$2,0),0),0)</f>
        <v>-65303</v>
      </c>
      <c r="Q7" s="155">
        <f>IFERROR(VLOOKUP($A$3:$A$136,'FY-(26-27)Q2'!$A$4:$ABW$120,MATCH('FY-(26-27)Q1'!$P$2:$Q$2,'FY-(26-27)Q2'!$A$2:$BX$2,0),0),0)</f>
        <v>-0.21767666666666657</v>
      </c>
      <c r="R7" s="159"/>
      <c r="S7" s="88">
        <f>IFERROR(VLOOKUP($A$4:$A$71,#REF!,MATCH('FY-(26-27)Q1'!$S$2:$T$2,#REF!,0),0),0)</f>
        <v>0</v>
      </c>
      <c r="T7" s="124">
        <f>IFERROR(VLOOKUP($A$4:$A$71,#REF!,MATCH('FY-(26-27)Q1'!$S$2:$T$2,#REF!,0),0),0)</f>
        <v>0</v>
      </c>
      <c r="U7" s="159"/>
      <c r="V7" s="45"/>
      <c r="W7" s="72"/>
      <c r="X7"/>
      <c r="Y7" s="154">
        <f t="shared" si="0"/>
        <v>1268971</v>
      </c>
      <c r="Z7" s="168">
        <f t="shared" si="1"/>
        <v>4.2299033333333336</v>
      </c>
    </row>
    <row r="8" spans="1:26" ht="15" customHeight="1" x14ac:dyDescent="0.25">
      <c r="A8" s="142" t="s">
        <v>177</v>
      </c>
      <c r="B8" s="141" t="s">
        <v>175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IFERROR(VLOOKUP($A$3:$A$136,'APR-2026'!$A$4:$ABX$112,MATCH('FY-(26-27)Q1'!$G$2:$H$2,'APR-2026'!$A$2:$BY$2,0),0),0)</f>
        <v>-115177</v>
      </c>
      <c r="H8" s="155">
        <f>IFERROR(VLOOKUP($A$3:$A$136,'APR-2026'!$A$4:$ABX$112,MATCH('FY-(26-27)Q1'!$G$2:$H$2,'APR-2026'!$A$2:$BY$2,0),0),0)</f>
        <v>-1.15177</v>
      </c>
      <c r="I8" s="153">
        <f>IFERROR(VLOOKUP($A$3:$A$136,'MAY-2026'!$A$4:$ACP$113,MATCH('FY-(26-27)Q1'!$I$2:$J$2,'MAY-2026'!$A$2:$CQ$2,0),0),0)</f>
        <v>-270250</v>
      </c>
      <c r="J8" s="155">
        <f>IFERROR(VLOOKUP($A$3:$A$136,'MAY-2026'!$A$4:$ACP$113,MATCH('FY-(26-27)Q1'!$I$2:$J$2,'MAY-2026'!$A$2:$CQ$2,0),0),0)</f>
        <v>-2.7025000000000001</v>
      </c>
      <c r="K8" s="153">
        <f>IFERROR(VLOOKUP($A$3:$A$136,'JUNE-2026'!$A$4:$ADJ$113,MATCH('FY-(26-27)Q1'!$K$2:$L$2,'JUNE-2026'!$A$2:$DK$2,0),0),0)</f>
        <v>0</v>
      </c>
      <c r="L8" s="155">
        <f>IFERROR(VLOOKUP($A$3:$A$136,'JUNE-2026'!$A$4:$ADJ$113,MATCH('FY-(26-27)Q1'!$K$2:$L$2,'JUNE-2026'!$A$2:$DK$2,0),0),0)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IFERROR(VLOOKUP($A$3:$A$136,'FY-(26-27)Q2'!$A$4:$ABW$120,MATCH('FY-(26-27)Q1'!$P$2:$Q$2,'FY-(26-27)Q2'!$A$2:$BX$2,0),0),0)</f>
        <v>0</v>
      </c>
      <c r="Q8" s="155">
        <f>IFERROR(VLOOKUP($A$3:$A$136,'FY-(26-27)Q2'!$A$4:$ABW$120,MATCH('FY-(26-27)Q1'!$P$2:$Q$2,'FY-(26-27)Q2'!$A$2:$BX$2,0),0),0)</f>
        <v>0</v>
      </c>
      <c r="R8" s="159"/>
      <c r="S8" s="153">
        <f>IFERROR(VLOOKUP($A$4:$A$71,#REF!,MATCH('FY-(26-27)Q1'!$S$2:$T$2,#REF!,0),0),0)</f>
        <v>0</v>
      </c>
      <c r="T8" s="159">
        <f>IFERROR(VLOOKUP($A$4:$A$71,#REF!,MATCH('FY-(26-27)Q1'!$S$2:$T$2,#REF!,0),0),0)</f>
        <v>0</v>
      </c>
      <c r="U8" s="159"/>
      <c r="V8" s="144"/>
      <c r="W8" s="150"/>
      <c r="X8" s="1"/>
      <c r="Y8" s="154">
        <f t="shared" si="0"/>
        <v>-385427</v>
      </c>
      <c r="Z8" s="168">
        <f t="shared" si="1"/>
        <v>-3.8542700000000001</v>
      </c>
    </row>
    <row r="9" spans="1:26" ht="15" customHeight="1" x14ac:dyDescent="0.25">
      <c r="A9" s="35" t="s">
        <v>134</v>
      </c>
      <c r="B9" s="34" t="s">
        <v>133</v>
      </c>
      <c r="C9" s="34" t="s">
        <v>135</v>
      </c>
      <c r="D9" s="160" t="s">
        <v>258</v>
      </c>
      <c r="E9" s="38" t="s">
        <v>256</v>
      </c>
      <c r="F9" s="116">
        <v>3</v>
      </c>
      <c r="G9" s="153">
        <f>IFERROR(VLOOKUP($A$3:$A$136,'APR-2026'!$A$4:$ABX$112,MATCH('FY-(26-27)Q1'!$G$2:$H$2,'APR-2026'!$A$2:$BY$2,0),0),0)</f>
        <v>-86659</v>
      </c>
      <c r="H9" s="155">
        <f>IFERROR(VLOOKUP($A$3:$A$136,'APR-2026'!$A$4:$ABX$112,MATCH('FY-(26-27)Q1'!$G$2:$H$2,'APR-2026'!$A$2:$BY$2,0),0),0)</f>
        <v>-1.7331799999999999</v>
      </c>
      <c r="I9" s="153">
        <f>IFERROR(VLOOKUP($A$3:$A$136,'MAY-2026'!$A$4:$ACP$113,MATCH('FY-(26-27)Q1'!$I$2:$J$2,'MAY-2026'!$A$2:$CQ$2,0),0),0)</f>
        <v>165574</v>
      </c>
      <c r="J9" s="155">
        <f>IFERROR(VLOOKUP($A$3:$A$136,'MAY-2026'!$A$4:$ACP$113,MATCH('FY-(26-27)Q1'!$I$2:$J$2,'MAY-2026'!$A$2:$CQ$2,0),0),0)</f>
        <v>0.55191333333333337</v>
      </c>
      <c r="K9" s="153">
        <f>IFERROR(VLOOKUP($A$3:$A$136,'JUNE-2026'!$A$4:$ADJ$113,MATCH('FY-(26-27)Q1'!$K$2:$L$2,'JUNE-2026'!$A$2:$DK$2,0),0),0)</f>
        <v>-437824</v>
      </c>
      <c r="L9" s="155">
        <f>IFERROR(VLOOKUP($A$3:$A$136,'JUNE-2026'!$A$4:$ADJ$113,MATCH('FY-(26-27)Q1'!$K$2:$L$2,'JUNE-2026'!$A$2:$DK$2,0),0),0)</f>
        <v>-1.4594133333333335</v>
      </c>
      <c r="M9" s="71">
        <f t="shared" si="2"/>
        <v>-358909</v>
      </c>
      <c r="N9" s="166">
        <f t="shared" si="3"/>
        <v>-2.6406800000000001</v>
      </c>
      <c r="O9" s="215"/>
      <c r="P9" s="153">
        <f>IFERROR(VLOOKUP($A$3:$A$136,'FY-(26-27)Q2'!$A$4:$ABW$120,MATCH('FY-(26-27)Q1'!$P$2:$Q$2,'FY-(26-27)Q2'!$A$2:$BX$2,0),0),0)</f>
        <v>53780</v>
      </c>
      <c r="Q9" s="155">
        <f>IFERROR(VLOOKUP($A$3:$A$136,'FY-(26-27)Q2'!$A$4:$ABW$120,MATCH('FY-(26-27)Q1'!$P$2:$Q$2,'FY-(26-27)Q2'!$A$2:$BX$2,0),0),0)</f>
        <v>0.17926666666666666</v>
      </c>
      <c r="R9" s="159"/>
      <c r="S9" s="88">
        <f>IFERROR(VLOOKUP($A$4:$A$71,#REF!,MATCH('FY-(26-27)Q1'!$S$2:$T$2,#REF!,0),0),0)</f>
        <v>0</v>
      </c>
      <c r="T9" s="124">
        <f>IFERROR(VLOOKUP($A$4:$A$71,#REF!,MATCH('FY-(26-27)Q1'!$S$2:$T$2,#REF!,0),0),0)</f>
        <v>0</v>
      </c>
      <c r="U9" s="159"/>
      <c r="V9" s="45"/>
      <c r="W9" s="72"/>
      <c r="Y9" s="154">
        <f t="shared" si="0"/>
        <v>-305129</v>
      </c>
      <c r="Z9" s="168">
        <f t="shared" si="1"/>
        <v>-2.4614133333333337</v>
      </c>
    </row>
    <row r="10" spans="1:26" s="132" customFormat="1" ht="15" customHeight="1" x14ac:dyDescent="0.25">
      <c r="A10" s="142" t="s">
        <v>217</v>
      </c>
      <c r="B10" s="141" t="s">
        <v>133</v>
      </c>
      <c r="C10" s="141" t="s">
        <v>96</v>
      </c>
      <c r="D10" s="38" t="s">
        <v>116</v>
      </c>
      <c r="E10" s="38" t="s">
        <v>256</v>
      </c>
      <c r="F10" s="156">
        <v>1.5</v>
      </c>
      <c r="G10" s="153">
        <f>IFERROR(VLOOKUP($A$3:$A$136,'APR-2026'!$A$4:$ABX$112,MATCH('FY-(26-27)Q1'!$G$2:$H$2,'APR-2026'!$A$2:$BY$2,0),0),0)</f>
        <v>0</v>
      </c>
      <c r="H10" s="155">
        <f>IFERROR(VLOOKUP($A$3:$A$136,'APR-2026'!$A$4:$ABX$112,MATCH('FY-(26-27)Q1'!$G$2:$H$2,'APR-2026'!$A$2:$BY$2,0),0),0)</f>
        <v>0</v>
      </c>
      <c r="I10" s="153">
        <f>IFERROR(VLOOKUP($A$3:$A$136,'MAY-2026'!$A$4:$ACP$113,MATCH('FY-(26-27)Q1'!$I$2:$J$2,'MAY-2026'!$A$2:$CQ$2,0),0),0)</f>
        <v>-175097</v>
      </c>
      <c r="J10" s="155">
        <f>IFERROR(VLOOKUP($A$3:$A$136,'MAY-2026'!$A$4:$ACP$113,MATCH('FY-(26-27)Q1'!$I$2:$J$2,'MAY-2026'!$A$2:$CQ$2,0),0),0)</f>
        <v>-1.1673133333333332</v>
      </c>
      <c r="K10" s="153">
        <f>IFERROR(VLOOKUP($A$3:$A$136,'JUNE-2026'!$A$4:$ADJ$113,MATCH('FY-(26-27)Q1'!$K$2:$L$2,'JUNE-2026'!$A$2:$DK$2,0),0),0)</f>
        <v>135</v>
      </c>
      <c r="L10" s="155">
        <f>IFERROR(VLOOKUP($A$3:$A$136,'JUNE-2026'!$A$4:$ADJ$113,MATCH('FY-(26-27)Q1'!$K$2:$L$2,'JUNE-2026'!$A$2:$DK$2,0),0),0)</f>
        <v>8.9999999999999998E-4</v>
      </c>
      <c r="M10" s="71">
        <f t="shared" ref="M10" si="6">G10+I10+K10</f>
        <v>-174962</v>
      </c>
      <c r="N10" s="166">
        <f t="shared" ref="N10" si="7">H10+J10+L10</f>
        <v>-1.1664133333333333</v>
      </c>
      <c r="O10" s="215"/>
      <c r="P10" s="153">
        <f>IFERROR(VLOOKUP($A$3:$A$136,'FY-(26-27)Q2'!$A$4:$ABW$120,MATCH('FY-(26-27)Q1'!$P$2:$Q$2,'FY-(26-27)Q2'!$A$2:$BX$2,0),0),0)</f>
        <v>-284947</v>
      </c>
      <c r="Q10" s="155">
        <f>IFERROR(VLOOKUP($A$3:$A$136,'FY-(26-27)Q2'!$A$4:$ABW$120,MATCH('FY-(26-27)Q1'!$P$2:$Q$2,'FY-(26-27)Q2'!$A$2:$BX$2,0),0),0)</f>
        <v>-1.8996466666666669</v>
      </c>
      <c r="R10" s="159"/>
      <c r="S10" s="153">
        <f>IFERROR(VLOOKUP($A$4:$A$71,#REF!,MATCH('FY-(26-27)Q1'!$S$2:$T$2,#REF!,0),0),0)</f>
        <v>0</v>
      </c>
      <c r="T10" s="159">
        <f>IFERROR(VLOOKUP($A$4:$A$71,#REF!,MATCH('FY-(26-27)Q1'!$S$2:$T$2,#REF!,0),0),0)</f>
        <v>0</v>
      </c>
      <c r="U10" s="159"/>
      <c r="V10" s="144"/>
      <c r="W10" s="150"/>
      <c r="Y10" s="154">
        <f t="shared" si="0"/>
        <v>-459909</v>
      </c>
      <c r="Z10" s="168">
        <f t="shared" si="1"/>
        <v>-3.0660600000000002</v>
      </c>
    </row>
    <row r="11" spans="1:26" s="1" customFormat="1" ht="15" customHeight="1" x14ac:dyDescent="0.25">
      <c r="A11" s="36" t="s">
        <v>35</v>
      </c>
      <c r="B11" s="34" t="s">
        <v>55</v>
      </c>
      <c r="C11" s="34" t="s">
        <v>79</v>
      </c>
      <c r="D11" s="143" t="s">
        <v>112</v>
      </c>
      <c r="E11" s="143" t="s">
        <v>256</v>
      </c>
      <c r="F11" s="117">
        <v>15</v>
      </c>
      <c r="G11" s="153">
        <f>IFERROR(VLOOKUP($A$3:$A$136,'APR-2026'!$A$4:$ABX$112,MATCH('FY-(26-27)Q1'!$G$2:$H$2,'APR-2026'!$A$2:$BY$2,0),0),0)</f>
        <v>194000</v>
      </c>
      <c r="H11" s="155">
        <f>IFERROR(VLOOKUP($A$3:$A$136,'APR-2026'!$A$4:$ABX$112,MATCH('FY-(26-27)Q1'!$G$2:$H$2,'APR-2026'!$A$2:$BY$2,0),0),0)</f>
        <v>0.12933333333333336</v>
      </c>
      <c r="I11" s="153">
        <f>IFERROR(VLOOKUP($A$3:$A$136,'MAY-2026'!$A$4:$ACP$113,MATCH('FY-(26-27)Q1'!$I$2:$J$2,'MAY-2026'!$A$2:$CQ$2,0),0),0)</f>
        <v>-774466</v>
      </c>
      <c r="J11" s="155">
        <f>IFERROR(VLOOKUP($A$3:$A$136,'MAY-2026'!$A$4:$ACP$113,MATCH('FY-(26-27)Q1'!$I$2:$J$2,'MAY-2026'!$A$2:$CQ$2,0),0),0)</f>
        <v>-0.5163106666666667</v>
      </c>
      <c r="K11" s="153">
        <f>IFERROR(VLOOKUP($A$3:$A$136,'JUNE-2026'!$A$4:$ADJ$113,MATCH('FY-(26-27)Q1'!$K$2:$L$2,'JUNE-2026'!$A$2:$DK$2,0),0),0)</f>
        <v>-787733</v>
      </c>
      <c r="L11" s="155">
        <f>IFERROR(VLOOKUP($A$3:$A$136,'JUNE-2026'!$A$4:$ADJ$113,MATCH('FY-(26-27)Q1'!$K$2:$L$2,'JUNE-2026'!$A$2:$DK$2,0),0),0)</f>
        <v>-0.52515533333333331</v>
      </c>
      <c r="M11" s="71">
        <f t="shared" si="2"/>
        <v>-1368199</v>
      </c>
      <c r="N11" s="166">
        <f t="shared" si="3"/>
        <v>-0.9121326666666667</v>
      </c>
      <c r="O11" s="215"/>
      <c r="P11" s="153">
        <f>IFERROR(VLOOKUP($A$3:$A$136,'FY-(26-27)Q2'!$A$4:$ABW$120,MATCH('FY-(26-27)Q1'!$P$2:$Q$2,'FY-(26-27)Q2'!$A$2:$BX$2,0),0),0)</f>
        <v>1521776</v>
      </c>
      <c r="Q11" s="155">
        <f>IFERROR(VLOOKUP($A$3:$A$136,'FY-(26-27)Q2'!$A$4:$ABW$120,MATCH('FY-(26-27)Q1'!$P$2:$Q$2,'FY-(26-27)Q2'!$A$2:$BX$2,0),0),0)</f>
        <v>1.0145173333333335</v>
      </c>
      <c r="R11" s="159"/>
      <c r="S11" s="88">
        <f>IFERROR(VLOOKUP($A$4:$A$71,#REF!,MATCH('FY-(26-27)Q1'!$S$2:$T$2,#REF!,0),0),0)</f>
        <v>0</v>
      </c>
      <c r="T11" s="124">
        <f>IFERROR(VLOOKUP($A$4:$A$71,#REF!,MATCH('FY-(26-27)Q1'!$S$2:$T$2,#REF!,0),0),0)</f>
        <v>0</v>
      </c>
      <c r="U11" s="159"/>
      <c r="V11" s="45"/>
      <c r="W11" s="72"/>
      <c r="X11"/>
      <c r="Y11" s="154">
        <f t="shared" si="0"/>
        <v>153577</v>
      </c>
      <c r="Z11" s="168">
        <f t="shared" si="1"/>
        <v>0.10238466666666679</v>
      </c>
    </row>
    <row r="12" spans="1:26" s="132" customFormat="1" ht="15" customHeight="1" x14ac:dyDescent="0.25">
      <c r="A12" s="143" t="s">
        <v>81</v>
      </c>
      <c r="B12" s="141" t="s">
        <v>55</v>
      </c>
      <c r="C12" s="141" t="s">
        <v>80</v>
      </c>
      <c r="D12" s="143" t="s">
        <v>107</v>
      </c>
      <c r="E12" s="143" t="s">
        <v>107</v>
      </c>
      <c r="F12" s="157">
        <v>2</v>
      </c>
      <c r="G12" s="153">
        <f>IFERROR(VLOOKUP($A$3:$A$136,'APR-2026'!$A$4:$ABX$112,MATCH('FY-(26-27)Q1'!$G$2:$H$2,'APR-2026'!$A$2:$BY$2,0),0),0)</f>
        <v>803317</v>
      </c>
      <c r="H12" s="155">
        <f>IFERROR(VLOOKUP($A$3:$A$136,'APR-2026'!$A$4:$ABX$112,MATCH('FY-(26-27)Q1'!$G$2:$H$2,'APR-2026'!$A$2:$BY$2,0),0),0)</f>
        <v>4.0165850000000001</v>
      </c>
      <c r="I12" s="153">
        <f>IFERROR(VLOOKUP($A$3:$A$136,'MAY-2026'!$A$4:$ACP$113,MATCH('FY-(26-27)Q1'!$I$2:$J$2,'MAY-2026'!$A$2:$CQ$2,0),0),0)</f>
        <v>0</v>
      </c>
      <c r="J12" s="155">
        <f>IFERROR(VLOOKUP($A$3:$A$136,'MAY-2026'!$A$4:$ACP$113,MATCH('FY-(26-27)Q1'!$I$2:$J$2,'MAY-2026'!$A$2:$CQ$2,0),0),0)</f>
        <v>0</v>
      </c>
      <c r="K12" s="153">
        <f>IFERROR(VLOOKUP($A$3:$A$136,'JUNE-2026'!$A$4:$ADJ$113,MATCH('FY-(26-27)Q1'!$K$2:$L$2,'JUNE-2026'!$A$2:$DK$2,0),0),0)</f>
        <v>0</v>
      </c>
      <c r="L12" s="155">
        <f>IFERROR(VLOOKUP($A$3:$A$136,'JUNE-2026'!$A$4:$ADJ$113,MATCH('FY-(26-27)Q1'!$K$2:$L$2,'JUNE-2026'!$A$2:$DK$2,0),0),0)</f>
        <v>0</v>
      </c>
      <c r="M12" s="71">
        <f t="shared" si="2"/>
        <v>803317</v>
      </c>
      <c r="N12" s="166">
        <f t="shared" si="3"/>
        <v>4.0165850000000001</v>
      </c>
      <c r="O12" s="215"/>
      <c r="P12" s="153">
        <f>IFERROR(VLOOKUP($A$3:$A$136,'FY-(26-27)Q2'!$A$4:$ABW$120,MATCH('FY-(26-27)Q1'!$P$2:$Q$2,'FY-(26-27)Q2'!$A$2:$BX$2,0),0),0)</f>
        <v>0</v>
      </c>
      <c r="Q12" s="155">
        <f>IFERROR(VLOOKUP($A$3:$A$136,'FY-(26-27)Q2'!$A$4:$ABW$120,MATCH('FY-(26-27)Q1'!$P$2:$Q$2,'FY-(26-27)Q2'!$A$2:$BX$2,0),0),0)</f>
        <v>0</v>
      </c>
      <c r="R12" s="159"/>
      <c r="S12" s="153">
        <f>IFERROR(VLOOKUP($A$4:$A$71,#REF!,MATCH('FY-(26-27)Q1'!$S$2:$T$2,#REF!,0),0),0)</f>
        <v>0</v>
      </c>
      <c r="T12" s="159">
        <f>IFERROR(VLOOKUP($A$4:$A$71,#REF!,MATCH('FY-(26-27)Q1'!$S$2:$T$2,#REF!,0),0),0)</f>
        <v>0</v>
      </c>
      <c r="U12" s="159"/>
      <c r="V12" s="144"/>
      <c r="W12" s="150"/>
      <c r="X12" s="1"/>
      <c r="Y12" s="154">
        <f t="shared" si="0"/>
        <v>803317</v>
      </c>
      <c r="Z12" s="168">
        <f t="shared" si="1"/>
        <v>4.0165850000000001</v>
      </c>
    </row>
    <row r="13" spans="1:26" s="1" customFormat="1" ht="15" customHeight="1" x14ac:dyDescent="0.25">
      <c r="A13" s="143" t="s">
        <v>190</v>
      </c>
      <c r="B13" s="141" t="s">
        <v>182</v>
      </c>
      <c r="C13" s="141" t="s">
        <v>181</v>
      </c>
      <c r="D13" s="143" t="s">
        <v>112</v>
      </c>
      <c r="E13" s="143" t="s">
        <v>256</v>
      </c>
      <c r="F13" s="157">
        <v>3</v>
      </c>
      <c r="G13" s="153">
        <f>IFERROR(VLOOKUP($A$3:$A$136,'APR-2026'!$A$4:$ABX$112,MATCH('FY-(26-27)Q1'!$G$2:$H$2,'APR-2026'!$A$2:$BY$2,0),0),0)</f>
        <v>88900</v>
      </c>
      <c r="H13" s="155">
        <f>IFERROR(VLOOKUP($A$3:$A$136,'APR-2026'!$A$4:$ABX$112,MATCH('FY-(26-27)Q1'!$G$2:$H$2,'APR-2026'!$A$2:$BY$2,0),0),0)</f>
        <v>0.29633333333333328</v>
      </c>
      <c r="I13" s="153">
        <f>IFERROR(VLOOKUP($A$3:$A$136,'MAY-2026'!$A$4:$ACP$113,MATCH('FY-(26-27)Q1'!$I$2:$J$2,'MAY-2026'!$A$2:$CQ$2,0),0),0)</f>
        <v>-191000</v>
      </c>
      <c r="J13" s="155">
        <f>IFERROR(VLOOKUP($A$3:$A$136,'MAY-2026'!$A$4:$ACP$113,MATCH('FY-(26-27)Q1'!$I$2:$J$2,'MAY-2026'!$A$2:$CQ$2,0),0),0)</f>
        <v>-0.6366666666666666</v>
      </c>
      <c r="K13" s="153">
        <f>IFERROR(VLOOKUP($A$3:$A$136,'JUNE-2026'!$A$4:$ADJ$113,MATCH('FY-(26-27)Q1'!$K$2:$L$2,'JUNE-2026'!$A$2:$DK$2,0),0),0)</f>
        <v>0</v>
      </c>
      <c r="L13" s="155">
        <f>IFERROR(VLOOKUP($A$3:$A$136,'JUNE-2026'!$A$4:$ADJ$113,MATCH('FY-(26-27)Q1'!$K$2:$L$2,'JUNE-2026'!$A$2:$DK$2,0),0),0)</f>
        <v>0</v>
      </c>
      <c r="M13" s="71">
        <f t="shared" ref="M13" si="8">G13+I13+K13</f>
        <v>-102100</v>
      </c>
      <c r="N13" s="166">
        <f t="shared" ref="N13" si="9">H13+J13+L13</f>
        <v>-0.34033333333333332</v>
      </c>
      <c r="O13" s="215"/>
      <c r="P13" s="153">
        <f>IFERROR(VLOOKUP($A$3:$A$136,'FY-(26-27)Q2'!$A$4:$ABW$120,MATCH('FY-(26-27)Q1'!$P$2:$Q$2,'FY-(26-27)Q2'!$A$2:$BX$2,0),0),0)</f>
        <v>0</v>
      </c>
      <c r="Q13" s="155">
        <f>IFERROR(VLOOKUP($A$3:$A$136,'FY-(26-27)Q2'!$A$4:$ABW$120,MATCH('FY-(26-27)Q1'!$P$2:$Q$2,'FY-(26-27)Q2'!$A$2:$BX$2,0),0),0)</f>
        <v>0</v>
      </c>
      <c r="R13" s="159"/>
      <c r="S13" s="153">
        <f>IFERROR(VLOOKUP($A$4:$A$71,#REF!,MATCH('FY-(26-27)Q1'!$S$2:$T$2,#REF!,0),0),0)</f>
        <v>0</v>
      </c>
      <c r="T13" s="159">
        <f>IFERROR(VLOOKUP($A$4:$A$71,#REF!,MATCH('FY-(26-27)Q1'!$S$2:$T$2,#REF!,0),0),0)</f>
        <v>0</v>
      </c>
      <c r="U13" s="159"/>
      <c r="V13" s="144"/>
      <c r="W13" s="150"/>
      <c r="X13" s="132"/>
      <c r="Y13" s="154">
        <f t="shared" si="0"/>
        <v>-102100</v>
      </c>
      <c r="Z13" s="168">
        <f t="shared" si="1"/>
        <v>-0.34033333333333332</v>
      </c>
    </row>
    <row r="14" spans="1:26" ht="15" customHeight="1" x14ac:dyDescent="0.25">
      <c r="A14" s="143" t="s">
        <v>189</v>
      </c>
      <c r="B14" s="141" t="s">
        <v>183</v>
      </c>
      <c r="C14" s="141" t="s">
        <v>179</v>
      </c>
      <c r="D14" s="143" t="s">
        <v>112</v>
      </c>
      <c r="E14" s="143" t="s">
        <v>256</v>
      </c>
      <c r="F14" s="157">
        <v>3</v>
      </c>
      <c r="G14" s="153">
        <f>IFERROR(VLOOKUP($A$3:$A$136,'APR-2026'!$A$4:$ABX$112,MATCH('FY-(26-27)Q1'!$G$2:$H$2,'APR-2026'!$A$2:$BY$2,0),0),0)</f>
        <v>63500</v>
      </c>
      <c r="H14" s="155">
        <f>IFERROR(VLOOKUP($A$3:$A$136,'APR-2026'!$A$4:$ABX$112,MATCH('FY-(26-27)Q1'!$G$2:$H$2,'APR-2026'!$A$2:$BY$2,0),0),0)</f>
        <v>0.2116666666666667</v>
      </c>
      <c r="I14" s="153">
        <f>IFERROR(VLOOKUP($A$3:$A$136,'MAY-2026'!$A$4:$ACP$113,MATCH('FY-(26-27)Q1'!$I$2:$J$2,'MAY-2026'!$A$2:$CQ$2,0),0),0)</f>
        <v>-244500</v>
      </c>
      <c r="J14" s="155">
        <f>IFERROR(VLOOKUP($A$3:$A$136,'MAY-2026'!$A$4:$ACP$113,MATCH('FY-(26-27)Q1'!$I$2:$J$2,'MAY-2026'!$A$2:$CQ$2,0),0),0)</f>
        <v>-0.81499999999999995</v>
      </c>
      <c r="K14" s="153">
        <f>IFERROR(VLOOKUP($A$3:$A$136,'JUNE-2026'!$A$4:$ADJ$113,MATCH('FY-(26-27)Q1'!$K$2:$L$2,'JUNE-2026'!$A$2:$DK$2,0),0),0)</f>
        <v>0</v>
      </c>
      <c r="L14" s="155">
        <f>IFERROR(VLOOKUP($A$3:$A$136,'JUNE-2026'!$A$4:$ADJ$113,MATCH('FY-(26-27)Q1'!$K$2:$L$2,'JUNE-2026'!$A$2:$DK$2,0),0),0)</f>
        <v>0</v>
      </c>
      <c r="M14" s="71">
        <f t="shared" si="2"/>
        <v>-181000</v>
      </c>
      <c r="N14" s="166">
        <f t="shared" si="3"/>
        <v>-0.60333333333333328</v>
      </c>
      <c r="O14" s="215"/>
      <c r="P14" s="153">
        <f>IFERROR(VLOOKUP($A$3:$A$136,'FY-(26-27)Q2'!$A$4:$ABW$120,MATCH('FY-(26-27)Q1'!$P$2:$Q$2,'FY-(26-27)Q2'!$A$2:$BX$2,0),0),0)</f>
        <v>0</v>
      </c>
      <c r="Q14" s="155">
        <f>IFERROR(VLOOKUP($A$3:$A$136,'FY-(26-27)Q2'!$A$4:$ABW$120,MATCH('FY-(26-27)Q1'!$P$2:$Q$2,'FY-(26-27)Q2'!$A$2:$BX$2,0),0),0)</f>
        <v>0</v>
      </c>
      <c r="R14" s="159"/>
      <c r="S14" s="153">
        <f>IFERROR(VLOOKUP($A$4:$A$71,#REF!,MATCH('FY-(26-27)Q1'!$S$2:$T$2,#REF!,0),0),0)</f>
        <v>0</v>
      </c>
      <c r="T14" s="159">
        <f>IFERROR(VLOOKUP($A$4:$A$71,#REF!,MATCH('FY-(26-27)Q1'!$S$2:$T$2,#REF!,0),0),0)</f>
        <v>0</v>
      </c>
      <c r="U14" s="159"/>
      <c r="V14" s="144"/>
      <c r="W14" s="150"/>
      <c r="X14" s="1"/>
      <c r="Y14" s="154">
        <f t="shared" si="0"/>
        <v>-181000</v>
      </c>
      <c r="Z14" s="168">
        <f t="shared" si="1"/>
        <v>-0.60333333333333328</v>
      </c>
    </row>
    <row r="15" spans="1:26" ht="15" customHeight="1" x14ac:dyDescent="0.25">
      <c r="A15" s="36" t="s">
        <v>123</v>
      </c>
      <c r="B15" s="34" t="s">
        <v>122</v>
      </c>
      <c r="C15" s="34" t="s">
        <v>239</v>
      </c>
      <c r="D15" s="39" t="s">
        <v>116</v>
      </c>
      <c r="E15" s="39" t="s">
        <v>256</v>
      </c>
      <c r="F15" s="117">
        <v>1</v>
      </c>
      <c r="G15" s="153">
        <f>IFERROR(VLOOKUP($A$3:$A$136,'APR-2026'!$A$4:$ABX$112,MATCH('FY-(26-27)Q1'!$G$2:$H$2,'APR-2026'!$A$2:$BY$2,0),0),0)</f>
        <v>460500</v>
      </c>
      <c r="H15" s="155">
        <f>IFERROR(VLOOKUP($A$3:$A$136,'APR-2026'!$A$4:$ABX$112,MATCH('FY-(26-27)Q1'!$G$2:$H$2,'APR-2026'!$A$2:$BY$2,0),0),0)</f>
        <v>1.5349999999999999</v>
      </c>
      <c r="I15" s="153">
        <f>IFERROR(VLOOKUP($A$3:$A$136,'MAY-2026'!$A$4:$ACP$113,MATCH('FY-(26-27)Q1'!$I$2:$J$2,'MAY-2026'!$A$2:$CQ$2,0),0),0)</f>
        <v>-255000</v>
      </c>
      <c r="J15" s="155">
        <f>IFERROR(VLOOKUP($A$3:$A$136,'MAY-2026'!$A$4:$ACP$113,MATCH('FY-(26-27)Q1'!$I$2:$J$2,'MAY-2026'!$A$2:$CQ$2,0),0),0)</f>
        <v>-0.63749999999999996</v>
      </c>
      <c r="K15" s="153">
        <f>IFERROR(VLOOKUP($A$3:$A$136,'JUNE-2026'!$A$4:$ADJ$113,MATCH('FY-(26-27)Q1'!$K$2:$L$2,'JUNE-2026'!$A$2:$DK$2,0),0),0)</f>
        <v>0</v>
      </c>
      <c r="L15" s="155">
        <f>IFERROR(VLOOKUP($A$3:$A$136,'JUNE-2026'!$A$4:$ADJ$113,MATCH('FY-(26-27)Q1'!$K$2:$L$2,'JUNE-2026'!$A$2:$DK$2,0),0),0)</f>
        <v>0</v>
      </c>
      <c r="M15" s="71">
        <f t="shared" si="2"/>
        <v>205500</v>
      </c>
      <c r="N15" s="166">
        <f t="shared" si="3"/>
        <v>0.89749999999999996</v>
      </c>
      <c r="O15" s="215"/>
      <c r="P15" s="153">
        <f>IFERROR(VLOOKUP($A$3:$A$136,'FY-(26-27)Q2'!$A$4:$ABW$120,MATCH('FY-(26-27)Q1'!$P$2:$Q$2,'FY-(26-27)Q2'!$A$2:$BX$2,0),0),0)</f>
        <v>0</v>
      </c>
      <c r="Q15" s="155">
        <f>IFERROR(VLOOKUP($A$3:$A$136,'FY-(26-27)Q2'!$A$4:$ABW$120,MATCH('FY-(26-27)Q1'!$P$2:$Q$2,'FY-(26-27)Q2'!$A$2:$BX$2,0),0),0)</f>
        <v>0</v>
      </c>
      <c r="R15" s="159"/>
      <c r="S15" s="88">
        <f>IFERROR(VLOOKUP($A$4:$A$71,#REF!,MATCH('FY-(26-27)Q1'!$S$2:$T$2,#REF!,0),0),0)</f>
        <v>0</v>
      </c>
      <c r="T15" s="124">
        <f>IFERROR(VLOOKUP($A$4:$A$71,#REF!,MATCH('FY-(26-27)Q1'!$S$2:$T$2,#REF!,0),0),0)</f>
        <v>0</v>
      </c>
      <c r="U15" s="159"/>
      <c r="V15" s="45"/>
      <c r="W15" s="72"/>
      <c r="Y15" s="154">
        <f t="shared" si="0"/>
        <v>205500</v>
      </c>
      <c r="Z15" s="168">
        <f t="shared" si="1"/>
        <v>0.89749999999999996</v>
      </c>
    </row>
    <row r="16" spans="1:26" ht="15" customHeight="1" x14ac:dyDescent="0.25">
      <c r="A16" s="36" t="s">
        <v>137</v>
      </c>
      <c r="B16" s="34" t="s">
        <v>122</v>
      </c>
      <c r="C16" s="34" t="s">
        <v>136</v>
      </c>
      <c r="D16" s="143" t="s">
        <v>259</v>
      </c>
      <c r="E16" s="39" t="s">
        <v>256</v>
      </c>
      <c r="F16" s="117">
        <v>6</v>
      </c>
      <c r="G16" s="153">
        <f>IFERROR(VLOOKUP($A$3:$A$136,'APR-2026'!$A$4:$ABX$112,MATCH('FY-(26-27)Q1'!$G$2:$H$2,'APR-2026'!$A$2:$BY$2,0),0),0)</f>
        <v>-168658</v>
      </c>
      <c r="H16" s="155">
        <f>IFERROR(VLOOKUP($A$3:$A$136,'APR-2026'!$A$4:$ABX$112,MATCH('FY-(26-27)Q1'!$G$2:$H$2,'APR-2026'!$A$2:$BY$2,0),0),0)</f>
        <v>-3.3731599999999999</v>
      </c>
      <c r="I16" s="153">
        <f>IFERROR(VLOOKUP($A$3:$A$136,'MAY-2026'!$A$4:$ACP$113,MATCH('FY-(26-27)Q1'!$I$2:$J$2,'MAY-2026'!$A$2:$CQ$2,0),0),0)</f>
        <v>-103041</v>
      </c>
      <c r="J16" s="155">
        <f>IFERROR(VLOOKUP($A$3:$A$136,'MAY-2026'!$A$4:$ACP$113,MATCH('FY-(26-27)Q1'!$I$2:$J$2,'MAY-2026'!$A$2:$CQ$2,0),0),0)</f>
        <v>-0.171735</v>
      </c>
      <c r="K16" s="153">
        <f>IFERROR(VLOOKUP($A$3:$A$136,'JUNE-2026'!$A$4:$ADJ$113,MATCH('FY-(26-27)Q1'!$K$2:$L$2,'JUNE-2026'!$A$2:$DK$2,0),0),0)</f>
        <v>76365</v>
      </c>
      <c r="L16" s="155">
        <f>IFERROR(VLOOKUP($A$3:$A$136,'JUNE-2026'!$A$4:$ADJ$113,MATCH('FY-(26-27)Q1'!$K$2:$L$2,'JUNE-2026'!$A$2:$DK$2,0),0),0)</f>
        <v>0.127275</v>
      </c>
      <c r="M16" s="71">
        <f t="shared" si="2"/>
        <v>-195334</v>
      </c>
      <c r="N16" s="166">
        <f t="shared" si="3"/>
        <v>-3.4176199999999999</v>
      </c>
      <c r="O16" s="215"/>
      <c r="P16" s="153">
        <f>IFERROR(VLOOKUP($A$3:$A$136,'FY-(26-27)Q2'!$A$4:$ABW$120,MATCH('FY-(26-27)Q1'!$P$2:$Q$2,'FY-(26-27)Q2'!$A$2:$BX$2,0),0),0)</f>
        <v>491857</v>
      </c>
      <c r="Q16" s="155">
        <f>IFERROR(VLOOKUP($A$3:$A$136,'FY-(26-27)Q2'!$A$4:$ABW$120,MATCH('FY-(26-27)Q1'!$P$2:$Q$2,'FY-(26-27)Q2'!$A$2:$BX$2,0),0),0)</f>
        <v>0.81976166666666672</v>
      </c>
      <c r="R16" s="159"/>
      <c r="S16" s="88">
        <f>IFERROR(VLOOKUP($A$4:$A$71,#REF!,MATCH('FY-(26-27)Q1'!$S$2:$T$2,#REF!,0),0),0)</f>
        <v>0</v>
      </c>
      <c r="T16" s="124">
        <f>IFERROR(VLOOKUP($A$4:$A$71,#REF!,MATCH('FY-(26-27)Q1'!$S$2:$T$2,#REF!,0),0),0)</f>
        <v>0</v>
      </c>
      <c r="U16" s="159"/>
      <c r="V16" s="45"/>
      <c r="W16" s="72"/>
      <c r="Y16" s="154">
        <f t="shared" si="0"/>
        <v>296523</v>
      </c>
      <c r="Z16" s="168">
        <f t="shared" si="1"/>
        <v>-2.5978583333333329</v>
      </c>
    </row>
    <row r="17" spans="1:34" s="132" customFormat="1" ht="15" customHeight="1" x14ac:dyDescent="0.25">
      <c r="A17" s="143" t="s">
        <v>42</v>
      </c>
      <c r="B17" s="141" t="s">
        <v>230</v>
      </c>
      <c r="C17" s="141" t="s">
        <v>85</v>
      </c>
      <c r="D17" s="143" t="s">
        <v>107</v>
      </c>
      <c r="E17" s="143" t="s">
        <v>107</v>
      </c>
      <c r="F17" s="157">
        <v>1</v>
      </c>
      <c r="G17" s="153">
        <f>IFERROR(VLOOKUP($A$3:$A$136,'APR-2026'!$A$4:$ABX$112,MATCH('FY-(26-27)Q1'!$G$2:$H$2,'APR-2026'!$A$2:$BY$2,0),0),0)</f>
        <v>4927</v>
      </c>
      <c r="H17" s="155">
        <f>IFERROR(VLOOKUP($A$3:$A$136,'APR-2026'!$A$4:$ABX$112,MATCH('FY-(26-27)Q1'!$G$2:$H$2,'APR-2026'!$A$2:$BY$2,0),0),0)</f>
        <v>4.9270000000000001E-2</v>
      </c>
      <c r="I17" s="153">
        <f>IFERROR(VLOOKUP($A$3:$A$136,'MAY-2026'!$A$4:$ACP$113,MATCH('FY-(26-27)Q1'!$I$2:$J$2,'MAY-2026'!$A$2:$CQ$2,0),0),0)</f>
        <v>1404</v>
      </c>
      <c r="J17" s="155">
        <f>IFERROR(VLOOKUP($A$3:$A$136,'MAY-2026'!$A$4:$ACP$113,MATCH('FY-(26-27)Q1'!$I$2:$J$2,'MAY-2026'!$A$2:$CQ$2,0),0),0)</f>
        <v>1.404E-2</v>
      </c>
      <c r="K17" s="153">
        <f>IFERROR(VLOOKUP($A$3:$A$136,'JUNE-2026'!$A$4:$ADJ$113,MATCH('FY-(26-27)Q1'!$K$2:$L$2,'JUNE-2026'!$A$2:$DK$2,0),0),0)</f>
        <v>-2652</v>
      </c>
      <c r="L17" s="155">
        <f>IFERROR(VLOOKUP($A$3:$A$136,'JUNE-2026'!$A$4:$ADJ$113,MATCH('FY-(26-27)Q1'!$K$2:$L$2,'JUNE-2026'!$A$2:$DK$2,0),0),0)</f>
        <v>-2.6519999999999998E-2</v>
      </c>
      <c r="M17" s="71">
        <f t="shared" ref="M17" si="10">G17+I17+K17</f>
        <v>3679</v>
      </c>
      <c r="N17" s="166">
        <f t="shared" ref="N17" si="11">H17+J17+L17</f>
        <v>3.6790000000000003E-2</v>
      </c>
      <c r="O17" s="215"/>
      <c r="P17" s="153">
        <f>IFERROR(VLOOKUP($A$3:$A$136,'FY-(26-27)Q2'!$A$4:$ABW$120,MATCH('FY-(26-27)Q1'!$P$2:$Q$2,'FY-(26-27)Q2'!$A$2:$BX$2,0),0),0)</f>
        <v>5756</v>
      </c>
      <c r="Q17" s="155">
        <f>IFERROR(VLOOKUP($A$3:$A$136,'FY-(26-27)Q2'!$A$4:$ABW$120,MATCH('FY-(26-27)Q1'!$P$2:$Q$2,'FY-(26-27)Q2'!$A$2:$BX$2,0),0),0)</f>
        <v>5.756E-2</v>
      </c>
      <c r="R17" s="159"/>
      <c r="S17" s="153">
        <f>IFERROR(VLOOKUP($A$4:$A$71,#REF!,MATCH('FY-(26-27)Q1'!$S$2:$T$2,#REF!,0),0),0)</f>
        <v>0</v>
      </c>
      <c r="T17" s="159">
        <f>IFERROR(VLOOKUP($A$4:$A$71,#REF!,MATCH('FY-(26-27)Q1'!$S$2:$T$2,#REF!,0),0),0)</f>
        <v>0</v>
      </c>
      <c r="U17" s="159"/>
      <c r="V17" s="144"/>
      <c r="W17" s="150"/>
      <c r="Y17" s="154">
        <f t="shared" si="0"/>
        <v>9435</v>
      </c>
      <c r="Z17" s="168">
        <f t="shared" si="1"/>
        <v>9.4350000000000003E-2</v>
      </c>
    </row>
    <row r="18" spans="1:34" ht="15" customHeight="1" x14ac:dyDescent="0.25">
      <c r="A18" s="35" t="s">
        <v>83</v>
      </c>
      <c r="B18" s="34" t="s">
        <v>230</v>
      </c>
      <c r="C18" s="34" t="s">
        <v>82</v>
      </c>
      <c r="D18" s="39" t="s">
        <v>107</v>
      </c>
      <c r="E18" s="39" t="s">
        <v>107</v>
      </c>
      <c r="F18" s="117">
        <v>1</v>
      </c>
      <c r="G18" s="153">
        <f>IFERROR(VLOOKUP($A$3:$A$136,'APR-2026'!$A$4:$ABX$112,MATCH('FY-(26-27)Q1'!$G$2:$H$2,'APR-2026'!$A$2:$BY$2,0),0),0)</f>
        <v>1240967</v>
      </c>
      <c r="H18" s="155">
        <f>IFERROR(VLOOKUP($A$3:$A$136,'APR-2026'!$A$4:$ABX$112,MATCH('FY-(26-27)Q1'!$G$2:$H$2,'APR-2026'!$A$2:$BY$2,0),0),0)</f>
        <v>12.40967</v>
      </c>
      <c r="I18" s="153">
        <f>IFERROR(VLOOKUP($A$3:$A$136,'MAY-2026'!$A$4:$ACP$113,MATCH('FY-(26-27)Q1'!$I$2:$J$2,'MAY-2026'!$A$2:$CQ$2,0),0),0)</f>
        <v>0</v>
      </c>
      <c r="J18" s="155">
        <f>IFERROR(VLOOKUP($A$3:$A$136,'MAY-2026'!$A$4:$ACP$113,MATCH('FY-(26-27)Q1'!$I$2:$J$2,'MAY-2026'!$A$2:$CQ$2,0),0),0)</f>
        <v>0</v>
      </c>
      <c r="K18" s="153">
        <f>IFERROR(VLOOKUP($A$3:$A$136,'JUNE-2026'!$A$4:$ADJ$113,MATCH('FY-(26-27)Q1'!$K$2:$L$2,'JUNE-2026'!$A$2:$DK$2,0),0),0)</f>
        <v>0</v>
      </c>
      <c r="L18" s="155">
        <f>IFERROR(VLOOKUP($A$3:$A$136,'JUNE-2026'!$A$4:$ADJ$113,MATCH('FY-(26-27)Q1'!$K$2:$L$2,'JUNE-2026'!$A$2:$DK$2,0),0),0)</f>
        <v>0</v>
      </c>
      <c r="M18" s="71">
        <f t="shared" si="2"/>
        <v>1240967</v>
      </c>
      <c r="N18" s="166">
        <f t="shared" si="3"/>
        <v>12.40967</v>
      </c>
      <c r="O18" s="215"/>
      <c r="P18" s="153">
        <f>IFERROR(VLOOKUP($A$3:$A$136,'FY-(26-27)Q2'!$A$4:$ABW$120,MATCH('FY-(26-27)Q1'!$P$2:$Q$2,'FY-(26-27)Q2'!$A$2:$BX$2,0),0),0)</f>
        <v>0</v>
      </c>
      <c r="Q18" s="155">
        <f>IFERROR(VLOOKUP($A$3:$A$136,'FY-(26-27)Q2'!$A$4:$ABW$120,MATCH('FY-(26-27)Q1'!$P$2:$Q$2,'FY-(26-27)Q2'!$A$2:$BX$2,0),0),0)</f>
        <v>0</v>
      </c>
      <c r="R18" s="159"/>
      <c r="S18" s="88">
        <f>IFERROR(VLOOKUP($A$4:$A$71,#REF!,MATCH('FY-(26-27)Q1'!$S$2:$T$2,#REF!,0),0),0)</f>
        <v>0</v>
      </c>
      <c r="T18" s="124">
        <f>IFERROR(VLOOKUP($A$4:$A$71,#REF!,MATCH('FY-(26-27)Q1'!$S$2:$T$2,#REF!,0),0),0)</f>
        <v>0</v>
      </c>
      <c r="U18" s="159"/>
      <c r="V18" s="45"/>
      <c r="W18" s="72"/>
      <c r="X18" s="132"/>
      <c r="Y18" s="154">
        <f t="shared" si="0"/>
        <v>1240967</v>
      </c>
      <c r="Z18" s="168">
        <f t="shared" si="1"/>
        <v>12.40967</v>
      </c>
      <c r="AA18" s="132"/>
      <c r="AB18" s="132"/>
      <c r="AC18" s="132"/>
      <c r="AD18" s="132"/>
      <c r="AE18" s="132"/>
      <c r="AF18" s="132"/>
      <c r="AG18" s="132"/>
      <c r="AH18" s="132"/>
    </row>
    <row r="19" spans="1:34" ht="15" customHeight="1" x14ac:dyDescent="0.25">
      <c r="A19" s="35" t="s">
        <v>212</v>
      </c>
      <c r="B19" s="34" t="s">
        <v>230</v>
      </c>
      <c r="C19" s="35" t="s">
        <v>12</v>
      </c>
      <c r="D19" s="37" t="s">
        <v>39</v>
      </c>
      <c r="E19" s="37" t="s">
        <v>256</v>
      </c>
      <c r="F19" s="116">
        <v>1</v>
      </c>
      <c r="G19" s="153">
        <f>IFERROR(VLOOKUP($A$3:$A$136,'APR-2026'!$A$4:$ABX$112,MATCH('FY-(26-27)Q1'!$G$2:$H$2,'APR-2026'!$A$2:$BY$2,0),0),0)</f>
        <v>0</v>
      </c>
      <c r="H19" s="155">
        <f>IFERROR(VLOOKUP($A$3:$A$136,'APR-2026'!$A$4:$ABX$112,MATCH('FY-(26-27)Q1'!$G$2:$H$2,'APR-2026'!$A$2:$BY$2,0),0),0)</f>
        <v>0</v>
      </c>
      <c r="I19" s="153">
        <f>IFERROR(VLOOKUP($A$3:$A$136,'MAY-2026'!$A$4:$ACP$113,MATCH('FY-(26-27)Q1'!$I$2:$J$2,'MAY-2026'!$A$2:$CQ$2,0),0),0)</f>
        <v>-35229</v>
      </c>
      <c r="J19" s="155">
        <f>IFERROR(VLOOKUP($A$3:$A$136,'MAY-2026'!$A$4:$ACP$113,MATCH('FY-(26-27)Q1'!$I$2:$J$2,'MAY-2026'!$A$2:$CQ$2,0),0),0)</f>
        <v>-0.35228999999999999</v>
      </c>
      <c r="K19" s="153">
        <f>IFERROR(VLOOKUP($A$3:$A$136,'JUNE-2026'!$A$4:$ADJ$113,MATCH('FY-(26-27)Q1'!$K$2:$L$2,'JUNE-2026'!$A$2:$DK$2,0),0),0)</f>
        <v>-232187</v>
      </c>
      <c r="L19" s="155">
        <f>IFERROR(VLOOKUP($A$3:$A$136,'JUNE-2026'!$A$4:$ADJ$113,MATCH('FY-(26-27)Q1'!$K$2:$L$2,'JUNE-2026'!$A$2:$DK$2,0),0),0)</f>
        <v>-2.3218700000000001</v>
      </c>
      <c r="M19" s="71">
        <f t="shared" si="2"/>
        <v>-267416</v>
      </c>
      <c r="N19" s="166">
        <f t="shared" si="3"/>
        <v>-2.6741600000000001</v>
      </c>
      <c r="O19" s="215"/>
      <c r="P19" s="153">
        <f>IFERROR(VLOOKUP($A$3:$A$136,'FY-(26-27)Q2'!$A$4:$ABW$120,MATCH('FY-(26-27)Q1'!$P$2:$Q$2,'FY-(26-27)Q2'!$A$2:$BX$2,0),0),0)</f>
        <v>123361</v>
      </c>
      <c r="Q19" s="155">
        <f>IFERROR(VLOOKUP($A$3:$A$136,'FY-(26-27)Q2'!$A$4:$ABW$120,MATCH('FY-(26-27)Q1'!$P$2:$Q$2,'FY-(26-27)Q2'!$A$2:$BX$2,0),0),0)</f>
        <v>0.49344399999999999</v>
      </c>
      <c r="R19" s="159"/>
      <c r="S19" s="88">
        <f>IFERROR(VLOOKUP($A$4:$A$71,#REF!,MATCH('FY-(26-27)Q1'!$S$2:$T$2,#REF!,0),0),0)</f>
        <v>0</v>
      </c>
      <c r="T19" s="124">
        <f>IFERROR(VLOOKUP($A$4:$A$71,#REF!,MATCH('FY-(26-27)Q1'!$S$2:$T$2,#REF!,0),0),0)</f>
        <v>0</v>
      </c>
      <c r="U19" s="159"/>
      <c r="V19" s="45"/>
      <c r="W19" s="72"/>
      <c r="Y19" s="154">
        <f t="shared" si="0"/>
        <v>-144055</v>
      </c>
      <c r="Z19" s="168">
        <f t="shared" si="1"/>
        <v>-2.1807160000000003</v>
      </c>
    </row>
    <row r="20" spans="1:34" ht="15" customHeight="1" x14ac:dyDescent="0.25">
      <c r="A20" s="35" t="s">
        <v>51</v>
      </c>
      <c r="B20" s="34" t="s">
        <v>230</v>
      </c>
      <c r="C20" s="34" t="s">
        <v>225</v>
      </c>
      <c r="D20" s="37" t="s">
        <v>39</v>
      </c>
      <c r="E20" s="37" t="s">
        <v>256</v>
      </c>
      <c r="F20" s="116">
        <v>1</v>
      </c>
      <c r="G20" s="153">
        <f>IFERROR(VLOOKUP($A$3:$A$136,'APR-2026'!$A$4:$ABX$112,MATCH('FY-(26-27)Q1'!$G$2:$H$2,'APR-2026'!$A$2:$BY$2,0),0),0)</f>
        <v>0</v>
      </c>
      <c r="H20" s="155">
        <f>IFERROR(VLOOKUP($A$3:$A$136,'APR-2026'!$A$4:$ABX$112,MATCH('FY-(26-27)Q1'!$G$2:$H$2,'APR-2026'!$A$2:$BY$2,0),0),0)</f>
        <v>0</v>
      </c>
      <c r="I20" s="153">
        <f>IFERROR(VLOOKUP($A$3:$A$136,'MAY-2026'!$A$4:$ACP$113,MATCH('FY-(26-27)Q1'!$I$2:$J$2,'MAY-2026'!$A$2:$CQ$2,0),0),0)</f>
        <v>-88900</v>
      </c>
      <c r="J20" s="155">
        <f>IFERROR(VLOOKUP($A$3:$A$136,'MAY-2026'!$A$4:$ACP$113,MATCH('FY-(26-27)Q1'!$I$2:$J$2,'MAY-2026'!$A$2:$CQ$2,0),0),0)</f>
        <v>-0.88900000000000001</v>
      </c>
      <c r="K20" s="153">
        <f>IFERROR(VLOOKUP($A$3:$A$136,'JUNE-2026'!$A$4:$ADJ$113,MATCH('FY-(26-27)Q1'!$K$2:$L$2,'JUNE-2026'!$A$2:$DK$2,0),0),0)</f>
        <v>0</v>
      </c>
      <c r="L20" s="155">
        <f>IFERROR(VLOOKUP($A$3:$A$136,'JUNE-2026'!$A$4:$ADJ$113,MATCH('FY-(26-27)Q1'!$K$2:$L$2,'JUNE-2026'!$A$2:$DK$2,0),0),0)</f>
        <v>0</v>
      </c>
      <c r="M20" s="71">
        <f t="shared" si="2"/>
        <v>-88900</v>
      </c>
      <c r="N20" s="166">
        <f t="shared" si="3"/>
        <v>-0.88900000000000001</v>
      </c>
      <c r="O20" s="215"/>
      <c r="P20" s="153">
        <f>IFERROR(VLOOKUP($A$3:$A$136,'FY-(26-27)Q2'!$A$4:$ABW$120,MATCH('FY-(26-27)Q1'!$P$2:$Q$2,'FY-(26-27)Q2'!$A$2:$BX$2,0),0),0)</f>
        <v>-49206</v>
      </c>
      <c r="Q20" s="155">
        <f>IFERROR(VLOOKUP($A$3:$A$136,'FY-(26-27)Q2'!$A$4:$ABW$120,MATCH('FY-(26-27)Q1'!$P$2:$Q$2,'FY-(26-27)Q2'!$A$2:$BX$2,0),0),0)</f>
        <v>-0.22366363636363637</v>
      </c>
      <c r="R20" s="159"/>
      <c r="S20" s="88">
        <f>IFERROR(VLOOKUP($A$4:$A$71,#REF!,MATCH('FY-(26-27)Q1'!$S$2:$T$2,#REF!,0),0),0)</f>
        <v>0</v>
      </c>
      <c r="T20" s="124">
        <f>IFERROR(VLOOKUP($A$4:$A$71,#REF!,MATCH('FY-(26-27)Q1'!$S$2:$T$2,#REF!,0),0),0)</f>
        <v>0</v>
      </c>
      <c r="U20" s="159"/>
      <c r="V20" s="45"/>
      <c r="W20" s="72"/>
      <c r="Y20" s="154">
        <f t="shared" si="0"/>
        <v>-138106</v>
      </c>
      <c r="Z20" s="168">
        <f t="shared" si="1"/>
        <v>-1.1126636363636364</v>
      </c>
    </row>
    <row r="21" spans="1:34" ht="15" customHeight="1" x14ac:dyDescent="0.25">
      <c r="A21" s="35" t="s">
        <v>62</v>
      </c>
      <c r="B21" s="34" t="s">
        <v>230</v>
      </c>
      <c r="C21" s="34" t="s">
        <v>224</v>
      </c>
      <c r="D21" s="37" t="s">
        <v>39</v>
      </c>
      <c r="E21" s="37" t="s">
        <v>253</v>
      </c>
      <c r="F21" s="116">
        <v>1</v>
      </c>
      <c r="G21" s="153">
        <f>IFERROR(VLOOKUP($A$3:$A$136,'APR-2026'!$A$4:$ABX$112,MATCH('FY-(26-27)Q1'!$G$2:$H$2,'APR-2026'!$A$2:$BY$2,0),0),0)</f>
        <v>141000</v>
      </c>
      <c r="H21" s="155">
        <f>IFERROR(VLOOKUP($A$3:$A$136,'APR-2026'!$A$4:$ABX$112,MATCH('FY-(26-27)Q1'!$G$2:$H$2,'APR-2026'!$A$2:$BY$2,0),0),0)</f>
        <v>1.41</v>
      </c>
      <c r="I21" s="153">
        <f>IFERROR(VLOOKUP($A$3:$A$136,'MAY-2026'!$A$4:$ACP$113,MATCH('FY-(26-27)Q1'!$I$2:$J$2,'MAY-2026'!$A$2:$CQ$2,0),0),0)</f>
        <v>-66086</v>
      </c>
      <c r="J21" s="155">
        <f>IFERROR(VLOOKUP($A$3:$A$136,'MAY-2026'!$A$4:$ACP$113,MATCH('FY-(26-27)Q1'!$I$2:$J$2,'MAY-2026'!$A$2:$CQ$2,0),0),0)</f>
        <v>-0.66086</v>
      </c>
      <c r="K21" s="153">
        <f>IFERROR(VLOOKUP($A$3:$A$136,'JUNE-2026'!$A$4:$ADJ$113,MATCH('FY-(26-27)Q1'!$K$2:$L$2,'JUNE-2026'!$A$2:$DK$2,0),0),0)</f>
        <v>-8863</v>
      </c>
      <c r="L21" s="155">
        <f>IFERROR(VLOOKUP($A$3:$A$136,'JUNE-2026'!$A$4:$ADJ$113,MATCH('FY-(26-27)Q1'!$K$2:$L$2,'JUNE-2026'!$A$2:$DK$2,0),0),0)</f>
        <v>-8.863E-2</v>
      </c>
      <c r="M21" s="71">
        <f t="shared" si="2"/>
        <v>66051</v>
      </c>
      <c r="N21" s="166">
        <f t="shared" si="3"/>
        <v>0.66050999999999993</v>
      </c>
      <c r="O21" s="215"/>
      <c r="P21" s="153">
        <f>IFERROR(VLOOKUP($A$3:$A$136,'FY-(26-27)Q2'!$A$4:$ABW$120,MATCH('FY-(26-27)Q1'!$P$2:$Q$2,'FY-(26-27)Q2'!$A$2:$BX$2,0),0),0)</f>
        <v>7426</v>
      </c>
      <c r="Q21" s="155">
        <f>IFERROR(VLOOKUP($A$3:$A$136,'FY-(26-27)Q2'!$A$4:$ABW$120,MATCH('FY-(26-27)Q1'!$P$2:$Q$2,'FY-(26-27)Q2'!$A$2:$BX$2,0),0),0)</f>
        <v>7.4260000000000007E-2</v>
      </c>
      <c r="R21" s="159"/>
      <c r="S21" s="88">
        <f>IFERROR(VLOOKUP($A$4:$A$71,#REF!,MATCH('FY-(26-27)Q1'!$S$2:$T$2,#REF!,0),0),0)</f>
        <v>0</v>
      </c>
      <c r="T21" s="124">
        <f>IFERROR(VLOOKUP($A$4:$A$71,#REF!,MATCH('FY-(26-27)Q1'!$S$2:$T$2,#REF!,0),0),0)</f>
        <v>0</v>
      </c>
      <c r="U21" s="159"/>
      <c r="V21" s="45"/>
      <c r="W21" s="72"/>
      <c r="Y21" s="154">
        <f t="shared" si="0"/>
        <v>73477</v>
      </c>
      <c r="Z21" s="168">
        <f t="shared" si="1"/>
        <v>0.73476999999999992</v>
      </c>
    </row>
    <row r="22" spans="1:34" ht="15" customHeight="1" x14ac:dyDescent="0.25">
      <c r="A22" s="35" t="s">
        <v>43</v>
      </c>
      <c r="B22" s="34" t="s">
        <v>84</v>
      </c>
      <c r="C22" s="34" t="s">
        <v>85</v>
      </c>
      <c r="D22" s="37" t="s">
        <v>107</v>
      </c>
      <c r="E22" s="37" t="s">
        <v>107</v>
      </c>
      <c r="F22" s="117">
        <v>1</v>
      </c>
      <c r="G22" s="153">
        <f>IFERROR(VLOOKUP($A$3:$A$136,'APR-2026'!$A$4:$ABX$112,MATCH('FY-(26-27)Q1'!$G$2:$H$2,'APR-2026'!$A$2:$BY$2,0),0),0)</f>
        <v>1642522</v>
      </c>
      <c r="H22" s="155">
        <f>IFERROR(VLOOKUP($A$3:$A$136,'APR-2026'!$A$4:$ABX$112,MATCH('FY-(26-27)Q1'!$G$2:$H$2,'APR-2026'!$A$2:$BY$2,0),0),0)</f>
        <v>16.425219999999999</v>
      </c>
      <c r="I22" s="153">
        <f>IFERROR(VLOOKUP($A$3:$A$136,'MAY-2026'!$A$4:$ACP$113,MATCH('FY-(26-27)Q1'!$I$2:$J$2,'MAY-2026'!$A$2:$CQ$2,0),0),0)</f>
        <v>42324</v>
      </c>
      <c r="J22" s="155">
        <f>IFERROR(VLOOKUP($A$3:$A$136,'MAY-2026'!$A$4:$ACP$113,MATCH('FY-(26-27)Q1'!$I$2:$J$2,'MAY-2026'!$A$2:$CQ$2,0),0),0)</f>
        <v>0.42324000000000001</v>
      </c>
      <c r="K22" s="153">
        <f>IFERROR(VLOOKUP($A$3:$A$136,'JUNE-2026'!$A$4:$ADJ$113,MATCH('FY-(26-27)Q1'!$K$2:$L$2,'JUNE-2026'!$A$2:$DK$2,0),0),0)</f>
        <v>30499</v>
      </c>
      <c r="L22" s="155">
        <f>IFERROR(VLOOKUP($A$3:$A$136,'JUNE-2026'!$A$4:$ADJ$113,MATCH('FY-(26-27)Q1'!$K$2:$L$2,'JUNE-2026'!$A$2:$DK$2,0),0),0)</f>
        <v>0.30498999999999998</v>
      </c>
      <c r="M22" s="71">
        <f t="shared" si="2"/>
        <v>1715345</v>
      </c>
      <c r="N22" s="166">
        <f t="shared" si="3"/>
        <v>17.153449999999999</v>
      </c>
      <c r="O22" s="215"/>
      <c r="P22" s="153">
        <f>IFERROR(VLOOKUP($A$3:$A$136,'FY-(26-27)Q2'!$A$4:$ABW$120,MATCH('FY-(26-27)Q1'!$P$2:$Q$2,'FY-(26-27)Q2'!$A$2:$BX$2,0),0),0)</f>
        <v>63311</v>
      </c>
      <c r="Q22" s="155">
        <f>IFERROR(VLOOKUP($A$3:$A$136,'FY-(26-27)Q2'!$A$4:$ABW$120,MATCH('FY-(26-27)Q1'!$P$2:$Q$2,'FY-(26-27)Q2'!$A$2:$BX$2,0),0),0)</f>
        <v>0.63310999999999995</v>
      </c>
      <c r="R22" s="159"/>
      <c r="S22" s="88">
        <f>IFERROR(VLOOKUP($A$4:$A$71,#REF!,MATCH('FY-(26-27)Q1'!$S$2:$T$2,#REF!,0),0),0)</f>
        <v>0</v>
      </c>
      <c r="T22" s="124">
        <f>IFERROR(VLOOKUP($A$4:$A$71,#REF!,MATCH('FY-(26-27)Q1'!$S$2:$T$2,#REF!,0),0),0)</f>
        <v>0</v>
      </c>
      <c r="U22" s="159"/>
      <c r="V22" s="45"/>
      <c r="W22" s="72"/>
      <c r="Y22" s="154">
        <f t="shared" si="0"/>
        <v>1778656</v>
      </c>
      <c r="Z22" s="168">
        <f t="shared" si="1"/>
        <v>17.786559999999998</v>
      </c>
    </row>
    <row r="23" spans="1:34" ht="15" customHeight="1" x14ac:dyDescent="0.25">
      <c r="A23" s="35" t="s">
        <v>44</v>
      </c>
      <c r="B23" s="34" t="s">
        <v>84</v>
      </c>
      <c r="C23" s="34" t="s">
        <v>172</v>
      </c>
      <c r="D23" s="37" t="s">
        <v>271</v>
      </c>
      <c r="E23" s="37" t="s">
        <v>256</v>
      </c>
      <c r="F23" s="117">
        <v>1</v>
      </c>
      <c r="G23" s="153">
        <f>IFERROR(VLOOKUP($A$3:$A$136,'APR-2026'!$A$4:$ABX$112,MATCH('FY-(26-27)Q1'!$G$2:$H$2,'APR-2026'!$A$2:$BY$2,0),0),0)</f>
        <v>10517</v>
      </c>
      <c r="H23" s="155">
        <f>IFERROR(VLOOKUP($A$3:$A$136,'APR-2026'!$A$4:$ABX$112,MATCH('FY-(26-27)Q1'!$G$2:$H$2,'APR-2026'!$A$2:$BY$2,0),0),0)</f>
        <v>0.10517</v>
      </c>
      <c r="I23" s="153">
        <f>IFERROR(VLOOKUP($A$3:$A$136,'MAY-2026'!$A$4:$ACP$113,MATCH('FY-(26-27)Q1'!$I$2:$J$2,'MAY-2026'!$A$2:$CQ$2,0),0),0)</f>
        <v>25727</v>
      </c>
      <c r="J23" s="155">
        <f>IFERROR(VLOOKUP($A$3:$A$136,'MAY-2026'!$A$4:$ACP$113,MATCH('FY-(26-27)Q1'!$I$2:$J$2,'MAY-2026'!$A$2:$CQ$2,0),0),0)</f>
        <v>0.25727</v>
      </c>
      <c r="K23" s="153">
        <f>IFERROR(VLOOKUP($A$3:$A$136,'JUNE-2026'!$A$4:$ADJ$113,MATCH('FY-(26-27)Q1'!$K$2:$L$2,'JUNE-2026'!$A$2:$DK$2,0),0),0)</f>
        <v>-71637</v>
      </c>
      <c r="L23" s="155">
        <f>IFERROR(VLOOKUP($A$3:$A$136,'JUNE-2026'!$A$4:$ADJ$113,MATCH('FY-(26-27)Q1'!$K$2:$L$2,'JUNE-2026'!$A$2:$DK$2,0),0),0)</f>
        <v>-0.71636999999999995</v>
      </c>
      <c r="M23" s="71">
        <f t="shared" si="2"/>
        <v>-35393</v>
      </c>
      <c r="N23" s="166">
        <f t="shared" si="3"/>
        <v>-0.35392999999999997</v>
      </c>
      <c r="O23" s="215"/>
      <c r="P23" s="153">
        <f>IFERROR(VLOOKUP($A$3:$A$136,'FY-(26-27)Q2'!$A$4:$ABW$120,MATCH('FY-(26-27)Q1'!$P$2:$Q$2,'FY-(26-27)Q2'!$A$2:$BX$2,0),0),0)</f>
        <v>0</v>
      </c>
      <c r="Q23" s="155">
        <f>IFERROR(VLOOKUP($A$3:$A$136,'FY-(26-27)Q2'!$A$4:$ABW$120,MATCH('FY-(26-27)Q1'!$P$2:$Q$2,'FY-(26-27)Q2'!$A$2:$BX$2,0),0),0)</f>
        <v>0</v>
      </c>
      <c r="R23" s="159"/>
      <c r="S23" s="88">
        <f>IFERROR(VLOOKUP($A$4:$A$71,#REF!,MATCH('FY-(26-27)Q1'!$S$2:$T$2,#REF!,0),0),0)</f>
        <v>0</v>
      </c>
      <c r="T23" s="124">
        <f>IFERROR(VLOOKUP($A$4:$A$71,#REF!,MATCH('FY-(26-27)Q1'!$S$2:$T$2,#REF!,0),0),0)</f>
        <v>0</v>
      </c>
      <c r="U23" s="159"/>
      <c r="V23" s="45"/>
      <c r="W23" s="72"/>
      <c r="Y23" s="154">
        <f t="shared" si="0"/>
        <v>-35393</v>
      </c>
      <c r="Z23" s="168">
        <f t="shared" si="1"/>
        <v>-0.35392999999999997</v>
      </c>
    </row>
    <row r="24" spans="1:34" ht="15" customHeight="1" x14ac:dyDescent="0.25">
      <c r="A24" s="35" t="s">
        <v>108</v>
      </c>
      <c r="B24" s="34" t="s">
        <v>84</v>
      </c>
      <c r="C24" s="34" t="s">
        <v>57</v>
      </c>
      <c r="D24" s="37"/>
      <c r="E24" s="37" t="s">
        <v>256</v>
      </c>
      <c r="F24" s="117">
        <v>1</v>
      </c>
      <c r="G24" s="153">
        <f>IFERROR(VLOOKUP($A$3:$A$136,'APR-2026'!$A$4:$ABX$112,MATCH('FY-(26-27)Q1'!$G$2:$H$2,'APR-2026'!$A$2:$BY$2,0),0),0)</f>
        <v>-45133</v>
      </c>
      <c r="H24" s="155">
        <f>IFERROR(VLOOKUP($A$3:$A$136,'APR-2026'!$A$4:$ABX$112,MATCH('FY-(26-27)Q1'!$G$2:$H$2,'APR-2026'!$A$2:$BY$2,0),0),0)</f>
        <v>-0.45133000000000001</v>
      </c>
      <c r="I24" s="153">
        <f>IFERROR(VLOOKUP($A$3:$A$136,'MAY-2026'!$A$4:$ACP$113,MATCH('FY-(26-27)Q1'!$I$2:$J$2,'MAY-2026'!$A$2:$CQ$2,0),0),0)</f>
        <v>-98600</v>
      </c>
      <c r="J24" s="155">
        <f>IFERROR(VLOOKUP($A$3:$A$136,'MAY-2026'!$A$4:$ACP$113,MATCH('FY-(26-27)Q1'!$I$2:$J$2,'MAY-2026'!$A$2:$CQ$2,0),0),0)</f>
        <v>-0.98599999999999999</v>
      </c>
      <c r="K24" s="153">
        <f>IFERROR(VLOOKUP($A$3:$A$136,'JUNE-2026'!$A$4:$ADJ$113,MATCH('FY-(26-27)Q1'!$K$2:$L$2,'JUNE-2026'!$A$2:$DK$2,0),0),0)</f>
        <v>-26270</v>
      </c>
      <c r="L24" s="155">
        <f>IFERROR(VLOOKUP($A$3:$A$136,'JUNE-2026'!$A$4:$ADJ$113,MATCH('FY-(26-27)Q1'!$K$2:$L$2,'JUNE-2026'!$A$2:$DK$2,0),0),0)</f>
        <v>-0.26269999999999999</v>
      </c>
      <c r="M24" s="71">
        <f t="shared" si="2"/>
        <v>-170003</v>
      </c>
      <c r="N24" s="166">
        <f t="shared" si="3"/>
        <v>-1.7000299999999999</v>
      </c>
      <c r="O24" s="215"/>
      <c r="P24" s="153">
        <f>IFERROR(VLOOKUP($A$3:$A$136,'FY-(26-27)Q2'!$A$4:$ABW$120,MATCH('FY-(26-27)Q1'!$P$2:$Q$2,'FY-(26-27)Q2'!$A$2:$BX$2,0),0),0)</f>
        <v>0</v>
      </c>
      <c r="Q24" s="155">
        <f>IFERROR(VLOOKUP($A$3:$A$136,'FY-(26-27)Q2'!$A$4:$ABW$120,MATCH('FY-(26-27)Q1'!$P$2:$Q$2,'FY-(26-27)Q2'!$A$2:$BX$2,0),0),0)</f>
        <v>0</v>
      </c>
      <c r="R24" s="159"/>
      <c r="S24" s="88">
        <f>IFERROR(VLOOKUP($A$4:$A$71,#REF!,MATCH('FY-(26-27)Q1'!$S$2:$T$2,#REF!,0),0),0)</f>
        <v>0</v>
      </c>
      <c r="T24" s="124">
        <f>IFERROR(VLOOKUP($A$4:$A$71,#REF!,MATCH('FY-(26-27)Q1'!$S$2:$T$2,#REF!,0),0),0)</f>
        <v>0</v>
      </c>
      <c r="U24" s="159"/>
      <c r="V24" s="45"/>
      <c r="W24" s="72"/>
      <c r="Y24" s="154">
        <f t="shared" si="0"/>
        <v>-170003</v>
      </c>
      <c r="Z24" s="168">
        <f t="shared" si="1"/>
        <v>-1.7000299999999999</v>
      </c>
    </row>
    <row r="25" spans="1:34" ht="15" customHeight="1" x14ac:dyDescent="0.25">
      <c r="A25" s="35" t="s">
        <v>94</v>
      </c>
      <c r="B25" s="34" t="s">
        <v>230</v>
      </c>
      <c r="C25" s="34" t="s">
        <v>8</v>
      </c>
      <c r="D25" s="37" t="s">
        <v>39</v>
      </c>
      <c r="E25" s="37" t="s">
        <v>256</v>
      </c>
      <c r="F25" s="117">
        <v>1</v>
      </c>
      <c r="G25" s="153">
        <f>IFERROR(VLOOKUP($A$3:$A$136,'APR-2026'!$A$4:$ABX$112,MATCH('FY-(26-27)Q1'!$G$2:$H$2,'APR-2026'!$A$2:$BY$2,0),0),0)</f>
        <v>100262</v>
      </c>
      <c r="H25" s="155">
        <f>IFERROR(VLOOKUP($A$3:$A$136,'APR-2026'!$A$4:$ABX$112,MATCH('FY-(26-27)Q1'!$G$2:$H$2,'APR-2026'!$A$2:$BY$2,0),0),0)</f>
        <v>1.0026200000000001</v>
      </c>
      <c r="I25" s="153">
        <f>IFERROR(VLOOKUP($A$3:$A$136,'MAY-2026'!$A$4:$ACP$113,MATCH('FY-(26-27)Q1'!$I$2:$J$2,'MAY-2026'!$A$2:$CQ$2,0),0),0)</f>
        <v>-159139</v>
      </c>
      <c r="J25" s="155">
        <f>IFERROR(VLOOKUP($A$3:$A$136,'MAY-2026'!$A$4:$ACP$113,MATCH('FY-(26-27)Q1'!$I$2:$J$2,'MAY-2026'!$A$2:$CQ$2,0),0),0)</f>
        <v>-1.5913900000000001</v>
      </c>
      <c r="K25" s="153">
        <f>IFERROR(VLOOKUP($A$3:$A$136,'JUNE-2026'!$A$4:$ADJ$113,MATCH('FY-(26-27)Q1'!$K$2:$L$2,'JUNE-2026'!$A$2:$DK$2,0),0),0)</f>
        <v>5762</v>
      </c>
      <c r="L25" s="155">
        <f>IFERROR(VLOOKUP($A$3:$A$136,'JUNE-2026'!$A$4:$ADJ$113,MATCH('FY-(26-27)Q1'!$K$2:$L$2,'JUNE-2026'!$A$2:$DK$2,0),0),0)</f>
        <v>5.7619999999999998E-2</v>
      </c>
      <c r="M25" s="71">
        <f t="shared" si="2"/>
        <v>-53115</v>
      </c>
      <c r="N25" s="166">
        <f t="shared" si="3"/>
        <v>-0.53115000000000001</v>
      </c>
      <c r="O25" s="215"/>
      <c r="P25" s="153">
        <f>IFERROR(VLOOKUP($A$3:$A$136,'FY-(26-27)Q2'!$A$4:$ABW$120,MATCH('FY-(26-27)Q1'!$P$2:$Q$2,'FY-(26-27)Q2'!$A$2:$BX$2,0),0),0)</f>
        <v>0</v>
      </c>
      <c r="Q25" s="155">
        <f>IFERROR(VLOOKUP($A$3:$A$136,'FY-(26-27)Q2'!$A$4:$ABW$120,MATCH('FY-(26-27)Q1'!$P$2:$Q$2,'FY-(26-27)Q2'!$A$2:$BX$2,0),0),0)</f>
        <v>0</v>
      </c>
      <c r="R25" s="159"/>
      <c r="S25" s="88">
        <f>IFERROR(VLOOKUP($A$4:$A$71,#REF!,MATCH('FY-(26-27)Q1'!$S$2:$T$2,#REF!,0),0),0)</f>
        <v>0</v>
      </c>
      <c r="T25" s="124">
        <f>IFERROR(VLOOKUP($A$4:$A$71,#REF!,MATCH('FY-(26-27)Q1'!$S$2:$T$2,#REF!,0),0),0)</f>
        <v>0</v>
      </c>
      <c r="U25" s="159"/>
      <c r="V25" s="45"/>
      <c r="W25" s="72"/>
      <c r="Y25" s="154">
        <f t="shared" si="0"/>
        <v>-53115</v>
      </c>
      <c r="Z25" s="168">
        <f t="shared" si="1"/>
        <v>-0.53115000000000001</v>
      </c>
    </row>
    <row r="26" spans="1:34" ht="15" customHeight="1" x14ac:dyDescent="0.25">
      <c r="A26" s="35" t="s">
        <v>24</v>
      </c>
      <c r="B26" s="34" t="s">
        <v>73</v>
      </c>
      <c r="C26" s="34" t="s">
        <v>58</v>
      </c>
      <c r="D26" s="37" t="s">
        <v>20</v>
      </c>
      <c r="E26" s="37" t="s">
        <v>256</v>
      </c>
      <c r="F26" s="116">
        <v>2.5</v>
      </c>
      <c r="G26" s="153">
        <f>IFERROR(VLOOKUP($A$3:$A$136,'APR-2026'!$A$4:$ABX$112,MATCH('FY-(26-27)Q1'!$G$2:$H$2,'APR-2026'!$A$2:$BY$2,0),0),0)</f>
        <v>308939</v>
      </c>
      <c r="H26" s="155">
        <f>IFERROR(VLOOKUP($A$3:$A$136,'APR-2026'!$A$4:$ABX$112,MATCH('FY-(26-27)Q1'!$G$2:$H$2,'APR-2026'!$A$2:$BY$2,0),0),0)</f>
        <v>1.2357560000000001</v>
      </c>
      <c r="I26" s="153">
        <f>IFERROR(VLOOKUP($A$3:$A$136,'MAY-2026'!$A$4:$ACP$113,MATCH('FY-(26-27)Q1'!$I$2:$J$2,'MAY-2026'!$A$2:$CQ$2,0),0),0)</f>
        <v>79409</v>
      </c>
      <c r="J26" s="155">
        <f>IFERROR(VLOOKUP($A$3:$A$136,'MAY-2026'!$A$4:$ACP$113,MATCH('FY-(26-27)Q1'!$I$2:$J$2,'MAY-2026'!$A$2:$CQ$2,0),0),0)</f>
        <v>0.31763599999999997</v>
      </c>
      <c r="K26" s="153">
        <f>IFERROR(VLOOKUP($A$3:$A$136,'JUNE-2026'!$A$4:$ADJ$113,MATCH('FY-(26-27)Q1'!$K$2:$L$2,'JUNE-2026'!$A$2:$DK$2,0),0),0)</f>
        <v>-30135</v>
      </c>
      <c r="L26" s="155">
        <f>IFERROR(VLOOKUP($A$3:$A$136,'JUNE-2026'!$A$4:$ADJ$113,MATCH('FY-(26-27)Q1'!$K$2:$L$2,'JUNE-2026'!$A$2:$DK$2,0),0),0)</f>
        <v>-0.12053999999999999</v>
      </c>
      <c r="M26" s="71">
        <f t="shared" si="2"/>
        <v>358213</v>
      </c>
      <c r="N26" s="166">
        <f t="shared" si="3"/>
        <v>1.432852</v>
      </c>
      <c r="O26" s="215"/>
      <c r="P26" s="153">
        <f>IFERROR(VLOOKUP($A$3:$A$136,'FY-(26-27)Q2'!$A$4:$ABW$120,MATCH('FY-(26-27)Q1'!$P$2:$Q$2,'FY-(26-27)Q2'!$A$2:$BX$2,0),0),0)</f>
        <v>-58699</v>
      </c>
      <c r="Q26" s="155">
        <f>IFERROR(VLOOKUP($A$3:$A$136,'FY-(26-27)Q2'!$A$4:$ABW$120,MATCH('FY-(26-27)Q1'!$P$2:$Q$2,'FY-(26-27)Q2'!$A$2:$BX$2,0),0),0)</f>
        <v>-0.234796</v>
      </c>
      <c r="R26" s="159"/>
      <c r="S26" s="88">
        <f>IFERROR(VLOOKUP($A$4:$A$71,#REF!,MATCH('FY-(26-27)Q1'!$S$2:$T$2,#REF!,0),0),0)</f>
        <v>0</v>
      </c>
      <c r="T26" s="124">
        <f>IFERROR(VLOOKUP($A$4:$A$71,#REF!,MATCH('FY-(26-27)Q1'!$S$2:$T$2,#REF!,0),0),0)</f>
        <v>0</v>
      </c>
      <c r="U26" s="159"/>
      <c r="V26" s="45"/>
      <c r="W26" s="72"/>
      <c r="Y26" s="154">
        <f t="shared" si="0"/>
        <v>299514</v>
      </c>
      <c r="Z26" s="168">
        <f t="shared" si="1"/>
        <v>1.198056</v>
      </c>
    </row>
    <row r="27" spans="1:34" ht="15" customHeight="1" x14ac:dyDescent="0.25">
      <c r="A27" s="35" t="s">
        <v>23</v>
      </c>
      <c r="B27" s="34" t="s">
        <v>74</v>
      </c>
      <c r="C27" s="34" t="s">
        <v>59</v>
      </c>
      <c r="D27" s="37" t="s">
        <v>3</v>
      </c>
      <c r="E27" s="37" t="s">
        <v>256</v>
      </c>
      <c r="F27" s="116">
        <v>4</v>
      </c>
      <c r="G27" s="153">
        <f>IFERROR(VLOOKUP($A$3:$A$136,'APR-2026'!$A$4:$ABX$112,MATCH('FY-(26-27)Q1'!$G$2:$H$2,'APR-2026'!$A$2:$BY$2,0),0),0)</f>
        <v>405124</v>
      </c>
      <c r="H27" s="155">
        <f>IFERROR(VLOOKUP($A$3:$A$136,'APR-2026'!$A$4:$ABX$112,MATCH('FY-(26-27)Q1'!$G$2:$H$2,'APR-2026'!$A$2:$BY$2,0),0),0)</f>
        <v>1.01281</v>
      </c>
      <c r="I27" s="153">
        <f>IFERROR(VLOOKUP($A$3:$A$136,'MAY-2026'!$A$4:$ACP$113,MATCH('FY-(26-27)Q1'!$I$2:$J$2,'MAY-2026'!$A$2:$CQ$2,0),0),0)</f>
        <v>-290952</v>
      </c>
      <c r="J27" s="155">
        <f>IFERROR(VLOOKUP($A$3:$A$136,'MAY-2026'!$A$4:$ACP$113,MATCH('FY-(26-27)Q1'!$I$2:$J$2,'MAY-2026'!$A$2:$CQ$2,0),0),0)</f>
        <v>-0.72738000000000003</v>
      </c>
      <c r="K27" s="153">
        <f>IFERROR(VLOOKUP($A$3:$A$136,'JUNE-2026'!$A$4:$ADJ$113,MATCH('FY-(26-27)Q1'!$K$2:$L$2,'JUNE-2026'!$A$2:$DK$2,0),0),0)</f>
        <v>556291</v>
      </c>
      <c r="L27" s="155">
        <f>IFERROR(VLOOKUP($A$3:$A$136,'JUNE-2026'!$A$4:$ADJ$113,MATCH('FY-(26-27)Q1'!$K$2:$L$2,'JUNE-2026'!$A$2:$DK$2,0),0),0)</f>
        <v>1.3907274999999999</v>
      </c>
      <c r="M27" s="71">
        <f t="shared" si="2"/>
        <v>670463</v>
      </c>
      <c r="N27" s="166">
        <f t="shared" si="3"/>
        <v>1.6761575</v>
      </c>
      <c r="O27" s="215"/>
      <c r="P27" s="153">
        <f>IFERROR(VLOOKUP($A$3:$A$136,'FY-(26-27)Q2'!$A$4:$ABW$120,MATCH('FY-(26-27)Q1'!$P$2:$Q$2,'FY-(26-27)Q2'!$A$2:$BX$2,0),0),0)</f>
        <v>357842</v>
      </c>
      <c r="Q27" s="155">
        <f>IFERROR(VLOOKUP($A$3:$A$136,'FY-(26-27)Q2'!$A$4:$ABW$120,MATCH('FY-(26-27)Q1'!$P$2:$Q$2,'FY-(26-27)Q2'!$A$2:$BX$2,0),0),0)</f>
        <v>0.89460499999999998</v>
      </c>
      <c r="R27" s="159"/>
      <c r="S27" s="88">
        <f>IFERROR(VLOOKUP($A$4:$A$71,#REF!,MATCH('FY-(26-27)Q1'!$S$2:$T$2,#REF!,0),0),0)</f>
        <v>0</v>
      </c>
      <c r="T27" s="124">
        <f>IFERROR(VLOOKUP($A$4:$A$71,#REF!,MATCH('FY-(26-27)Q1'!$S$2:$T$2,#REF!,0),0),0)</f>
        <v>0</v>
      </c>
      <c r="U27" s="159"/>
      <c r="V27" s="45"/>
      <c r="W27" s="72"/>
      <c r="X27" s="1"/>
      <c r="Y27" s="154">
        <f t="shared" si="0"/>
        <v>1028305</v>
      </c>
      <c r="Z27" s="168">
        <f t="shared" si="1"/>
        <v>2.5707624999999998</v>
      </c>
    </row>
    <row r="28" spans="1:34" ht="15" customHeight="1" x14ac:dyDescent="0.25">
      <c r="A28" s="35" t="s">
        <v>110</v>
      </c>
      <c r="B28" s="34" t="s">
        <v>111</v>
      </c>
      <c r="C28" s="34" t="s">
        <v>109</v>
      </c>
      <c r="D28" s="37" t="s">
        <v>87</v>
      </c>
      <c r="E28" s="37" t="s">
        <v>256</v>
      </c>
      <c r="F28" s="116">
        <v>0.25</v>
      </c>
      <c r="G28" s="153">
        <f>IFERROR(VLOOKUP($A$3:$A$136,'APR-2026'!$A$4:$ABX$112,MATCH('FY-(26-27)Q1'!$G$2:$H$2,'APR-2026'!$A$2:$BY$2,0),0),0)</f>
        <v>35922</v>
      </c>
      <c r="H28" s="155">
        <f>IFERROR(VLOOKUP($A$3:$A$136,'APR-2026'!$A$4:$ABX$112,MATCH('FY-(26-27)Q1'!$G$2:$H$2,'APR-2026'!$A$2:$BY$2,0),0),0)</f>
        <v>0.32656363636363633</v>
      </c>
      <c r="I28" s="153">
        <f>IFERROR(VLOOKUP($A$3:$A$136,'MAY-2026'!$A$4:$ACP$113,MATCH('FY-(26-27)Q1'!$I$2:$J$2,'MAY-2026'!$A$2:$CQ$2,0),0),0)</f>
        <v>-178282</v>
      </c>
      <c r="J28" s="155">
        <f>IFERROR(VLOOKUP($A$3:$A$136,'MAY-2026'!$A$4:$ACP$113,MATCH('FY-(26-27)Q1'!$I$2:$J$2,'MAY-2026'!$A$2:$CQ$2,0),0),0)</f>
        <v>-1.6207454545454545</v>
      </c>
      <c r="K28" s="153">
        <f>IFERROR(VLOOKUP($A$3:$A$136,'JUNE-2026'!$A$4:$ADJ$113,MATCH('FY-(26-27)Q1'!$K$2:$L$2,'JUNE-2026'!$A$2:$DK$2,0),0),0)</f>
        <v>142078</v>
      </c>
      <c r="L28" s="155">
        <f>IFERROR(VLOOKUP($A$3:$A$136,'JUNE-2026'!$A$4:$ADJ$113,MATCH('FY-(26-27)Q1'!$K$2:$L$2,'JUNE-2026'!$A$2:$DK$2,0),0),0)</f>
        <v>1.2916181818181818</v>
      </c>
      <c r="M28" s="71">
        <f t="shared" si="2"/>
        <v>-282</v>
      </c>
      <c r="N28" s="166">
        <f t="shared" si="3"/>
        <v>-2.5636363636363235E-3</v>
      </c>
      <c r="O28" s="215"/>
      <c r="P28" s="153">
        <f>IFERROR(VLOOKUP($A$3:$A$136,'FY-(26-27)Q2'!$A$4:$ABW$120,MATCH('FY-(26-27)Q1'!$P$2:$Q$2,'FY-(26-27)Q2'!$A$2:$BX$2,0),0),0)</f>
        <v>2450</v>
      </c>
      <c r="Q28" s="155">
        <f>IFERROR(VLOOKUP($A$3:$A$136,'FY-(26-27)Q2'!$A$4:$ABW$120,MATCH('FY-(26-27)Q1'!$P$2:$Q$2,'FY-(26-27)Q2'!$A$2:$BX$2,0),0),0)</f>
        <v>2.2272727272727222E-2</v>
      </c>
      <c r="R28" s="159"/>
      <c r="S28" s="88">
        <f>IFERROR(VLOOKUP($A$4:$A$71,#REF!,MATCH('FY-(26-27)Q1'!$S$2:$T$2,#REF!,0),0),0)</f>
        <v>0</v>
      </c>
      <c r="T28" s="124">
        <f>IFERROR(VLOOKUP($A$4:$A$71,#REF!,MATCH('FY-(26-27)Q1'!$S$2:$T$2,#REF!,0),0),0)</f>
        <v>0</v>
      </c>
      <c r="U28" s="159"/>
      <c r="V28" s="45"/>
      <c r="W28" s="72"/>
      <c r="X28" s="1"/>
      <c r="Y28" s="154">
        <f t="shared" si="0"/>
        <v>2168</v>
      </c>
      <c r="Z28" s="168">
        <f t="shared" si="1"/>
        <v>1.9709090909090898E-2</v>
      </c>
    </row>
    <row r="29" spans="1:34" s="1" customFormat="1" ht="15" customHeight="1" x14ac:dyDescent="0.25">
      <c r="A29" s="35" t="s">
        <v>148</v>
      </c>
      <c r="B29" s="34" t="s">
        <v>111</v>
      </c>
      <c r="C29" s="34" t="s">
        <v>128</v>
      </c>
      <c r="D29" s="37" t="s">
        <v>87</v>
      </c>
      <c r="E29" s="37" t="s">
        <v>256</v>
      </c>
      <c r="F29" s="116">
        <v>0.25</v>
      </c>
      <c r="G29" s="153">
        <f>IFERROR(VLOOKUP($A$3:$A$136,'APR-2026'!$A$4:$ABX$112,MATCH('FY-(26-27)Q1'!$G$2:$H$2,'APR-2026'!$A$2:$BY$2,0),0),0)</f>
        <v>10003</v>
      </c>
      <c r="H29" s="155">
        <f>IFERROR(VLOOKUP($A$3:$A$136,'APR-2026'!$A$4:$ABX$112,MATCH('FY-(26-27)Q1'!$G$2:$H$2,'APR-2026'!$A$2:$BY$2,0),0),0)</f>
        <v>0.40011999999999998</v>
      </c>
      <c r="I29" s="153">
        <f>IFERROR(VLOOKUP($A$3:$A$136,'MAY-2026'!$A$4:$ACP$113,MATCH('FY-(26-27)Q1'!$I$2:$J$2,'MAY-2026'!$A$2:$CQ$2,0),0),0)</f>
        <v>-76253</v>
      </c>
      <c r="J29" s="155">
        <f>IFERROR(VLOOKUP($A$3:$A$136,'MAY-2026'!$A$4:$ACP$113,MATCH('FY-(26-27)Q1'!$I$2:$J$2,'MAY-2026'!$A$2:$CQ$2,0),0),0)</f>
        <v>-3.0501200000000002</v>
      </c>
      <c r="K29" s="153">
        <f>IFERROR(VLOOKUP($A$3:$A$136,'JUNE-2026'!$A$4:$ADJ$113,MATCH('FY-(26-27)Q1'!$K$2:$L$2,'JUNE-2026'!$A$2:$DK$2,0),0),0)</f>
        <v>0</v>
      </c>
      <c r="L29" s="155">
        <f>IFERROR(VLOOKUP($A$3:$A$136,'JUNE-2026'!$A$4:$ADJ$113,MATCH('FY-(26-27)Q1'!$K$2:$L$2,'JUNE-2026'!$A$2:$DK$2,0),0),0)</f>
        <v>0</v>
      </c>
      <c r="M29" s="71">
        <f t="shared" si="2"/>
        <v>-66250</v>
      </c>
      <c r="N29" s="166">
        <f t="shared" si="3"/>
        <v>-2.6500000000000004</v>
      </c>
      <c r="O29" s="215"/>
      <c r="P29" s="153">
        <f>IFERROR(VLOOKUP($A$3:$A$136,'FY-(26-27)Q2'!$A$4:$ABW$120,MATCH('FY-(26-27)Q1'!$P$2:$Q$2,'FY-(26-27)Q2'!$A$2:$BX$2,0),0),0)</f>
        <v>0</v>
      </c>
      <c r="Q29" s="155">
        <f>IFERROR(VLOOKUP($A$3:$A$136,'FY-(26-27)Q2'!$A$4:$ABW$120,MATCH('FY-(26-27)Q1'!$P$2:$Q$2,'FY-(26-27)Q2'!$A$2:$BX$2,0),0),0)</f>
        <v>0</v>
      </c>
      <c r="R29" s="159"/>
      <c r="S29" s="88">
        <f>IFERROR(VLOOKUP($A$4:$A$71,#REF!,MATCH('FY-(26-27)Q1'!$S$2:$T$2,#REF!,0),0),0)</f>
        <v>0</v>
      </c>
      <c r="T29" s="124">
        <f>IFERROR(VLOOKUP($A$4:$A$71,#REF!,MATCH('FY-(26-27)Q1'!$S$2:$T$2,#REF!,0),0),0)</f>
        <v>0</v>
      </c>
      <c r="U29" s="159"/>
      <c r="V29" s="45"/>
      <c r="W29" s="72"/>
      <c r="X29"/>
      <c r="Y29" s="154">
        <f t="shared" si="0"/>
        <v>-66250</v>
      </c>
      <c r="Z29" s="168">
        <f t="shared" si="1"/>
        <v>-2.6500000000000004</v>
      </c>
      <c r="AB29"/>
      <c r="AC29"/>
      <c r="AD29"/>
      <c r="AE29"/>
      <c r="AF29"/>
      <c r="AG29"/>
      <c r="AH29"/>
    </row>
    <row r="30" spans="1:34" s="132" customFormat="1" ht="15" customHeight="1" x14ac:dyDescent="0.25">
      <c r="A30" s="142"/>
      <c r="B30" s="141"/>
      <c r="C30" s="141"/>
      <c r="D30" s="37"/>
      <c r="E30" s="37"/>
      <c r="F30" s="156"/>
      <c r="G30" s="153"/>
      <c r="H30" s="155"/>
      <c r="I30" s="153"/>
      <c r="J30" s="155"/>
      <c r="K30" s="153"/>
      <c r="L30" s="155"/>
      <c r="M30" s="71"/>
      <c r="N30" s="166"/>
      <c r="O30" s="215"/>
      <c r="P30" s="153"/>
      <c r="Q30" s="155"/>
      <c r="R30" s="159"/>
      <c r="S30" s="153"/>
      <c r="T30" s="159"/>
      <c r="U30" s="159"/>
      <c r="V30" s="144"/>
      <c r="W30" s="150"/>
      <c r="Y30" s="154"/>
      <c r="Z30" s="168"/>
    </row>
    <row r="31" spans="1:34" s="1" customFormat="1" ht="15" customHeight="1" x14ac:dyDescent="0.25">
      <c r="A31" s="35" t="s">
        <v>165</v>
      </c>
      <c r="B31" s="34" t="s">
        <v>167</v>
      </c>
      <c r="C31" s="34" t="s">
        <v>223</v>
      </c>
      <c r="D31" s="142" t="s">
        <v>261</v>
      </c>
      <c r="E31" s="37" t="s">
        <v>256</v>
      </c>
      <c r="F31" s="116">
        <v>0.5</v>
      </c>
      <c r="G31" s="153">
        <f>IFERROR(VLOOKUP($A$3:$A$136,'APR-2026'!$A$4:$ABX$112,MATCH('FY-(26-27)Q1'!$G$2:$H$2,'APR-2026'!$A$2:$BY$2,0),0),0)</f>
        <v>202276</v>
      </c>
      <c r="H31" s="155">
        <f>IFERROR(VLOOKUP($A$3:$A$136,'APR-2026'!$A$4:$ABX$112,MATCH('FY-(26-27)Q1'!$G$2:$H$2,'APR-2026'!$A$2:$BY$2,0),0),0)</f>
        <v>1.3485066666666665</v>
      </c>
      <c r="I31" s="153">
        <f>IFERROR(VLOOKUP($A$3:$A$136,'MAY-2026'!$A$4:$ACP$113,MATCH('FY-(26-27)Q1'!$I$2:$J$2,'MAY-2026'!$A$2:$CQ$2,0),0),0)</f>
        <v>-2293</v>
      </c>
      <c r="J31" s="155">
        <f>IFERROR(VLOOKUP($A$3:$A$136,'MAY-2026'!$A$4:$ACP$113,MATCH('FY-(26-27)Q1'!$I$2:$J$2,'MAY-2026'!$A$2:$CQ$2,0),0),0)</f>
        <v>-1.5286666666666669E-2</v>
      </c>
      <c r="K31" s="153">
        <f>IFERROR(VLOOKUP($A$3:$A$136,'JUNE-2026'!$A$4:$ADJ$113,MATCH('FY-(26-27)Q1'!$K$2:$L$2,'JUNE-2026'!$A$2:$DK$2,0),0),0)</f>
        <v>-705052</v>
      </c>
      <c r="L31" s="155">
        <f>IFERROR(VLOOKUP($A$3:$A$136,'JUNE-2026'!$A$4:$ADJ$113,MATCH('FY-(26-27)Q1'!$K$2:$L$2,'JUNE-2026'!$A$2:$DK$2,0),0),0)</f>
        <v>-4.7003466666666673</v>
      </c>
      <c r="M31" s="71">
        <f t="shared" si="2"/>
        <v>-505069</v>
      </c>
      <c r="N31" s="166">
        <f t="shared" si="3"/>
        <v>-3.3671266666666675</v>
      </c>
      <c r="O31" s="215"/>
      <c r="P31" s="153">
        <f>IFERROR(VLOOKUP($A$3:$A$136,'FY-(26-27)Q2'!$A$4:$ABW$120,MATCH('FY-(26-27)Q1'!$P$2:$Q$2,'FY-(26-27)Q2'!$A$2:$BX$2,0),0),0)</f>
        <v>22829</v>
      </c>
      <c r="Q31" s="155">
        <f>IFERROR(VLOOKUP($A$3:$A$136,'FY-(26-27)Q2'!$A$4:$ABW$120,MATCH('FY-(26-27)Q1'!$P$2:$Q$2,'FY-(26-27)Q2'!$A$2:$BX$2,0),0),0)</f>
        <v>0.15219333333333329</v>
      </c>
      <c r="R31" s="159"/>
      <c r="S31" s="88">
        <f>IFERROR(VLOOKUP($A$4:$A$71,#REF!,MATCH('FY-(26-27)Q1'!$S$2:$T$2,#REF!,0),0),0)</f>
        <v>0</v>
      </c>
      <c r="T31" s="124">
        <f>IFERROR(VLOOKUP($A$4:$A$71,#REF!,MATCH('FY-(26-27)Q1'!$S$2:$T$2,#REF!,0),0),0)</f>
        <v>0</v>
      </c>
      <c r="U31" s="159"/>
      <c r="V31" s="45"/>
      <c r="W31" s="72"/>
      <c r="X31"/>
      <c r="Y31" s="154">
        <f t="shared" si="0"/>
        <v>-482240</v>
      </c>
      <c r="Z31" s="168">
        <f t="shared" si="1"/>
        <v>-3.2149333333333341</v>
      </c>
    </row>
    <row r="32" spans="1:34" s="132" customFormat="1" ht="15" customHeight="1" x14ac:dyDescent="0.25">
      <c r="A32" s="142" t="s">
        <v>275</v>
      </c>
      <c r="B32" s="141" t="s">
        <v>164</v>
      </c>
      <c r="C32" s="141" t="s">
        <v>274</v>
      </c>
      <c r="D32" s="142" t="s">
        <v>152</v>
      </c>
      <c r="E32" s="142" t="s">
        <v>256</v>
      </c>
      <c r="F32" s="156">
        <v>0.1</v>
      </c>
      <c r="G32" s="153">
        <f>IFERROR(VLOOKUP($A$3:$A$136,'APR-2026'!$A$4:$ABX$112,MATCH('FY-(26-27)Q1'!$G$2:$H$2,'APR-2026'!$A$2:$BY$2,0),0),0)</f>
        <v>0</v>
      </c>
      <c r="H32" s="155">
        <f>IFERROR(VLOOKUP($A$3:$A$136,'APR-2026'!$A$4:$ABX$112,MATCH('FY-(26-27)Q1'!$G$2:$H$2,'APR-2026'!$A$2:$BY$2,0),0),0)</f>
        <v>0</v>
      </c>
      <c r="I32" s="153">
        <f>IFERROR(VLOOKUP($A$3:$A$136,'MAY-2026'!$A$4:$ACP$113,MATCH('FY-(26-27)Q1'!$I$2:$J$2,'MAY-2026'!$A$2:$CQ$2,0),0),0)</f>
        <v>0</v>
      </c>
      <c r="J32" s="155">
        <f>IFERROR(VLOOKUP($A$3:$A$136,'MAY-2026'!$A$4:$ACP$113,MATCH('FY-(26-27)Q1'!$I$2:$J$2,'MAY-2026'!$A$2:$CQ$2,0),0),0)</f>
        <v>0</v>
      </c>
      <c r="K32" s="153">
        <f>IFERROR(VLOOKUP($A$3:$A$136,'JUNE-2026'!$A$4:$ADJ$113,MATCH('FY-(26-27)Q1'!$K$2:$L$2,'JUNE-2026'!$A$2:$DK$2,0),0),0)</f>
        <v>-33738</v>
      </c>
      <c r="L32" s="155">
        <f>IFERROR(VLOOKUP($A$3:$A$136,'JUNE-2026'!$A$4:$ADJ$113,MATCH('FY-(26-27)Q1'!$K$2:$L$2,'JUNE-2026'!$A$2:$DK$2,0),0),0)</f>
        <v>-0.67476000000000003</v>
      </c>
      <c r="M32" s="71">
        <f t="shared" ref="M32" si="12">G32+I32+K32</f>
        <v>-33738</v>
      </c>
      <c r="N32" s="166">
        <f t="shared" ref="N32" si="13">H32+J32+L32</f>
        <v>-0.67476000000000003</v>
      </c>
      <c r="O32" s="215"/>
      <c r="P32" s="153">
        <f>IFERROR(VLOOKUP($A$3:$A$136,'FY-(26-27)Q2'!$A$4:$ABW$120,MATCH('FY-(26-27)Q1'!$P$2:$Q$2,'FY-(26-27)Q2'!$A$2:$BX$2,0),0),0)</f>
        <v>-18550</v>
      </c>
      <c r="Q32" s="155">
        <f>IFERROR(VLOOKUP($A$3:$A$136,'FY-(26-27)Q2'!$A$4:$ABW$120,MATCH('FY-(26-27)Q1'!$P$2:$Q$2,'FY-(26-27)Q2'!$A$2:$BX$2,0),0),0)</f>
        <v>-0.1855</v>
      </c>
      <c r="R32" s="159"/>
      <c r="S32" s="153">
        <f>IFERROR(VLOOKUP($A$4:$A$71,#REF!,MATCH('FY-(26-27)Q1'!$S$2:$T$2,#REF!,0),0),0)</f>
        <v>0</v>
      </c>
      <c r="T32" s="159">
        <f>IFERROR(VLOOKUP($A$4:$A$71,#REF!,MATCH('FY-(26-27)Q1'!$S$2:$T$2,#REF!,0),0),0)</f>
        <v>0</v>
      </c>
      <c r="U32" s="159"/>
      <c r="V32" s="144"/>
      <c r="W32" s="150"/>
      <c r="Y32" s="154">
        <f t="shared" si="0"/>
        <v>-52288</v>
      </c>
      <c r="Z32" s="168">
        <f t="shared" si="1"/>
        <v>-0.86026000000000002</v>
      </c>
    </row>
    <row r="33" spans="1:34" ht="15" customHeight="1" x14ac:dyDescent="0.25">
      <c r="A33" s="35" t="s">
        <v>32</v>
      </c>
      <c r="B33" s="34" t="s">
        <v>63</v>
      </c>
      <c r="C33" s="35" t="s">
        <v>21</v>
      </c>
      <c r="D33" s="37" t="s">
        <v>40</v>
      </c>
      <c r="E33" s="37" t="s">
        <v>256</v>
      </c>
      <c r="F33" s="116">
        <v>1.1000000000000001</v>
      </c>
      <c r="G33" s="153">
        <f>IFERROR(VLOOKUP($A$3:$A$136,'APR-2026'!$A$4:$ABX$112,MATCH('FY-(26-27)Q1'!$G$2:$H$2,'APR-2026'!$A$2:$BY$2,0),0),0)</f>
        <v>16344</v>
      </c>
      <c r="H33" s="155">
        <f>IFERROR(VLOOKUP($A$3:$A$136,'APR-2026'!$A$4:$ABX$112,MATCH('FY-(26-27)Q1'!$G$2:$H$2,'APR-2026'!$A$2:$BY$2,0),0),0)</f>
        <v>0.14858181818181818</v>
      </c>
      <c r="I33" s="153">
        <f>IFERROR(VLOOKUP($A$3:$A$136,'MAY-2026'!$A$4:$ACP$113,MATCH('FY-(26-27)Q1'!$I$2:$J$2,'MAY-2026'!$A$2:$CQ$2,0),0),0)</f>
        <v>-99601</v>
      </c>
      <c r="J33" s="155">
        <f>IFERROR(VLOOKUP($A$3:$A$136,'MAY-2026'!$A$4:$ACP$113,MATCH('FY-(26-27)Q1'!$I$2:$J$2,'MAY-2026'!$A$2:$CQ$2,0),0),0)</f>
        <v>-0.90546363636363636</v>
      </c>
      <c r="K33" s="153">
        <f>IFERROR(VLOOKUP($A$3:$A$136,'JUNE-2026'!$A$4:$ADJ$113,MATCH('FY-(26-27)Q1'!$K$2:$L$2,'JUNE-2026'!$A$2:$DK$2,0),0),0)</f>
        <v>-235683</v>
      </c>
      <c r="L33" s="155">
        <f>IFERROR(VLOOKUP($A$3:$A$136,'JUNE-2026'!$A$4:$ADJ$113,MATCH('FY-(26-27)Q1'!$K$2:$L$2,'JUNE-2026'!$A$2:$DK$2,0),0),0)</f>
        <v>-2.1425727272727269</v>
      </c>
      <c r="M33" s="71">
        <f t="shared" si="2"/>
        <v>-318940</v>
      </c>
      <c r="N33" s="166">
        <f t="shared" si="3"/>
        <v>-2.8994545454545451</v>
      </c>
      <c r="O33" s="215"/>
      <c r="P33" s="153">
        <f>IFERROR(VLOOKUP($A$3:$A$136,'FY-(26-27)Q2'!$A$4:$ABW$120,MATCH('FY-(26-27)Q1'!$P$2:$Q$2,'FY-(26-27)Q2'!$A$2:$BX$2,0),0),0)</f>
        <v>221852</v>
      </c>
      <c r="Q33" s="155">
        <f>IFERROR(VLOOKUP($A$3:$A$136,'FY-(26-27)Q2'!$A$4:$ABW$120,MATCH('FY-(26-27)Q1'!$P$2:$Q$2,'FY-(26-27)Q2'!$A$2:$BX$2,0),0),0)</f>
        <v>2.0168363636363629</v>
      </c>
      <c r="R33" s="159"/>
      <c r="S33" s="88">
        <f>IFERROR(VLOOKUP($A$4:$A$71,#REF!,MATCH('FY-(26-27)Q1'!$S$2:$T$2,#REF!,0),0),0)</f>
        <v>0</v>
      </c>
      <c r="T33" s="124">
        <f>IFERROR(VLOOKUP($A$4:$A$71,#REF!,MATCH('FY-(26-27)Q1'!$S$2:$T$2,#REF!,0),0),0)</f>
        <v>0</v>
      </c>
      <c r="U33" s="159"/>
      <c r="V33" s="45"/>
      <c r="W33" s="72"/>
      <c r="Y33" s="154">
        <f t="shared" si="0"/>
        <v>-97088</v>
      </c>
      <c r="Z33" s="168">
        <f t="shared" si="1"/>
        <v>-0.88261818181818219</v>
      </c>
      <c r="AB33" s="1"/>
      <c r="AC33" s="1"/>
      <c r="AD33" s="1"/>
      <c r="AE33" s="1"/>
      <c r="AF33" s="1"/>
      <c r="AG33" s="1"/>
      <c r="AH33" s="1"/>
    </row>
    <row r="34" spans="1:34" ht="15" customHeight="1" x14ac:dyDescent="0.25">
      <c r="A34" s="35" t="s">
        <v>117</v>
      </c>
      <c r="B34" s="34" t="s">
        <v>63</v>
      </c>
      <c r="C34" s="35" t="s">
        <v>231</v>
      </c>
      <c r="D34" s="37" t="s">
        <v>66</v>
      </c>
      <c r="E34" s="37" t="s">
        <v>256</v>
      </c>
      <c r="F34" s="116">
        <v>0.5</v>
      </c>
      <c r="G34" s="153">
        <f>IFERROR(VLOOKUP($A$3:$A$136,'APR-2026'!$A$4:$ABX$112,MATCH('FY-(26-27)Q1'!$G$2:$H$2,'APR-2026'!$A$2:$BY$2,0),0),0)</f>
        <v>-203101</v>
      </c>
      <c r="H34" s="155">
        <f>IFERROR(VLOOKUP($A$3:$A$136,'APR-2026'!$A$4:$ABX$112,MATCH('FY-(26-27)Q1'!$G$2:$H$2,'APR-2026'!$A$2:$BY$2,0),0),0)</f>
        <v>-4.0620200000000004</v>
      </c>
      <c r="I34" s="153">
        <f>IFERROR(VLOOKUP($A$3:$A$136,'MAY-2026'!$A$4:$ACP$113,MATCH('FY-(26-27)Q1'!$I$2:$J$2,'MAY-2026'!$A$2:$CQ$2,0),0),0)</f>
        <v>-128306</v>
      </c>
      <c r="J34" s="155">
        <f>IFERROR(VLOOKUP($A$3:$A$136,'MAY-2026'!$A$4:$ACP$113,MATCH('FY-(26-27)Q1'!$I$2:$J$2,'MAY-2026'!$A$2:$CQ$2,0),0),0)</f>
        <v>-2.5661200000000002</v>
      </c>
      <c r="K34" s="153">
        <f>IFERROR(VLOOKUP($A$3:$A$136,'JUNE-2026'!$A$4:$ADJ$113,MATCH('FY-(26-27)Q1'!$K$2:$L$2,'JUNE-2026'!$A$2:$DK$2,0),0),0)</f>
        <v>0</v>
      </c>
      <c r="L34" s="155">
        <f>IFERROR(VLOOKUP($A$3:$A$136,'JUNE-2026'!$A$4:$ADJ$113,MATCH('FY-(26-27)Q1'!$K$2:$L$2,'JUNE-2026'!$A$2:$DK$2,0),0),0)</f>
        <v>0</v>
      </c>
      <c r="M34" s="71">
        <f t="shared" si="2"/>
        <v>-331407</v>
      </c>
      <c r="N34" s="166">
        <f t="shared" si="3"/>
        <v>-6.6281400000000001</v>
      </c>
      <c r="O34" s="215"/>
      <c r="P34" s="153">
        <f>IFERROR(VLOOKUP($A$3:$A$136,'FY-(26-27)Q2'!$A$4:$ABW$120,MATCH('FY-(26-27)Q1'!$P$2:$Q$2,'FY-(26-27)Q2'!$A$2:$BX$2,0),0),0)</f>
        <v>0</v>
      </c>
      <c r="Q34" s="155">
        <f>IFERROR(VLOOKUP($A$3:$A$136,'FY-(26-27)Q2'!$A$4:$ABW$120,MATCH('FY-(26-27)Q1'!$P$2:$Q$2,'FY-(26-27)Q2'!$A$2:$BX$2,0),0),0)</f>
        <v>0</v>
      </c>
      <c r="R34" s="159"/>
      <c r="S34" s="88">
        <f>IFERROR(VLOOKUP($A$4:$A$71,#REF!,MATCH('FY-(26-27)Q1'!$S$2:$T$2,#REF!,0),0),0)</f>
        <v>0</v>
      </c>
      <c r="T34" s="124">
        <f>IFERROR(VLOOKUP($A$4:$A$71,#REF!,MATCH('FY-(26-27)Q1'!$S$2:$T$2,#REF!,0),0),0)</f>
        <v>0</v>
      </c>
      <c r="U34" s="159"/>
      <c r="V34" s="45"/>
      <c r="W34" s="72"/>
      <c r="Y34" s="154">
        <f t="shared" si="0"/>
        <v>-331407</v>
      </c>
      <c r="Z34" s="168">
        <f t="shared" si="1"/>
        <v>-6.6281400000000001</v>
      </c>
    </row>
    <row r="35" spans="1:34" ht="15" customHeight="1" x14ac:dyDescent="0.25">
      <c r="A35" s="35" t="s">
        <v>97</v>
      </c>
      <c r="B35" s="34" t="s">
        <v>68</v>
      </c>
      <c r="C35" s="34" t="s">
        <v>206</v>
      </c>
      <c r="D35" s="37" t="s">
        <v>107</v>
      </c>
      <c r="E35" s="37" t="s">
        <v>107</v>
      </c>
      <c r="F35" s="116">
        <v>2.2999999999999998</v>
      </c>
      <c r="G35" s="153">
        <f>IFERROR(VLOOKUP($A$3:$A$136,'APR-2026'!$A$4:$ABX$112,MATCH('FY-(26-27)Q1'!$G$2:$H$2,'APR-2026'!$A$2:$BY$2,0),0),0)</f>
        <v>3190697</v>
      </c>
      <c r="H35" s="155">
        <f>IFERROR(VLOOKUP($A$3:$A$136,'APR-2026'!$A$4:$ABX$112,MATCH('FY-(26-27)Q1'!$G$2:$H$2,'APR-2026'!$A$2:$BY$2,0),0),0)</f>
        <v>13.872595652173912</v>
      </c>
      <c r="I35" s="153">
        <f>IFERROR(VLOOKUP($A$3:$A$136,'MAY-2026'!$A$4:$ACP$113,MATCH('FY-(26-27)Q1'!$I$2:$J$2,'MAY-2026'!$A$2:$CQ$2,0),0),0)</f>
        <v>688029</v>
      </c>
      <c r="J35" s="155">
        <f>IFERROR(VLOOKUP($A$3:$A$136,'MAY-2026'!$A$4:$ACP$113,MATCH('FY-(26-27)Q1'!$I$2:$J$2,'MAY-2026'!$A$2:$CQ$2,0),0),0)</f>
        <v>2.9914304347826084</v>
      </c>
      <c r="K35" s="153">
        <f>IFERROR(VLOOKUP($A$3:$A$136,'JUNE-2026'!$A$4:$ADJ$113,MATCH('FY-(26-27)Q1'!$K$2:$L$2,'JUNE-2026'!$A$2:$DK$2,0),0),0)</f>
        <v>282377</v>
      </c>
      <c r="L35" s="155">
        <f>IFERROR(VLOOKUP($A$3:$A$136,'JUNE-2026'!$A$4:$ADJ$113,MATCH('FY-(26-27)Q1'!$K$2:$L$2,'JUNE-2026'!$A$2:$DK$2,0),0),0)</f>
        <v>1.2277260869565219</v>
      </c>
      <c r="M35" s="71">
        <f t="shared" si="2"/>
        <v>4161103</v>
      </c>
      <c r="N35" s="166">
        <f t="shared" si="3"/>
        <v>18.091752173913044</v>
      </c>
      <c r="O35" s="215"/>
      <c r="P35" s="153">
        <f>IFERROR(VLOOKUP($A$3:$A$136,'FY-(26-27)Q2'!$A$4:$ABW$120,MATCH('FY-(26-27)Q1'!$P$2:$Q$2,'FY-(26-27)Q2'!$A$2:$BX$2,0),0),0)</f>
        <v>1124698</v>
      </c>
      <c r="Q35" s="155">
        <f>IFERROR(VLOOKUP($A$3:$A$136,'FY-(26-27)Q2'!$A$4:$ABW$120,MATCH('FY-(26-27)Q1'!$P$2:$Q$2,'FY-(26-27)Q2'!$A$2:$BX$2,0),0),0)</f>
        <v>4.8899913043478254</v>
      </c>
      <c r="R35" s="159"/>
      <c r="S35" s="88">
        <f>IFERROR(VLOOKUP($A$4:$A$71,#REF!,MATCH('FY-(26-27)Q1'!$S$2:$T$2,#REF!,0),0),0)</f>
        <v>0</v>
      </c>
      <c r="T35" s="124">
        <f>IFERROR(VLOOKUP($A$4:$A$71,#REF!,MATCH('FY-(26-27)Q1'!$S$2:$T$2,#REF!,0),0),0)</f>
        <v>0</v>
      </c>
      <c r="U35" s="159"/>
      <c r="V35" s="45"/>
      <c r="W35" s="72"/>
      <c r="Y35" s="154">
        <f t="shared" si="0"/>
        <v>5285801</v>
      </c>
      <c r="Z35" s="168">
        <f t="shared" si="1"/>
        <v>22.981743478260867</v>
      </c>
    </row>
    <row r="36" spans="1:34" s="132" customFormat="1" ht="15" customHeight="1" x14ac:dyDescent="0.25">
      <c r="A36" s="142" t="s">
        <v>302</v>
      </c>
      <c r="B36" s="141" t="s">
        <v>297</v>
      </c>
      <c r="C36" s="141" t="s">
        <v>298</v>
      </c>
      <c r="D36" s="142"/>
      <c r="E36" s="142" t="s">
        <v>256</v>
      </c>
      <c r="F36" s="156">
        <v>0.2</v>
      </c>
      <c r="G36" s="153">
        <f>IFERROR(VLOOKUP($A$3:$A$136,'APR-2026'!$A$4:$ABX$112,MATCH('FY-(26-27)Q1'!$G$2:$H$2,'APR-2026'!$A$2:$BY$2,0),0),0)</f>
        <v>0</v>
      </c>
      <c r="H36" s="155">
        <f>IFERROR(VLOOKUP($A$3:$A$136,'APR-2026'!$A$4:$ABX$112,MATCH('FY-(26-27)Q1'!$G$2:$H$2,'APR-2026'!$A$2:$BY$2,0),0),0)</f>
        <v>0</v>
      </c>
      <c r="I36" s="153">
        <f>IFERROR(VLOOKUP($A$3:$A$136,'MAY-2026'!$A$4:$ACP$113,MATCH('FY-(26-27)Q1'!$I$2:$J$2,'MAY-2026'!$A$2:$CQ$2,0),0),0)</f>
        <v>0</v>
      </c>
      <c r="J36" s="155">
        <f>IFERROR(VLOOKUP($A$3:$A$136,'MAY-2026'!$A$4:$ACP$113,MATCH('FY-(26-27)Q1'!$I$2:$J$2,'MAY-2026'!$A$2:$CQ$2,0),0),0)</f>
        <v>0</v>
      </c>
      <c r="K36" s="153">
        <f>IFERROR(VLOOKUP($A$3:$A$136,'JUNE-2026'!$A$4:$ADJ$113,MATCH('FY-(26-27)Q1'!$K$2:$L$2,'JUNE-2026'!$A$2:$DK$2,0),0),0)</f>
        <v>0</v>
      </c>
      <c r="L36" s="155">
        <f>IFERROR(VLOOKUP($A$3:$A$136,'JUNE-2026'!$A$4:$ADJ$113,MATCH('FY-(26-27)Q1'!$K$2:$L$2,'JUNE-2026'!$A$2:$DK$2,0),0),0)</f>
        <v>0</v>
      </c>
      <c r="M36" s="71">
        <f t="shared" ref="M36" si="14">G36+I36+K36</f>
        <v>0</v>
      </c>
      <c r="N36" s="166">
        <f t="shared" ref="N36" si="15">H36+J36+L36</f>
        <v>0</v>
      </c>
      <c r="O36" s="215"/>
      <c r="P36" s="153">
        <f>IFERROR(VLOOKUP($A$3:$A$136,'FY-(26-27)Q2'!$A$4:$ABW$120,MATCH('FY-(26-27)Q1'!$P$2:$Q$2,'FY-(26-27)Q2'!$A$2:$BX$2,0),0),0)</f>
        <v>135</v>
      </c>
      <c r="Q36" s="155">
        <f>IFERROR(VLOOKUP($A$3:$A$136,'FY-(26-27)Q2'!$A$4:$ABW$120,MATCH('FY-(26-27)Q1'!$P$2:$Q$2,'FY-(26-27)Q2'!$A$2:$BX$2,0),0),0)</f>
        <v>6.750000000000006E-3</v>
      </c>
      <c r="R36" s="159"/>
      <c r="S36" s="153">
        <f>IFERROR(VLOOKUP($A$4:$A$71,#REF!,MATCH('FY-(26-27)Q1'!$S$2:$T$2,#REF!,0),0),0)</f>
        <v>0</v>
      </c>
      <c r="T36" s="159">
        <f>IFERROR(VLOOKUP($A$4:$A$71,#REF!,MATCH('FY-(26-27)Q1'!$S$2:$T$2,#REF!,0),0),0)</f>
        <v>0</v>
      </c>
      <c r="U36" s="159"/>
      <c r="V36" s="144"/>
      <c r="W36" s="150"/>
      <c r="Y36" s="154">
        <f t="shared" ref="Y36" si="16">M36+P36+S36+V36</f>
        <v>135</v>
      </c>
      <c r="Z36" s="168">
        <f t="shared" ref="Z36" si="17">(N36+Q36+T36+W36)</f>
        <v>6.750000000000006E-3</v>
      </c>
    </row>
    <row r="37" spans="1:34" ht="15" customHeight="1" x14ac:dyDescent="0.25">
      <c r="A37" s="35" t="s">
        <v>29</v>
      </c>
      <c r="B37" s="34" t="s">
        <v>22</v>
      </c>
      <c r="C37" s="34" t="s">
        <v>151</v>
      </c>
      <c r="D37" s="37" t="s">
        <v>5</v>
      </c>
      <c r="E37" s="37" t="s">
        <v>256</v>
      </c>
      <c r="F37" s="116">
        <v>5</v>
      </c>
      <c r="G37" s="153">
        <f>IFERROR(VLOOKUP($A$3:$A$136,'APR-2026'!$A$4:$ABX$112,MATCH('FY-(26-27)Q1'!$G$2:$H$2,'APR-2026'!$A$2:$BY$2,0),0),0)</f>
        <v>1319283</v>
      </c>
      <c r="H37" s="155">
        <f>IFERROR(VLOOKUP($A$3:$A$136,'APR-2026'!$A$4:$ABX$112,MATCH('FY-(26-27)Q1'!$G$2:$H$2,'APR-2026'!$A$2:$BY$2,0),0),0)</f>
        <v>2.6385659999999995</v>
      </c>
      <c r="I37" s="153">
        <f>IFERROR(VLOOKUP($A$3:$A$136,'MAY-2026'!$A$4:$ACP$113,MATCH('FY-(26-27)Q1'!$I$2:$J$2,'MAY-2026'!$A$2:$CQ$2,0),0),0)</f>
        <v>841036</v>
      </c>
      <c r="J37" s="155">
        <f>IFERROR(VLOOKUP($A$3:$A$136,'MAY-2026'!$A$4:$ACP$113,MATCH('FY-(26-27)Q1'!$I$2:$J$2,'MAY-2026'!$A$2:$CQ$2,0),0),0)</f>
        <v>1.682072</v>
      </c>
      <c r="K37" s="153">
        <f>IFERROR(VLOOKUP($A$3:$A$136,'JUNE-2026'!$A$4:$ADJ$113,MATCH('FY-(26-27)Q1'!$K$2:$L$2,'JUNE-2026'!$A$2:$DK$2,0),0),0)</f>
        <v>906087</v>
      </c>
      <c r="L37" s="155">
        <f>IFERROR(VLOOKUP($A$3:$A$136,'JUNE-2026'!$A$4:$ADJ$113,MATCH('FY-(26-27)Q1'!$K$2:$L$2,'JUNE-2026'!$A$2:$DK$2,0),0),0)</f>
        <v>1.812174</v>
      </c>
      <c r="M37" s="71">
        <f t="shared" si="2"/>
        <v>3066406</v>
      </c>
      <c r="N37" s="166">
        <f t="shared" si="3"/>
        <v>6.1328119999999995</v>
      </c>
      <c r="O37" s="215"/>
      <c r="P37" s="153">
        <f>IFERROR(VLOOKUP($A$3:$A$136,'FY-(26-27)Q2'!$A$4:$ABW$120,MATCH('FY-(26-27)Q1'!$P$2:$Q$2,'FY-(26-27)Q2'!$A$2:$BX$2,0),0),0)</f>
        <v>-184640</v>
      </c>
      <c r="Q37" s="155">
        <f>IFERROR(VLOOKUP($A$3:$A$136,'FY-(26-27)Q2'!$A$4:$ABW$120,MATCH('FY-(26-27)Q1'!$P$2:$Q$2,'FY-(26-27)Q2'!$A$2:$BX$2,0),0),0)</f>
        <v>-0.36928</v>
      </c>
      <c r="R37" s="159"/>
      <c r="S37" s="88">
        <f>IFERROR(VLOOKUP($A$4:$A$71,#REF!,MATCH('FY-(26-27)Q1'!$S$2:$T$2,#REF!,0),0),0)</f>
        <v>0</v>
      </c>
      <c r="T37" s="124">
        <f>IFERROR(VLOOKUP($A$4:$A$71,#REF!,MATCH('FY-(26-27)Q1'!$S$2:$T$2,#REF!,0),0),0)</f>
        <v>0</v>
      </c>
      <c r="U37" s="159"/>
      <c r="V37" s="45"/>
      <c r="W37" s="72"/>
      <c r="Y37" s="154">
        <f t="shared" si="0"/>
        <v>2881766</v>
      </c>
      <c r="Z37" s="168">
        <f t="shared" si="1"/>
        <v>5.7635319999999997</v>
      </c>
    </row>
    <row r="38" spans="1:34" ht="15" customHeight="1" x14ac:dyDescent="0.25">
      <c r="A38" s="35" t="s">
        <v>28</v>
      </c>
      <c r="B38" s="34" t="s">
        <v>247</v>
      </c>
      <c r="C38" s="34" t="s">
        <v>121</v>
      </c>
      <c r="D38" s="37" t="s">
        <v>91</v>
      </c>
      <c r="E38" s="37" t="s">
        <v>256</v>
      </c>
      <c r="F38" s="116">
        <v>10</v>
      </c>
      <c r="G38" s="153">
        <f>IFERROR(VLOOKUP($A$3:$A$136,'APR-2026'!$A$4:$ABX$112,MATCH('FY-(26-27)Q1'!$G$2:$H$2,'APR-2026'!$A$2:$BY$2,0),0),0)</f>
        <v>2899700</v>
      </c>
      <c r="H38" s="155">
        <f>IFERROR(VLOOKUP($A$3:$A$136,'APR-2026'!$A$4:$ABX$112,MATCH('FY-(26-27)Q1'!$G$2:$H$2,'APR-2026'!$A$2:$BY$2,0),0),0)</f>
        <v>2.8997000000000002</v>
      </c>
      <c r="I38" s="153">
        <f>IFERROR(VLOOKUP($A$3:$A$136,'MAY-2026'!$A$4:$ACP$113,MATCH('FY-(26-27)Q1'!$I$2:$J$2,'MAY-2026'!$A$2:$CQ$2,0),0),0)</f>
        <v>-30465</v>
      </c>
      <c r="J38" s="155">
        <f>IFERROR(VLOOKUP($A$3:$A$136,'MAY-2026'!$A$4:$ACP$113,MATCH('FY-(26-27)Q1'!$I$2:$J$2,'MAY-2026'!$A$2:$CQ$2,0),0),0)</f>
        <v>-3.0464999999999999E-2</v>
      </c>
      <c r="K38" s="153">
        <f>IFERROR(VLOOKUP($A$3:$A$136,'JUNE-2026'!$A$4:$ADJ$113,MATCH('FY-(26-27)Q1'!$K$2:$L$2,'JUNE-2026'!$A$2:$DK$2,0),0),0)</f>
        <v>724171</v>
      </c>
      <c r="L38" s="155">
        <f>IFERROR(VLOOKUP($A$3:$A$136,'JUNE-2026'!$A$4:$ADJ$113,MATCH('FY-(26-27)Q1'!$K$2:$L$2,'JUNE-2026'!$A$2:$DK$2,0),0),0)</f>
        <v>0.72417100000000012</v>
      </c>
      <c r="M38" s="71">
        <f t="shared" si="2"/>
        <v>3593406</v>
      </c>
      <c r="N38" s="166">
        <f t="shared" si="3"/>
        <v>3.5934060000000003</v>
      </c>
      <c r="O38" s="215"/>
      <c r="P38" s="153">
        <f>IFERROR(VLOOKUP($A$3:$A$136,'FY-(26-27)Q2'!$A$4:$ABW$120,MATCH('FY-(26-27)Q1'!$P$2:$Q$2,'FY-(26-27)Q2'!$A$2:$BX$2,0),0),0)</f>
        <v>2710166</v>
      </c>
      <c r="Q38" s="155">
        <f>IFERROR(VLOOKUP($A$3:$A$136,'FY-(26-27)Q2'!$A$4:$ABW$120,MATCH('FY-(26-27)Q1'!$P$2:$Q$2,'FY-(26-27)Q2'!$A$2:$BX$2,0),0),0)</f>
        <v>2.7101660000000001</v>
      </c>
      <c r="R38" s="159"/>
      <c r="S38" s="88">
        <f>IFERROR(VLOOKUP($A$4:$A$71,#REF!,MATCH('FY-(26-27)Q1'!$S$2:$T$2,#REF!,0),0),0)</f>
        <v>0</v>
      </c>
      <c r="T38" s="124">
        <f>IFERROR(VLOOKUP($A$4:$A$71,#REF!,MATCH('FY-(26-27)Q1'!$S$2:$T$2,#REF!,0),0),0)</f>
        <v>0</v>
      </c>
      <c r="U38" s="159"/>
      <c r="V38" s="45"/>
      <c r="W38" s="72"/>
      <c r="X38" s="132"/>
      <c r="Y38" s="154">
        <f t="shared" ref="Y38:Y71" si="18">M38+P38+S38+V38</f>
        <v>6303572</v>
      </c>
      <c r="Z38" s="168">
        <f t="shared" ref="Z38:Z71" si="19">(N38+Q38+T38+W38)</f>
        <v>6.3035720000000008</v>
      </c>
      <c r="AB38" s="131"/>
    </row>
    <row r="39" spans="1:34" s="132" customFormat="1" ht="15" customHeight="1" x14ac:dyDescent="0.25">
      <c r="A39" s="142" t="s">
        <v>191</v>
      </c>
      <c r="B39" s="141" t="s">
        <v>184</v>
      </c>
      <c r="C39" s="141" t="s">
        <v>185</v>
      </c>
      <c r="D39" s="142" t="s">
        <v>91</v>
      </c>
      <c r="E39" s="142" t="s">
        <v>256</v>
      </c>
      <c r="F39" s="156">
        <v>13</v>
      </c>
      <c r="G39" s="153">
        <f>IFERROR(VLOOKUP($A$3:$A$136,'APR-2026'!$A$4:$ABX$112,MATCH('FY-(26-27)Q1'!$G$2:$H$2,'APR-2026'!$A$2:$BY$2,0),0),0)</f>
        <v>2457630</v>
      </c>
      <c r="H39" s="155">
        <f>IFERROR(VLOOKUP($A$3:$A$136,'APR-2026'!$A$4:$ABX$112,MATCH('FY-(26-27)Q1'!$G$2:$H$2,'APR-2026'!$A$2:$BY$2,0),0),0)</f>
        <v>2.45763</v>
      </c>
      <c r="I39" s="153">
        <f>IFERROR(VLOOKUP($A$3:$A$136,'MAY-2026'!$A$4:$ACP$113,MATCH('FY-(26-27)Q1'!$I$2:$J$2,'MAY-2026'!$A$2:$CQ$2,0),0),0)</f>
        <v>357271</v>
      </c>
      <c r="J39" s="155">
        <f>IFERROR(VLOOKUP($A$3:$A$136,'MAY-2026'!$A$4:$ACP$113,MATCH('FY-(26-27)Q1'!$I$2:$J$2,'MAY-2026'!$A$2:$CQ$2,0),0),0)</f>
        <v>0.27482384615384614</v>
      </c>
      <c r="K39" s="153">
        <f>IFERROR(VLOOKUP($A$3:$A$136,'JUNE-2026'!$A$4:$ADJ$113,MATCH('FY-(26-27)Q1'!$K$2:$L$2,'JUNE-2026'!$A$2:$DK$2,0),0),0)</f>
        <v>889184</v>
      </c>
      <c r="L39" s="155">
        <f>IFERROR(VLOOKUP($A$3:$A$136,'JUNE-2026'!$A$4:$ADJ$113,MATCH('FY-(26-27)Q1'!$K$2:$L$2,'JUNE-2026'!$A$2:$DK$2,0),0),0)</f>
        <v>0.6839876923076923</v>
      </c>
      <c r="M39" s="71">
        <f t="shared" ref="M39" si="20">G39+I39+K39</f>
        <v>3704085</v>
      </c>
      <c r="N39" s="166">
        <f t="shared" ref="N39" si="21">H39+J39+L39</f>
        <v>3.4164415384615383</v>
      </c>
      <c r="O39" s="215"/>
      <c r="P39" s="153">
        <f>IFERROR(VLOOKUP($A$3:$A$136,'FY-(26-27)Q2'!$A$4:$ABW$120,MATCH('FY-(26-27)Q1'!$P$2:$Q$2,'FY-(26-27)Q2'!$A$2:$BX$2,0),0),0)</f>
        <v>1736266</v>
      </c>
      <c r="Q39" s="155">
        <f>IFERROR(VLOOKUP($A$3:$A$136,'FY-(26-27)Q2'!$A$4:$ABW$120,MATCH('FY-(26-27)Q1'!$P$2:$Q$2,'FY-(26-27)Q2'!$A$2:$BX$2,0),0),0)</f>
        <v>1.335589230769231</v>
      </c>
      <c r="R39" s="159"/>
      <c r="S39" s="153">
        <f>IFERROR(VLOOKUP($A$4:$A$71,#REF!,MATCH('FY-(26-27)Q1'!$S$2:$T$2,#REF!,0),0),0)</f>
        <v>0</v>
      </c>
      <c r="T39" s="159">
        <f>IFERROR(VLOOKUP($A$4:$A$71,#REF!,MATCH('FY-(26-27)Q1'!$S$2:$T$2,#REF!,0),0),0)</f>
        <v>0</v>
      </c>
      <c r="U39" s="159"/>
      <c r="V39" s="144"/>
      <c r="W39" s="150"/>
      <c r="Y39" s="154">
        <f t="shared" si="18"/>
        <v>5440351</v>
      </c>
      <c r="Z39" s="168">
        <f t="shared" si="19"/>
        <v>4.7520307692307693</v>
      </c>
      <c r="AA39"/>
      <c r="AB39"/>
      <c r="AC39"/>
      <c r="AD39"/>
      <c r="AE39"/>
      <c r="AF39"/>
      <c r="AG39"/>
      <c r="AH39"/>
    </row>
    <row r="40" spans="1:34" ht="15" customHeight="1" x14ac:dyDescent="0.25">
      <c r="A40" s="142" t="s">
        <v>147</v>
      </c>
      <c r="B40" s="141" t="s">
        <v>146</v>
      </c>
      <c r="C40" s="141" t="s">
        <v>140</v>
      </c>
      <c r="D40" s="142" t="s">
        <v>91</v>
      </c>
      <c r="E40" s="142" t="s">
        <v>256</v>
      </c>
      <c r="F40" s="156">
        <v>1.5</v>
      </c>
      <c r="G40" s="153">
        <f>IFERROR(VLOOKUP($A$3:$A$136,'APR-2026'!$A$4:$ABX$112,MATCH('FY-(26-27)Q1'!$G$2:$H$2,'APR-2026'!$A$2:$BY$2,0),0),0)</f>
        <v>339000</v>
      </c>
      <c r="H40" s="155">
        <f>IFERROR(VLOOKUP($A$3:$A$136,'APR-2026'!$A$4:$ABX$112,MATCH('FY-(26-27)Q1'!$G$2:$H$2,'APR-2026'!$A$2:$BY$2,0),0),0)</f>
        <v>2.2599999999999998</v>
      </c>
      <c r="I40" s="153">
        <f>IFERROR(VLOOKUP($A$3:$A$136,'MAY-2026'!$A$4:$ACP$113,MATCH('FY-(26-27)Q1'!$I$2:$J$2,'MAY-2026'!$A$2:$CQ$2,0),0),0)</f>
        <v>-17574</v>
      </c>
      <c r="J40" s="155">
        <f>IFERROR(VLOOKUP($A$3:$A$136,'MAY-2026'!$A$4:$ACP$113,MATCH('FY-(26-27)Q1'!$I$2:$J$2,'MAY-2026'!$A$2:$CQ$2,0),0),0)</f>
        <v>-0.11716</v>
      </c>
      <c r="K40" s="153">
        <f>IFERROR(VLOOKUP($A$3:$A$136,'JUNE-2026'!$A$4:$ADJ$113,MATCH('FY-(26-27)Q1'!$K$2:$L$2,'JUNE-2026'!$A$2:$DK$2,0),0),0)</f>
        <v>103615</v>
      </c>
      <c r="L40" s="155">
        <f>IFERROR(VLOOKUP($A$3:$A$136,'JUNE-2026'!$A$4:$ADJ$113,MATCH('FY-(26-27)Q1'!$K$2:$L$2,'JUNE-2026'!$A$2:$DK$2,0),0),0)</f>
        <v>0.69076666666666675</v>
      </c>
      <c r="M40" s="71">
        <f t="shared" si="2"/>
        <v>425041</v>
      </c>
      <c r="N40" s="166">
        <f t="shared" si="3"/>
        <v>2.8336066666666664</v>
      </c>
      <c r="O40" s="215"/>
      <c r="P40" s="153">
        <f>IFERROR(VLOOKUP($A$3:$A$136,'FY-(26-27)Q2'!$A$4:$ABW$120,MATCH('FY-(26-27)Q1'!$P$2:$Q$2,'FY-(26-27)Q2'!$A$2:$BX$2,0),0),0)</f>
        <v>173420</v>
      </c>
      <c r="Q40" s="155">
        <f>IFERROR(VLOOKUP($A$3:$A$136,'FY-(26-27)Q2'!$A$4:$ABW$120,MATCH('FY-(26-27)Q1'!$P$2:$Q$2,'FY-(26-27)Q2'!$A$2:$BX$2,0),0),0)</f>
        <v>1.1561333333333335</v>
      </c>
      <c r="R40" s="159"/>
      <c r="S40" s="153">
        <f>IFERROR(VLOOKUP($A$4:$A$71,#REF!,MATCH('FY-(26-27)Q1'!$S$2:$T$2,#REF!,0),0),0)</f>
        <v>0</v>
      </c>
      <c r="T40" s="159">
        <f>IFERROR(VLOOKUP($A$4:$A$71,#REF!,MATCH('FY-(26-27)Q1'!$S$2:$T$2,#REF!,0),0),0)</f>
        <v>0</v>
      </c>
      <c r="U40" s="159"/>
      <c r="V40" s="144"/>
      <c r="W40" s="150"/>
      <c r="Y40" s="154">
        <f t="shared" si="18"/>
        <v>598461</v>
      </c>
      <c r="Z40" s="168">
        <f t="shared" si="19"/>
        <v>3.9897399999999998</v>
      </c>
      <c r="AA40" s="1"/>
      <c r="AD40" s="132"/>
      <c r="AE40" s="132"/>
      <c r="AF40" s="132"/>
      <c r="AG40" s="132"/>
      <c r="AH40" s="132"/>
    </row>
    <row r="41" spans="1:34" s="1" customFormat="1" ht="15" customHeight="1" x14ac:dyDescent="0.25">
      <c r="A41" s="142" t="s">
        <v>194</v>
      </c>
      <c r="B41" s="34" t="s">
        <v>246</v>
      </c>
      <c r="C41" s="34" t="s">
        <v>180</v>
      </c>
      <c r="D41" s="37" t="s">
        <v>91</v>
      </c>
      <c r="E41" s="37" t="s">
        <v>256</v>
      </c>
      <c r="F41" s="116">
        <v>6</v>
      </c>
      <c r="G41" s="153">
        <f>IFERROR(VLOOKUP($A$3:$A$136,'APR-2026'!$A$4:$ABX$112,MATCH('FY-(26-27)Q1'!$G$2:$H$2,'APR-2026'!$A$2:$BY$2,0),0),0)</f>
        <v>679300</v>
      </c>
      <c r="H41" s="155">
        <f>IFERROR(VLOOKUP($A$3:$A$136,'APR-2026'!$A$4:$ABX$112,MATCH('FY-(26-27)Q1'!$G$2:$H$2,'APR-2026'!$A$2:$BY$2,0),0),0)</f>
        <v>2.2643333333333335</v>
      </c>
      <c r="I41" s="153">
        <f>IFERROR(VLOOKUP($A$3:$A$136,'MAY-2026'!$A$4:$ACP$113,MATCH('FY-(26-27)Q1'!$I$2:$J$2,'MAY-2026'!$A$2:$CQ$2,0),0),0)</f>
        <v>199400</v>
      </c>
      <c r="J41" s="155">
        <f>IFERROR(VLOOKUP($A$3:$A$136,'MAY-2026'!$A$4:$ACP$113,MATCH('FY-(26-27)Q1'!$I$2:$J$2,'MAY-2026'!$A$2:$CQ$2,0),0),0)</f>
        <v>0.33233333333333337</v>
      </c>
      <c r="K41" s="153">
        <f>IFERROR(VLOOKUP($A$3:$A$136,'JUNE-2026'!$A$4:$ADJ$113,MATCH('FY-(26-27)Q1'!$K$2:$L$2,'JUNE-2026'!$A$2:$DK$2,0),0),0)</f>
        <v>436737</v>
      </c>
      <c r="L41" s="155">
        <f>IFERROR(VLOOKUP($A$3:$A$136,'JUNE-2026'!$A$4:$ADJ$113,MATCH('FY-(26-27)Q1'!$K$2:$L$2,'JUNE-2026'!$A$2:$DK$2,0),0),0)</f>
        <v>0.72789499999999996</v>
      </c>
      <c r="M41" s="71">
        <f t="shared" ref="M41:N43" si="22">G41+I41+K41</f>
        <v>1315437</v>
      </c>
      <c r="N41" s="166">
        <f t="shared" si="22"/>
        <v>3.3245616666666669</v>
      </c>
      <c r="O41" s="215"/>
      <c r="P41" s="153">
        <f>IFERROR(VLOOKUP($A$3:$A$136,'FY-(26-27)Q2'!$A$4:$ABW$120,MATCH('FY-(26-27)Q1'!$P$2:$Q$2,'FY-(26-27)Q2'!$A$2:$BX$2,0),0),0)</f>
        <v>703028</v>
      </c>
      <c r="Q41" s="155">
        <f>IFERROR(VLOOKUP($A$3:$A$136,'FY-(26-27)Q2'!$A$4:$ABW$120,MATCH('FY-(26-27)Q1'!$P$2:$Q$2,'FY-(26-27)Q2'!$A$2:$BX$2,0),0),0)</f>
        <v>1.1717133333333338</v>
      </c>
      <c r="R41" s="159"/>
      <c r="S41" s="88">
        <f>IFERROR(VLOOKUP($A$4:$A$71,#REF!,MATCH('FY-(26-27)Q1'!$S$2:$T$2,#REF!,0),0),0)</f>
        <v>0</v>
      </c>
      <c r="T41" s="124">
        <f>IFERROR(VLOOKUP($A$4:$A$71,#REF!,MATCH('FY-(26-27)Q1'!$S$2:$T$2,#REF!,0),0),0)</f>
        <v>0</v>
      </c>
      <c r="U41" s="159"/>
      <c r="V41" s="45"/>
      <c r="W41" s="72"/>
      <c r="X41"/>
      <c r="Y41" s="154">
        <f t="shared" si="18"/>
        <v>2018465</v>
      </c>
      <c r="Z41" s="168">
        <f t="shared" si="19"/>
        <v>4.4962750000000007</v>
      </c>
      <c r="AA41"/>
      <c r="AD41"/>
      <c r="AE41"/>
      <c r="AF41"/>
      <c r="AG41"/>
      <c r="AH41"/>
    </row>
    <row r="42" spans="1:34" ht="15" customHeight="1" x14ac:dyDescent="0.25">
      <c r="A42" s="163" t="s">
        <v>205</v>
      </c>
      <c r="B42" s="141" t="s">
        <v>203</v>
      </c>
      <c r="C42" s="141" t="s">
        <v>204</v>
      </c>
      <c r="D42" s="142" t="s">
        <v>91</v>
      </c>
      <c r="E42" s="163" t="s">
        <v>256</v>
      </c>
      <c r="F42" s="164">
        <v>1.3</v>
      </c>
      <c r="G42" s="153">
        <f>IFERROR(VLOOKUP($A$3:$A$136,'APR-2026'!$A$4:$ABX$112,MATCH('FY-(26-27)Q1'!$G$2:$H$2,'APR-2026'!$A$2:$BY$2,0),0),0)</f>
        <v>114100</v>
      </c>
      <c r="H42" s="155">
        <f>IFERROR(VLOOKUP($A$3:$A$136,'APR-2026'!$A$4:$ABX$112,MATCH('FY-(26-27)Q1'!$G$2:$H$2,'APR-2026'!$A$2:$BY$2,0),0),0)</f>
        <v>0.91279999999999994</v>
      </c>
      <c r="I42" s="153">
        <f>IFERROR(VLOOKUP($A$3:$A$136,'MAY-2026'!$A$4:$ACP$113,MATCH('FY-(26-27)Q1'!$I$2:$J$2,'MAY-2026'!$A$2:$CQ$2,0),0),0)</f>
        <v>-13242</v>
      </c>
      <c r="J42" s="155">
        <f>IFERROR(VLOOKUP($A$3:$A$136,'MAY-2026'!$A$4:$ACP$113,MATCH('FY-(26-27)Q1'!$I$2:$J$2,'MAY-2026'!$A$2:$CQ$2,0),0),0)</f>
        <v>-0.105936</v>
      </c>
      <c r="K42" s="153">
        <f>IFERROR(VLOOKUP($A$3:$A$136,'JUNE-2026'!$A$4:$ADJ$113,MATCH('FY-(26-27)Q1'!$K$2:$L$2,'JUNE-2026'!$A$2:$DK$2,0),0),0)</f>
        <v>102235</v>
      </c>
      <c r="L42" s="155">
        <f>IFERROR(VLOOKUP($A$3:$A$136,'JUNE-2026'!$A$4:$ADJ$113,MATCH('FY-(26-27)Q1'!$K$2:$L$2,'JUNE-2026'!$A$2:$DK$2,0),0),0)</f>
        <v>0.81788000000000005</v>
      </c>
      <c r="M42" s="71">
        <f t="shared" si="22"/>
        <v>203093</v>
      </c>
      <c r="N42" s="166">
        <f t="shared" si="22"/>
        <v>1.624744</v>
      </c>
      <c r="O42" s="215"/>
      <c r="P42" s="153">
        <f>IFERROR(VLOOKUP($A$3:$A$136,'FY-(26-27)Q2'!$A$4:$ABW$120,MATCH('FY-(26-27)Q1'!$P$2:$Q$2,'FY-(26-27)Q2'!$A$2:$BX$2,0),0),0)</f>
        <v>183507</v>
      </c>
      <c r="Q42" s="155">
        <f>IFERROR(VLOOKUP($A$3:$A$136,'FY-(26-27)Q2'!$A$4:$ABW$120,MATCH('FY-(26-27)Q1'!$P$2:$Q$2,'FY-(26-27)Q2'!$A$2:$BX$2,0),0),0)</f>
        <v>1.4680560000000002</v>
      </c>
      <c r="R42" s="159"/>
      <c r="S42" s="153">
        <f>IFERROR(VLOOKUP($A$4:$A$71,#REF!,MATCH('FY-(26-27)Q1'!$S$2:$T$2,#REF!,0),0),0)</f>
        <v>0</v>
      </c>
      <c r="T42" s="159">
        <f>IFERROR(VLOOKUP($A$4:$A$71,#REF!,MATCH('FY-(26-27)Q1'!$S$2:$T$2,#REF!,0),0),0)</f>
        <v>0</v>
      </c>
      <c r="U42" s="159"/>
      <c r="V42" s="144"/>
      <c r="W42" s="150"/>
      <c r="X42" s="132"/>
      <c r="Y42" s="154">
        <f t="shared" si="18"/>
        <v>386600</v>
      </c>
      <c r="Z42" s="168">
        <f t="shared" si="19"/>
        <v>3.0928000000000004</v>
      </c>
      <c r="AD42" s="1"/>
      <c r="AE42" s="1"/>
      <c r="AF42" s="1"/>
      <c r="AG42" s="1"/>
      <c r="AH42" s="1"/>
    </row>
    <row r="43" spans="1:34" s="132" customFormat="1" ht="15" customHeight="1" thickBot="1" x14ac:dyDescent="0.3">
      <c r="A43" s="62" t="s">
        <v>1</v>
      </c>
      <c r="B43" s="62" t="s">
        <v>93</v>
      </c>
      <c r="C43" s="62" t="s">
        <v>248</v>
      </c>
      <c r="D43" s="42" t="s">
        <v>92</v>
      </c>
      <c r="E43" s="42" t="s">
        <v>256</v>
      </c>
      <c r="F43" s="201">
        <v>1.5</v>
      </c>
      <c r="G43" s="153">
        <f>IFERROR(VLOOKUP($A$3:$A$136,'APR-2026'!$A$4:$ABX$112,MATCH('FY-(26-27)Q1'!$G$2:$H$2,'APR-2026'!$A$2:$BY$2,0),0),0)</f>
        <v>354500</v>
      </c>
      <c r="H43" s="155">
        <f>IFERROR(VLOOKUP($A$3:$A$136,'APR-2026'!$A$4:$ABX$112,MATCH('FY-(26-27)Q1'!$G$2:$H$2,'APR-2026'!$A$2:$BY$2,0),0),0)</f>
        <v>2.3633333333333337</v>
      </c>
      <c r="I43" s="153">
        <f>IFERROR(VLOOKUP($A$3:$A$136,'MAY-2026'!$A$4:$ACP$113,MATCH('FY-(26-27)Q1'!$I$2:$J$2,'MAY-2026'!$A$2:$CQ$2,0),0),0)</f>
        <v>-16090</v>
      </c>
      <c r="J43" s="155">
        <f>IFERROR(VLOOKUP($A$3:$A$136,'MAY-2026'!$A$4:$ACP$113,MATCH('FY-(26-27)Q1'!$I$2:$J$2,'MAY-2026'!$A$2:$CQ$2,0),0),0)</f>
        <v>-0.10726666666666665</v>
      </c>
      <c r="K43" s="153">
        <f>IFERROR(VLOOKUP($A$3:$A$136,'JUNE-2026'!$A$4:$ADJ$113,MATCH('FY-(26-27)Q1'!$K$2:$L$2,'JUNE-2026'!$A$2:$DK$2,0),0),0)</f>
        <v>111580</v>
      </c>
      <c r="L43" s="155">
        <f>IFERROR(VLOOKUP($A$3:$A$136,'JUNE-2026'!$A$4:$ADJ$113,MATCH('FY-(26-27)Q1'!$K$2:$L$2,'JUNE-2026'!$A$2:$DK$2,0),0),0)</f>
        <v>0.74386666666666668</v>
      </c>
      <c r="M43" s="71">
        <f t="shared" si="22"/>
        <v>449990</v>
      </c>
      <c r="N43" s="166">
        <f t="shared" si="22"/>
        <v>2.9999333333333338</v>
      </c>
      <c r="O43" s="215"/>
      <c r="P43" s="153">
        <f>IFERROR(VLOOKUP($A$3:$A$136,'FY-(26-27)Q2'!$A$4:$ABW$120,MATCH('FY-(26-27)Q1'!$P$2:$Q$2,'FY-(26-27)Q2'!$A$2:$BX$2,0),0),0)</f>
        <v>183664</v>
      </c>
      <c r="Q43" s="155">
        <f>IFERROR(VLOOKUP($A$3:$A$136,'FY-(26-27)Q2'!$A$4:$ABW$120,MATCH('FY-(26-27)Q1'!$P$2:$Q$2,'FY-(26-27)Q2'!$A$2:$BX$2,0),0),0)</f>
        <v>1.2244266666666666</v>
      </c>
      <c r="R43" s="159"/>
      <c r="S43" s="88">
        <f>IFERROR(VLOOKUP($A$4:$A$71,#REF!,MATCH('FY-(26-27)Q1'!$S$2:$T$2,#REF!,0),0),0)</f>
        <v>0</v>
      </c>
      <c r="T43" s="88">
        <f>IFERROR(VLOOKUP($A$4:$A$71,#REF!,MATCH('FY-(26-27)Q1'!$S$2:$T$2,#REF!,0),0),0)</f>
        <v>0</v>
      </c>
      <c r="U43" s="218"/>
      <c r="V43" s="73"/>
      <c r="W43" s="72"/>
      <c r="X43"/>
      <c r="Y43" s="154">
        <f t="shared" si="18"/>
        <v>633654</v>
      </c>
      <c r="Z43" s="168">
        <f t="shared" si="19"/>
        <v>4.2243600000000008</v>
      </c>
    </row>
    <row r="44" spans="1:34" ht="15" customHeight="1" x14ac:dyDescent="0.25">
      <c r="A44" s="35" t="s">
        <v>65</v>
      </c>
      <c r="B44" s="34" t="s">
        <v>64</v>
      </c>
      <c r="C44" s="34" t="s">
        <v>7</v>
      </c>
      <c r="D44" s="141" t="s">
        <v>64</v>
      </c>
      <c r="E44" s="37" t="s">
        <v>256</v>
      </c>
      <c r="F44" s="116">
        <v>5</v>
      </c>
      <c r="G44" s="153">
        <f>IFERROR(VLOOKUP($A$3:$A$136,'APR-2026'!$A$4:$ABX$112,MATCH('FY-(26-27)Q1'!$G$2:$H$2,'APR-2026'!$A$2:$BY$2,0),0),0)</f>
        <v>213967</v>
      </c>
      <c r="H44" s="155">
        <f>IFERROR(VLOOKUP($A$3:$A$136,'APR-2026'!$A$4:$ABX$112,MATCH('FY-(26-27)Q1'!$G$2:$H$2,'APR-2026'!$A$2:$BY$2,0),0),0)</f>
        <v>0.42793399999999998</v>
      </c>
      <c r="I44" s="153">
        <f>IFERROR(VLOOKUP($A$3:$A$136,'MAY-2026'!$A$4:$ACP$113,MATCH('FY-(26-27)Q1'!$I$2:$J$2,'MAY-2026'!$A$2:$CQ$2,0),0),0)</f>
        <v>844228</v>
      </c>
      <c r="J44" s="155">
        <f>IFERROR(VLOOKUP($A$3:$A$136,'MAY-2026'!$A$4:$ACP$113,MATCH('FY-(26-27)Q1'!$I$2:$J$2,'MAY-2026'!$A$2:$CQ$2,0),0),0)</f>
        <v>1.688456</v>
      </c>
      <c r="K44" s="153">
        <f>IFERROR(VLOOKUP($A$3:$A$136,'JUNE-2026'!$A$4:$ADJ$113,MATCH('FY-(26-27)Q1'!$K$2:$L$2,'JUNE-2026'!$A$2:$DK$2,0),0),0)</f>
        <v>159123</v>
      </c>
      <c r="L44" s="155">
        <f>IFERROR(VLOOKUP($A$3:$A$136,'JUNE-2026'!$A$4:$ADJ$113,MATCH('FY-(26-27)Q1'!$K$2:$L$2,'JUNE-2026'!$A$2:$DK$2,0),0),0)</f>
        <v>0.31824599999999997</v>
      </c>
      <c r="M44" s="71">
        <f t="shared" si="2"/>
        <v>1217318</v>
      </c>
      <c r="N44" s="166">
        <f t="shared" si="3"/>
        <v>2.4346359999999998</v>
      </c>
      <c r="O44" s="215"/>
      <c r="P44" s="153">
        <f>IFERROR(VLOOKUP($A$3:$A$136,'FY-(26-27)Q2'!$A$4:$ABW$120,MATCH('FY-(26-27)Q1'!$P$2:$Q$2,'FY-(26-27)Q2'!$A$2:$BX$2,0),0),0)</f>
        <v>719285</v>
      </c>
      <c r="Q44" s="155">
        <f>IFERROR(VLOOKUP($A$3:$A$136,'FY-(26-27)Q2'!$A$4:$ABW$120,MATCH('FY-(26-27)Q1'!$P$2:$Q$2,'FY-(26-27)Q2'!$A$2:$BX$2,0),0),0)</f>
        <v>1.4385699999999999</v>
      </c>
      <c r="R44" s="159"/>
      <c r="S44" s="88">
        <f>IFERROR(VLOOKUP($A$4:$A$71,#REF!,MATCH('FY-(26-27)Q1'!$S$2:$T$2,#REF!,0),0),0)</f>
        <v>0</v>
      </c>
      <c r="T44" s="124">
        <f>IFERROR(VLOOKUP($A$4:$A$71,#REF!,MATCH('FY-(26-27)Q1'!$S$2:$T$2,#REF!,0),0),0)</f>
        <v>0</v>
      </c>
      <c r="U44" s="159"/>
      <c r="V44" s="45"/>
      <c r="W44" s="72"/>
      <c r="Y44" s="154">
        <f t="shared" si="18"/>
        <v>1936603</v>
      </c>
      <c r="Z44" s="168">
        <f t="shared" si="19"/>
        <v>3.8732059999999997</v>
      </c>
    </row>
    <row r="45" spans="1:34" ht="15" customHeight="1" x14ac:dyDescent="0.25">
      <c r="A45" s="34" t="s">
        <v>34</v>
      </c>
      <c r="B45" s="36" t="s">
        <v>18</v>
      </c>
      <c r="C45" s="34" t="s">
        <v>10</v>
      </c>
      <c r="D45" s="143" t="s">
        <v>18</v>
      </c>
      <c r="E45" s="37" t="s">
        <v>256</v>
      </c>
      <c r="F45" s="118">
        <v>5</v>
      </c>
      <c r="G45" s="153">
        <f>IFERROR(VLOOKUP($A$3:$A$136,'APR-2026'!$A$4:$ABX$112,MATCH('FY-(26-27)Q1'!$G$2:$H$2,'APR-2026'!$A$2:$BY$2,0),0),0)</f>
        <v>668954</v>
      </c>
      <c r="H45" s="155">
        <f>IFERROR(VLOOKUP($A$3:$A$136,'APR-2026'!$A$4:$ABX$112,MATCH('FY-(26-27)Q1'!$G$2:$H$2,'APR-2026'!$A$2:$BY$2,0),0),0)</f>
        <v>1.3379079999999999</v>
      </c>
      <c r="I45" s="153">
        <f>IFERROR(VLOOKUP($A$3:$A$136,'MAY-2026'!$A$4:$ACP$113,MATCH('FY-(26-27)Q1'!$I$2:$J$2,'MAY-2026'!$A$2:$CQ$2,0),0),0)</f>
        <v>-630839</v>
      </c>
      <c r="J45" s="155">
        <f>IFERROR(VLOOKUP($A$3:$A$136,'MAY-2026'!$A$4:$ACP$113,MATCH('FY-(26-27)Q1'!$I$2:$J$2,'MAY-2026'!$A$2:$CQ$2,0),0),0)</f>
        <v>-1.2616780000000001</v>
      </c>
      <c r="K45" s="153">
        <f>IFERROR(VLOOKUP($A$3:$A$136,'JUNE-2026'!$A$4:$ADJ$113,MATCH('FY-(26-27)Q1'!$K$2:$L$2,'JUNE-2026'!$A$2:$DK$2,0),0),0)</f>
        <v>-85853</v>
      </c>
      <c r="L45" s="155">
        <f>IFERROR(VLOOKUP($A$3:$A$136,'JUNE-2026'!$A$4:$ADJ$113,MATCH('FY-(26-27)Q1'!$K$2:$L$2,'JUNE-2026'!$A$2:$DK$2,0),0),0)</f>
        <v>-0.17170599999999997</v>
      </c>
      <c r="M45" s="71">
        <f t="shared" si="2"/>
        <v>-47738</v>
      </c>
      <c r="N45" s="166">
        <f t="shared" si="3"/>
        <v>-9.5476000000000172E-2</v>
      </c>
      <c r="O45" s="215"/>
      <c r="P45" s="153">
        <f>IFERROR(VLOOKUP($A$3:$A$136,'FY-(26-27)Q2'!$A$4:$ABW$120,MATCH('FY-(26-27)Q1'!$P$2:$Q$2,'FY-(26-27)Q2'!$A$2:$BX$2,0),0),0)</f>
        <v>335307</v>
      </c>
      <c r="Q45" s="155">
        <f>IFERROR(VLOOKUP($A$3:$A$136,'FY-(26-27)Q2'!$A$4:$ABW$120,MATCH('FY-(26-27)Q1'!$P$2:$Q$2,'FY-(26-27)Q2'!$A$2:$BX$2,0),0),0)</f>
        <v>0.67061399999999993</v>
      </c>
      <c r="R45" s="159"/>
      <c r="S45" s="88">
        <f>IFERROR(VLOOKUP($A$4:$A$71,#REF!,MATCH('FY-(26-27)Q1'!$S$2:$T$2,#REF!,0),0),0)</f>
        <v>0</v>
      </c>
      <c r="T45" s="124">
        <f>IFERROR(VLOOKUP($A$4:$A$71,#REF!,MATCH('FY-(26-27)Q1'!$S$2:$T$2,#REF!,0),0),0)</f>
        <v>0</v>
      </c>
      <c r="U45" s="159"/>
      <c r="V45" s="45"/>
      <c r="W45" s="72"/>
      <c r="X45" s="1"/>
      <c r="Y45" s="154">
        <f t="shared" si="18"/>
        <v>287569</v>
      </c>
      <c r="Z45" s="168">
        <f t="shared" si="19"/>
        <v>0.57513799999999971</v>
      </c>
      <c r="AA45" s="1"/>
    </row>
    <row r="46" spans="1:34" ht="15" customHeight="1" x14ac:dyDescent="0.25">
      <c r="A46" s="34" t="s">
        <v>131</v>
      </c>
      <c r="B46" s="36" t="s">
        <v>130</v>
      </c>
      <c r="C46" s="34" t="s">
        <v>16</v>
      </c>
      <c r="D46" s="142" t="s">
        <v>262</v>
      </c>
      <c r="E46" s="37" t="s">
        <v>256</v>
      </c>
      <c r="F46" s="118">
        <v>0.5</v>
      </c>
      <c r="G46" s="153">
        <f>IFERROR(VLOOKUP($A$3:$A$136,'APR-2026'!$A$4:$ABX$112,MATCH('FY-(26-27)Q1'!$G$2:$H$2,'APR-2026'!$A$2:$BY$2,0),0),0)</f>
        <v>47009</v>
      </c>
      <c r="H46" s="155">
        <f>IFERROR(VLOOKUP($A$3:$A$136,'APR-2026'!$A$4:$ABX$112,MATCH('FY-(26-27)Q1'!$G$2:$H$2,'APR-2026'!$A$2:$BY$2,0),0),0)</f>
        <v>0.94018000000000002</v>
      </c>
      <c r="I46" s="153">
        <f>IFERROR(VLOOKUP($A$3:$A$136,'MAY-2026'!$A$4:$ACP$113,MATCH('FY-(26-27)Q1'!$I$2:$J$2,'MAY-2026'!$A$2:$CQ$2,0),0),0)</f>
        <v>-22476</v>
      </c>
      <c r="J46" s="155">
        <f>IFERROR(VLOOKUP($A$3:$A$136,'MAY-2026'!$A$4:$ACP$113,MATCH('FY-(26-27)Q1'!$I$2:$J$2,'MAY-2026'!$A$2:$CQ$2,0),0),0)</f>
        <v>-0.44951999999999998</v>
      </c>
      <c r="K46" s="153">
        <f>IFERROR(VLOOKUP($A$3:$A$136,'JUNE-2026'!$A$4:$ADJ$113,MATCH('FY-(26-27)Q1'!$K$2:$L$2,'JUNE-2026'!$A$2:$DK$2,0),0),0)</f>
        <v>92362</v>
      </c>
      <c r="L46" s="155">
        <f>IFERROR(VLOOKUP($A$3:$A$136,'JUNE-2026'!$A$4:$ADJ$113,MATCH('FY-(26-27)Q1'!$K$2:$L$2,'JUNE-2026'!$A$2:$DK$2,0),0),0)</f>
        <v>1.84724</v>
      </c>
      <c r="M46" s="71">
        <f t="shared" si="2"/>
        <v>116895</v>
      </c>
      <c r="N46" s="166">
        <f t="shared" si="3"/>
        <v>2.3378999999999999</v>
      </c>
      <c r="O46" s="215"/>
      <c r="P46" s="153">
        <f>IFERROR(VLOOKUP($A$3:$A$136,'FY-(26-27)Q2'!$A$4:$ABW$120,MATCH('FY-(26-27)Q1'!$P$2:$Q$2,'FY-(26-27)Q2'!$A$2:$BX$2,0),0),0)</f>
        <v>-31238</v>
      </c>
      <c r="Q46" s="155">
        <f>IFERROR(VLOOKUP($A$3:$A$136,'FY-(26-27)Q2'!$A$4:$ABW$120,MATCH('FY-(26-27)Q1'!$P$2:$Q$2,'FY-(26-27)Q2'!$A$2:$BX$2,0),0),0)</f>
        <v>-0.62475999999999998</v>
      </c>
      <c r="R46" s="159"/>
      <c r="S46" s="88">
        <f>IFERROR(VLOOKUP($A$4:$A$71,#REF!,MATCH('FY-(26-27)Q1'!$S$2:$T$2,#REF!,0),0),0)</f>
        <v>0</v>
      </c>
      <c r="T46" s="124">
        <f>IFERROR(VLOOKUP($A$4:$A$71,#REF!,MATCH('FY-(26-27)Q1'!$S$2:$T$2,#REF!,0),0),0)</f>
        <v>0</v>
      </c>
      <c r="U46" s="159"/>
      <c r="V46" s="45"/>
      <c r="W46" s="72"/>
      <c r="Y46" s="154">
        <f t="shared" si="18"/>
        <v>85657</v>
      </c>
      <c r="Z46" s="168">
        <f t="shared" si="19"/>
        <v>1.7131399999999999</v>
      </c>
      <c r="AD46" s="1"/>
      <c r="AE46" s="1"/>
      <c r="AF46" s="1"/>
      <c r="AG46" s="1"/>
      <c r="AH46" s="1"/>
    </row>
    <row r="47" spans="1:34" ht="15" customHeight="1" x14ac:dyDescent="0.25">
      <c r="A47" s="36" t="s">
        <v>26</v>
      </c>
      <c r="B47" s="34" t="s">
        <v>75</v>
      </c>
      <c r="C47" s="34" t="s">
        <v>15</v>
      </c>
      <c r="D47" s="39" t="s">
        <v>40</v>
      </c>
      <c r="E47" s="39" t="s">
        <v>256</v>
      </c>
      <c r="F47" s="117">
        <v>0.6</v>
      </c>
      <c r="G47" s="153">
        <f>IFERROR(VLOOKUP($A$3:$A$136,'APR-2026'!$A$4:$ABX$112,MATCH('FY-(26-27)Q1'!$G$2:$H$2,'APR-2026'!$A$2:$BY$2,0),0),0)</f>
        <v>3832</v>
      </c>
      <c r="H47" s="155">
        <f>IFERROR(VLOOKUP($A$3:$A$136,'APR-2026'!$A$4:$ABX$112,MATCH('FY-(26-27)Q1'!$G$2:$H$2,'APR-2026'!$A$2:$BY$2,0),0),0)</f>
        <v>6.3866666666666669E-2</v>
      </c>
      <c r="I47" s="153">
        <f>IFERROR(VLOOKUP($A$3:$A$136,'MAY-2026'!$A$4:$ACP$113,MATCH('FY-(26-27)Q1'!$I$2:$J$2,'MAY-2026'!$A$2:$CQ$2,0),0),0)</f>
        <v>56826</v>
      </c>
      <c r="J47" s="155">
        <f>IFERROR(VLOOKUP($A$3:$A$136,'MAY-2026'!$A$4:$ACP$113,MATCH('FY-(26-27)Q1'!$I$2:$J$2,'MAY-2026'!$A$2:$CQ$2,0),0),0)</f>
        <v>0.94710000000000005</v>
      </c>
      <c r="K47" s="153">
        <f>IFERROR(VLOOKUP($A$3:$A$136,'JUNE-2026'!$A$4:$ADJ$113,MATCH('FY-(26-27)Q1'!$K$2:$L$2,'JUNE-2026'!$A$2:$DK$2,0),0),0)</f>
        <v>0</v>
      </c>
      <c r="L47" s="155">
        <f>IFERROR(VLOOKUP($A$3:$A$136,'JUNE-2026'!$A$4:$ADJ$113,MATCH('FY-(26-27)Q1'!$K$2:$L$2,'JUNE-2026'!$A$2:$DK$2,0),0),0)</f>
        <v>0</v>
      </c>
      <c r="M47" s="71">
        <f t="shared" si="2"/>
        <v>60658</v>
      </c>
      <c r="N47" s="166">
        <f t="shared" si="3"/>
        <v>1.0109666666666668</v>
      </c>
      <c r="O47" s="215"/>
      <c r="P47" s="153">
        <f>IFERROR(VLOOKUP($A$3:$A$136,'FY-(26-27)Q2'!$A$4:$ABW$120,MATCH('FY-(26-27)Q1'!$P$2:$Q$2,'FY-(26-27)Q2'!$A$2:$BX$2,0),0),0)</f>
        <v>0</v>
      </c>
      <c r="Q47" s="155">
        <f>IFERROR(VLOOKUP($A$3:$A$136,'FY-(26-27)Q2'!$A$4:$ABW$120,MATCH('FY-(26-27)Q1'!$P$2:$Q$2,'FY-(26-27)Q2'!$A$2:$BX$2,0),0),0)</f>
        <v>0</v>
      </c>
      <c r="R47" s="159"/>
      <c r="S47" s="88">
        <f>IFERROR(VLOOKUP($A$4:$A$71,#REF!,MATCH('FY-(26-27)Q1'!$S$2:$T$2,#REF!,0),0),0)</f>
        <v>0</v>
      </c>
      <c r="T47" s="124">
        <f>IFERROR(VLOOKUP($A$4:$A$71,#REF!,MATCH('FY-(26-27)Q1'!$S$2:$T$2,#REF!,0),0),0)</f>
        <v>0</v>
      </c>
      <c r="U47" s="159"/>
      <c r="V47" s="45"/>
      <c r="W47" s="72"/>
      <c r="X47" s="1"/>
      <c r="Y47" s="154">
        <f t="shared" si="18"/>
        <v>60658</v>
      </c>
      <c r="Z47" s="168">
        <f t="shared" si="19"/>
        <v>1.0109666666666668</v>
      </c>
      <c r="AA47" s="1"/>
    </row>
    <row r="48" spans="1:34" s="1" customFormat="1" ht="15" customHeight="1" x14ac:dyDescent="0.25">
      <c r="A48" s="43" t="s">
        <v>67</v>
      </c>
      <c r="B48" s="34" t="s">
        <v>76</v>
      </c>
      <c r="C48" s="34" t="s">
        <v>60</v>
      </c>
      <c r="D48" s="37" t="s">
        <v>4</v>
      </c>
      <c r="E48" s="37" t="s">
        <v>256</v>
      </c>
      <c r="F48" s="116">
        <v>0.4</v>
      </c>
      <c r="G48" s="153">
        <f>IFERROR(VLOOKUP($A$3:$A$136,'APR-2026'!$A$4:$ABX$112,MATCH('FY-(26-27)Q1'!$G$2:$H$2,'APR-2026'!$A$2:$BY$2,0),0),0)</f>
        <v>104032</v>
      </c>
      <c r="H48" s="155">
        <f>IFERROR(VLOOKUP($A$3:$A$136,'APR-2026'!$A$4:$ABX$112,MATCH('FY-(26-27)Q1'!$G$2:$H$2,'APR-2026'!$A$2:$BY$2,0),0),0)</f>
        <v>2.6008</v>
      </c>
      <c r="I48" s="153">
        <f>IFERROR(VLOOKUP($A$3:$A$136,'MAY-2026'!$A$4:$ACP$113,MATCH('FY-(26-27)Q1'!$I$2:$J$2,'MAY-2026'!$A$2:$CQ$2,0),0),0)</f>
        <v>-9232</v>
      </c>
      <c r="J48" s="155">
        <f>IFERROR(VLOOKUP($A$3:$A$136,'MAY-2026'!$A$4:$ACP$113,MATCH('FY-(26-27)Q1'!$I$2:$J$2,'MAY-2026'!$A$2:$CQ$2,0),0),0)</f>
        <v>-0.23080000000000001</v>
      </c>
      <c r="K48" s="153">
        <f>IFERROR(VLOOKUP($A$3:$A$136,'JUNE-2026'!$A$4:$ADJ$113,MATCH('FY-(26-27)Q1'!$K$2:$L$2,'JUNE-2026'!$A$2:$DK$2,0),0),0)</f>
        <v>-106628</v>
      </c>
      <c r="L48" s="155">
        <f>IFERROR(VLOOKUP($A$3:$A$136,'JUNE-2026'!$A$4:$ADJ$113,MATCH('FY-(26-27)Q1'!$K$2:$L$2,'JUNE-2026'!$A$2:$DK$2,0),0),0)</f>
        <v>-2.6657000000000002</v>
      </c>
      <c r="M48" s="71">
        <f t="shared" si="2"/>
        <v>-11828</v>
      </c>
      <c r="N48" s="166">
        <f t="shared" si="3"/>
        <v>-0.29570000000000007</v>
      </c>
      <c r="O48" s="215"/>
      <c r="P48" s="153">
        <f>IFERROR(VLOOKUP($A$3:$A$136,'FY-(26-27)Q2'!$A$4:$ABW$120,MATCH('FY-(26-27)Q1'!$P$2:$Q$2,'FY-(26-27)Q2'!$A$2:$BX$2,0),0),0)</f>
        <v>-135077</v>
      </c>
      <c r="Q48" s="155">
        <f>IFERROR(VLOOKUP($A$3:$A$136,'FY-(26-27)Q2'!$A$4:$ABW$120,MATCH('FY-(26-27)Q1'!$P$2:$Q$2,'FY-(26-27)Q2'!$A$2:$BX$2,0),0),0)</f>
        <v>-3.376925</v>
      </c>
      <c r="R48" s="159"/>
      <c r="S48" s="88">
        <f>IFERROR(VLOOKUP($A$4:$A$71,#REF!,MATCH('FY-(26-27)Q1'!$S$2:$T$2,#REF!,0),0),0)</f>
        <v>0</v>
      </c>
      <c r="T48" s="124">
        <f>IFERROR(VLOOKUP($A$4:$A$71,#REF!,MATCH('FY-(26-27)Q1'!$S$2:$T$2,#REF!,0),0),0)</f>
        <v>0</v>
      </c>
      <c r="U48" s="159"/>
      <c r="V48" s="45"/>
      <c r="W48" s="72"/>
      <c r="Y48" s="154">
        <f t="shared" si="18"/>
        <v>-146905</v>
      </c>
      <c r="Z48" s="168">
        <f t="shared" si="19"/>
        <v>-3.672625</v>
      </c>
      <c r="AD48"/>
      <c r="AE48"/>
      <c r="AF48"/>
      <c r="AG48"/>
      <c r="AH48"/>
    </row>
    <row r="49" spans="1:34" s="1" customFormat="1" ht="15" customHeight="1" x14ac:dyDescent="0.25">
      <c r="A49" s="43" t="s">
        <v>143</v>
      </c>
      <c r="B49" s="34" t="s">
        <v>19</v>
      </c>
      <c r="C49" s="35" t="s">
        <v>232</v>
      </c>
      <c r="D49" s="35" t="s">
        <v>142</v>
      </c>
      <c r="E49" s="142" t="s">
        <v>107</v>
      </c>
      <c r="F49" s="116">
        <v>0.5</v>
      </c>
      <c r="G49" s="153">
        <f>IFERROR(VLOOKUP($A$3:$A$136,'APR-2026'!$A$4:$ABX$112,MATCH('FY-(26-27)Q1'!$G$2:$H$2,'APR-2026'!$A$2:$BY$2,0),0),0)</f>
        <v>77627</v>
      </c>
      <c r="H49" s="155">
        <f>IFERROR(VLOOKUP($A$3:$A$136,'APR-2026'!$A$4:$ABX$112,MATCH('FY-(26-27)Q1'!$G$2:$H$2,'APR-2026'!$A$2:$BY$2,0),0),0)</f>
        <v>1.55254</v>
      </c>
      <c r="I49" s="153">
        <f>IFERROR(VLOOKUP($A$3:$A$136,'MAY-2026'!$A$4:$ACP$113,MATCH('FY-(26-27)Q1'!$I$2:$J$2,'MAY-2026'!$A$2:$CQ$2,0),0),0)</f>
        <v>-318673</v>
      </c>
      <c r="J49" s="155">
        <f>IFERROR(VLOOKUP($A$3:$A$136,'MAY-2026'!$A$4:$ACP$113,MATCH('FY-(26-27)Q1'!$I$2:$J$2,'MAY-2026'!$A$2:$CQ$2,0),0),0)</f>
        <v>-6.3734599999999997</v>
      </c>
      <c r="K49" s="153">
        <f>IFERROR(VLOOKUP($A$3:$A$136,'JUNE-2026'!$A$4:$ADJ$113,MATCH('FY-(26-27)Q1'!$K$2:$L$2,'JUNE-2026'!$A$2:$DK$2,0),0),0)</f>
        <v>193584</v>
      </c>
      <c r="L49" s="155">
        <f>IFERROR(VLOOKUP($A$3:$A$136,'JUNE-2026'!$A$4:$ADJ$113,MATCH('FY-(26-27)Q1'!$K$2:$L$2,'JUNE-2026'!$A$2:$DK$2,0),0),0)</f>
        <v>3.87168</v>
      </c>
      <c r="M49" s="71">
        <f t="shared" si="2"/>
        <v>-47462</v>
      </c>
      <c r="N49" s="166">
        <f t="shared" si="3"/>
        <v>-0.9492399999999992</v>
      </c>
      <c r="O49" s="215"/>
      <c r="P49" s="153">
        <f>IFERROR(VLOOKUP($A$3:$A$136,'FY-(26-27)Q2'!$A$4:$ABW$120,MATCH('FY-(26-27)Q1'!$P$2:$Q$2,'FY-(26-27)Q2'!$A$2:$BX$2,0),0),0)</f>
        <v>-215150</v>
      </c>
      <c r="Q49" s="155">
        <f>IFERROR(VLOOKUP($A$3:$A$136,'FY-(26-27)Q2'!$A$4:$ABW$120,MATCH('FY-(26-27)Q1'!$P$2:$Q$2,'FY-(26-27)Q2'!$A$2:$BX$2,0),0),0)</f>
        <v>-4.3029999999999999</v>
      </c>
      <c r="R49" s="159"/>
      <c r="S49" s="88">
        <f>IFERROR(VLOOKUP($A$4:$A$71,#REF!,MATCH('FY-(26-27)Q1'!$S$2:$T$2,#REF!,0),0),0)</f>
        <v>0</v>
      </c>
      <c r="T49" s="124">
        <f>IFERROR(VLOOKUP($A$4:$A$71,#REF!,MATCH('FY-(26-27)Q1'!$S$2:$T$2,#REF!,0),0),0)</f>
        <v>0</v>
      </c>
      <c r="U49" s="159"/>
      <c r="V49" s="45"/>
      <c r="W49" s="72"/>
      <c r="X49"/>
      <c r="Y49" s="154">
        <f t="shared" si="18"/>
        <v>-262612</v>
      </c>
      <c r="Z49" s="168">
        <f t="shared" si="19"/>
        <v>-5.2522399999999987</v>
      </c>
      <c r="AA49"/>
    </row>
    <row r="50" spans="1:34" ht="15" customHeight="1" x14ac:dyDescent="0.25">
      <c r="A50" s="43" t="s">
        <v>144</v>
      </c>
      <c r="B50" s="34" t="s">
        <v>19</v>
      </c>
      <c r="C50" s="35" t="s">
        <v>232</v>
      </c>
      <c r="D50" s="35" t="s">
        <v>145</v>
      </c>
      <c r="E50" s="142" t="s">
        <v>256</v>
      </c>
      <c r="F50" s="116">
        <v>0.5</v>
      </c>
      <c r="G50" s="153">
        <f>IFERROR(VLOOKUP($A$3:$A$136,'APR-2026'!$A$4:$ABX$112,MATCH('FY-(26-27)Q1'!$G$2:$H$2,'APR-2026'!$A$2:$BY$2,0),0),0)</f>
        <v>43500</v>
      </c>
      <c r="H50" s="155">
        <f>IFERROR(VLOOKUP($A$3:$A$136,'APR-2026'!$A$4:$ABX$112,MATCH('FY-(26-27)Q1'!$G$2:$H$2,'APR-2026'!$A$2:$BY$2,0),0),0)</f>
        <v>0.87</v>
      </c>
      <c r="I50" s="153">
        <f>IFERROR(VLOOKUP($A$3:$A$136,'MAY-2026'!$A$4:$ACP$113,MATCH('FY-(26-27)Q1'!$I$2:$J$2,'MAY-2026'!$A$2:$CQ$2,0),0),0)</f>
        <v>-206560</v>
      </c>
      <c r="J50" s="155">
        <f>IFERROR(VLOOKUP($A$3:$A$136,'MAY-2026'!$A$4:$ACP$113,MATCH('FY-(26-27)Q1'!$I$2:$J$2,'MAY-2026'!$A$2:$CQ$2,0),0),0)</f>
        <v>-4.1311999999999998</v>
      </c>
      <c r="K50" s="153">
        <f>IFERROR(VLOOKUP($A$3:$A$136,'JUNE-2026'!$A$4:$ADJ$113,MATCH('FY-(26-27)Q1'!$K$2:$L$2,'JUNE-2026'!$A$2:$DK$2,0),0),0)</f>
        <v>-172401</v>
      </c>
      <c r="L50" s="155">
        <f>IFERROR(VLOOKUP($A$3:$A$136,'JUNE-2026'!$A$4:$ADJ$113,MATCH('FY-(26-27)Q1'!$K$2:$L$2,'JUNE-2026'!$A$2:$DK$2,0),0),0)</f>
        <v>-3.4480200000000001</v>
      </c>
      <c r="M50" s="71">
        <f t="shared" si="2"/>
        <v>-335461</v>
      </c>
      <c r="N50" s="166">
        <f t="shared" si="3"/>
        <v>-6.7092200000000002</v>
      </c>
      <c r="O50" s="215"/>
      <c r="P50" s="153">
        <f>IFERROR(VLOOKUP($A$3:$A$136,'FY-(26-27)Q2'!$A$4:$ABW$120,MATCH('FY-(26-27)Q1'!$P$2:$Q$2,'FY-(26-27)Q2'!$A$2:$BX$2,0),0),0)</f>
        <v>-64553</v>
      </c>
      <c r="Q50" s="155">
        <f>IFERROR(VLOOKUP($A$3:$A$136,'FY-(26-27)Q2'!$A$4:$ABW$120,MATCH('FY-(26-27)Q1'!$P$2:$Q$2,'FY-(26-27)Q2'!$A$2:$BX$2,0),0),0)</f>
        <v>-1.2910600000000001</v>
      </c>
      <c r="R50" s="159"/>
      <c r="S50" s="88">
        <f>IFERROR(VLOOKUP($A$4:$A$71,#REF!,MATCH('FY-(26-27)Q1'!$S$2:$T$2,#REF!,0),0),0)</f>
        <v>0</v>
      </c>
      <c r="T50" s="124">
        <f>IFERROR(VLOOKUP($A$4:$A$71,#REF!,MATCH('FY-(26-27)Q1'!$S$2:$T$2,#REF!,0),0),0)</f>
        <v>0</v>
      </c>
      <c r="U50" s="159"/>
      <c r="V50" s="45"/>
      <c r="W50" s="72"/>
      <c r="Y50" s="154">
        <f t="shared" si="18"/>
        <v>-400014</v>
      </c>
      <c r="Z50" s="168">
        <f t="shared" si="19"/>
        <v>-8.0002800000000001</v>
      </c>
      <c r="AD50" s="1"/>
      <c r="AE50" s="1"/>
      <c r="AF50" s="1"/>
      <c r="AG50" s="1"/>
      <c r="AH50" s="1"/>
    </row>
    <row r="51" spans="1:34" ht="15" customHeight="1" x14ac:dyDescent="0.25">
      <c r="A51" s="35" t="s">
        <v>31</v>
      </c>
      <c r="B51" s="36" t="s">
        <v>153</v>
      </c>
      <c r="C51" s="35" t="s">
        <v>222</v>
      </c>
      <c r="D51" s="142" t="s">
        <v>263</v>
      </c>
      <c r="E51" s="40" t="s">
        <v>256</v>
      </c>
      <c r="F51" s="116">
        <v>4</v>
      </c>
      <c r="G51" s="153">
        <f>IFERROR(VLOOKUP($A$3:$A$136,'APR-2026'!$A$4:$ABX$112,MATCH('FY-(26-27)Q1'!$G$2:$H$2,'APR-2026'!$A$2:$BY$2,0),0),0)</f>
        <v>134591</v>
      </c>
      <c r="H51" s="155">
        <f>IFERROR(VLOOKUP($A$3:$A$136,'APR-2026'!$A$4:$ABX$112,MATCH('FY-(26-27)Q1'!$G$2:$H$2,'APR-2026'!$A$2:$BY$2,0),0),0)</f>
        <v>0.33647749999999998</v>
      </c>
      <c r="I51" s="153">
        <f>IFERROR(VLOOKUP($A$3:$A$136,'MAY-2026'!$A$4:$ACP$113,MATCH('FY-(26-27)Q1'!$I$2:$J$2,'MAY-2026'!$A$2:$CQ$2,0),0),0)</f>
        <v>-283771</v>
      </c>
      <c r="J51" s="155">
        <f>IFERROR(VLOOKUP($A$3:$A$136,'MAY-2026'!$A$4:$ACP$113,MATCH('FY-(26-27)Q1'!$I$2:$J$2,'MAY-2026'!$A$2:$CQ$2,0),0),0)</f>
        <v>-0.70942749999999999</v>
      </c>
      <c r="K51" s="153">
        <f>IFERROR(VLOOKUP($A$3:$A$136,'JUNE-2026'!$A$4:$ADJ$113,MATCH('FY-(26-27)Q1'!$K$2:$L$2,'JUNE-2026'!$A$2:$DK$2,0),0),0)</f>
        <v>-251119</v>
      </c>
      <c r="L51" s="155">
        <f>IFERROR(VLOOKUP($A$3:$A$136,'JUNE-2026'!$A$4:$ADJ$113,MATCH('FY-(26-27)Q1'!$K$2:$L$2,'JUNE-2026'!$A$2:$DK$2,0),0),0)</f>
        <v>-0.62779750000000001</v>
      </c>
      <c r="M51" s="71">
        <f t="shared" si="2"/>
        <v>-400299</v>
      </c>
      <c r="N51" s="166">
        <f t="shared" si="3"/>
        <v>-1.0007475000000001</v>
      </c>
      <c r="O51" s="215"/>
      <c r="P51" s="153">
        <f>IFERROR(VLOOKUP($A$3:$A$136,'FY-(26-27)Q2'!$A$4:$ABW$120,MATCH('FY-(26-27)Q1'!$P$2:$Q$2,'FY-(26-27)Q2'!$A$2:$BX$2,0),0),0)</f>
        <v>298056</v>
      </c>
      <c r="Q51" s="155">
        <f>IFERROR(VLOOKUP($A$3:$A$136,'FY-(26-27)Q2'!$A$4:$ABW$120,MATCH('FY-(26-27)Q1'!$P$2:$Q$2,'FY-(26-27)Q2'!$A$2:$BX$2,0),0),0)</f>
        <v>0.74514000000000002</v>
      </c>
      <c r="R51" s="159"/>
      <c r="S51" s="88">
        <f>IFERROR(VLOOKUP($A$4:$A$71,#REF!,MATCH('FY-(26-27)Q1'!$S$2:$T$2,#REF!,0),0),0)</f>
        <v>0</v>
      </c>
      <c r="T51" s="124">
        <f>IFERROR(VLOOKUP($A$4:$A$71,#REF!,MATCH('FY-(26-27)Q1'!$S$2:$T$2,#REF!,0),0),0)</f>
        <v>0</v>
      </c>
      <c r="U51" s="159"/>
      <c r="V51" s="45"/>
      <c r="W51" s="72"/>
      <c r="Y51" s="154">
        <f t="shared" si="18"/>
        <v>-102243</v>
      </c>
      <c r="Z51" s="168">
        <f t="shared" si="19"/>
        <v>-0.2556075000000001</v>
      </c>
    </row>
    <row r="52" spans="1:34" ht="15" customHeight="1" x14ac:dyDescent="0.25">
      <c r="A52" s="35" t="s">
        <v>104</v>
      </c>
      <c r="B52" s="36" t="s">
        <v>105</v>
      </c>
      <c r="C52" s="35" t="s">
        <v>57</v>
      </c>
      <c r="D52" s="142" t="s">
        <v>106</v>
      </c>
      <c r="E52" s="40" t="s">
        <v>106</v>
      </c>
      <c r="F52" s="116">
        <v>1</v>
      </c>
      <c r="G52" s="153">
        <f>IFERROR(VLOOKUP($A$3:$A$136,'APR-2026'!$A$4:$ABX$112,MATCH('FY-(26-27)Q1'!$G$2:$H$2,'APR-2026'!$A$2:$BY$2,0),0),0)</f>
        <v>601979</v>
      </c>
      <c r="H52" s="155">
        <f>IFERROR(VLOOKUP($A$3:$A$136,'APR-2026'!$A$4:$ABX$112,MATCH('FY-(26-27)Q1'!$G$2:$H$2,'APR-2026'!$A$2:$BY$2,0),0),0)</f>
        <v>6.0197900000000004</v>
      </c>
      <c r="I52" s="153">
        <f>IFERROR(VLOOKUP($A$3:$A$136,'MAY-2026'!$A$4:$ACP$113,MATCH('FY-(26-27)Q1'!$I$2:$J$2,'MAY-2026'!$A$2:$CQ$2,0),0),0)</f>
        <v>74933</v>
      </c>
      <c r="J52" s="155">
        <f>IFERROR(VLOOKUP($A$3:$A$136,'MAY-2026'!$A$4:$ACP$113,MATCH('FY-(26-27)Q1'!$I$2:$J$2,'MAY-2026'!$A$2:$CQ$2,0),0),0)</f>
        <v>0.74933000000000005</v>
      </c>
      <c r="K52" s="153">
        <f>IFERROR(VLOOKUP($A$3:$A$136,'JUNE-2026'!$A$4:$ADJ$113,MATCH('FY-(26-27)Q1'!$K$2:$L$2,'JUNE-2026'!$A$2:$DK$2,0),0),0)</f>
        <v>68881</v>
      </c>
      <c r="L52" s="155">
        <f>IFERROR(VLOOKUP($A$3:$A$136,'JUNE-2026'!$A$4:$ADJ$113,MATCH('FY-(26-27)Q1'!$K$2:$L$2,'JUNE-2026'!$A$2:$DK$2,0),0),0)</f>
        <v>0.68881000000000003</v>
      </c>
      <c r="M52" s="71">
        <f t="shared" si="2"/>
        <v>745793</v>
      </c>
      <c r="N52" s="166">
        <f t="shared" si="3"/>
        <v>7.4579300000000011</v>
      </c>
      <c r="O52" s="215"/>
      <c r="P52" s="153">
        <f>IFERROR(VLOOKUP($A$3:$A$136,'FY-(26-27)Q2'!$A$4:$ABW$120,MATCH('FY-(26-27)Q1'!$P$2:$Q$2,'FY-(26-27)Q2'!$A$2:$BX$2,0),0),0)</f>
        <v>224915</v>
      </c>
      <c r="Q52" s="155">
        <f>IFERROR(VLOOKUP($A$3:$A$136,'FY-(26-27)Q2'!$A$4:$ABW$120,MATCH('FY-(26-27)Q1'!$P$2:$Q$2,'FY-(26-27)Q2'!$A$2:$BX$2,0),0),0)</f>
        <v>2.2491500000000002</v>
      </c>
      <c r="R52" s="159"/>
      <c r="S52" s="88">
        <f>IFERROR(VLOOKUP($A$4:$A$71,#REF!,MATCH('FY-(26-27)Q1'!$S$2:$T$2,#REF!,0),0),0)</f>
        <v>0</v>
      </c>
      <c r="T52" s="124">
        <f>IFERROR(VLOOKUP($A$4:$A$71,#REF!,MATCH('FY-(26-27)Q1'!$S$2:$T$2,#REF!,0),0),0)</f>
        <v>0</v>
      </c>
      <c r="U52" s="159"/>
      <c r="V52" s="45"/>
      <c r="W52" s="72"/>
      <c r="Y52" s="154">
        <f t="shared" si="18"/>
        <v>970708</v>
      </c>
      <c r="Z52" s="168">
        <f t="shared" si="19"/>
        <v>9.7070800000000013</v>
      </c>
    </row>
    <row r="53" spans="1:34" ht="15" customHeight="1" x14ac:dyDescent="0.25">
      <c r="A53" s="142" t="s">
        <v>229</v>
      </c>
      <c r="B53" s="143" t="s">
        <v>105</v>
      </c>
      <c r="C53" s="142" t="s">
        <v>218</v>
      </c>
      <c r="D53" s="142" t="s">
        <v>269</v>
      </c>
      <c r="E53" s="142" t="s">
        <v>256</v>
      </c>
      <c r="F53" s="156">
        <v>0.5</v>
      </c>
      <c r="G53" s="153">
        <f>IFERROR(VLOOKUP($A$3:$A$136,'APR-2026'!$A$4:$ABX$112,MATCH('FY-(26-27)Q1'!$G$2:$H$2,'APR-2026'!$A$2:$BY$2,0),0),0)</f>
        <v>0</v>
      </c>
      <c r="H53" s="155">
        <f>IFERROR(VLOOKUP($A$3:$A$136,'APR-2026'!$A$4:$ABX$112,MATCH('FY-(26-27)Q1'!$G$2:$H$2,'APR-2026'!$A$2:$BY$2,0),0),0)</f>
        <v>0</v>
      </c>
      <c r="I53" s="153">
        <f>IFERROR(VLOOKUP($A$3:$A$136,'MAY-2026'!$A$4:$ACP$113,MATCH('FY-(26-27)Q1'!$I$2:$J$2,'MAY-2026'!$A$2:$CQ$2,0),0),0)</f>
        <v>-2189</v>
      </c>
      <c r="J53" s="155">
        <f>IFERROR(VLOOKUP($A$3:$A$136,'MAY-2026'!$A$4:$ACP$113,MATCH('FY-(26-27)Q1'!$I$2:$J$2,'MAY-2026'!$A$2:$CQ$2,0),0),0)</f>
        <v>-4.3779999999999999E-2</v>
      </c>
      <c r="K53" s="153">
        <f>IFERROR(VLOOKUP($A$3:$A$136,'JUNE-2026'!$A$4:$ADJ$113,MATCH('FY-(26-27)Q1'!$K$2:$L$2,'JUNE-2026'!$A$2:$DK$2,0),0),0)</f>
        <v>-243589</v>
      </c>
      <c r="L53" s="155">
        <f>IFERROR(VLOOKUP($A$3:$A$136,'JUNE-2026'!$A$4:$ADJ$113,MATCH('FY-(26-27)Q1'!$K$2:$L$2,'JUNE-2026'!$A$2:$DK$2,0),0),0)</f>
        <v>-4.8717800000000002</v>
      </c>
      <c r="M53" s="71">
        <f t="shared" ref="M53" si="23">G53+I53+K53</f>
        <v>-245778</v>
      </c>
      <c r="N53" s="166">
        <f t="shared" ref="N53" si="24">H53+J53+L53</f>
        <v>-4.9155600000000002</v>
      </c>
      <c r="O53" s="215"/>
      <c r="P53" s="153">
        <f>IFERROR(VLOOKUP($A$3:$A$136,'FY-(26-27)Q2'!$A$4:$ABW$120,MATCH('FY-(26-27)Q1'!$P$2:$Q$2,'FY-(26-27)Q2'!$A$2:$BX$2,0),0),0)</f>
        <v>-75385</v>
      </c>
      <c r="Q53" s="155">
        <f>IFERROR(VLOOKUP($A$3:$A$136,'FY-(26-27)Q2'!$A$4:$ABW$120,MATCH('FY-(26-27)Q1'!$P$2:$Q$2,'FY-(26-27)Q2'!$A$2:$BX$2,0),0),0)</f>
        <v>-1.5076999999999998</v>
      </c>
      <c r="R53" s="159"/>
      <c r="S53" s="153">
        <f>IFERROR(VLOOKUP($A$4:$A$71,#REF!,MATCH('FY-(26-27)Q1'!$S$2:$T$2,#REF!,0),0),0)</f>
        <v>0</v>
      </c>
      <c r="T53" s="159">
        <f>IFERROR(VLOOKUP($A$4:$A$71,#REF!,MATCH('FY-(26-27)Q1'!$S$2:$T$2,#REF!,0),0),0)</f>
        <v>0</v>
      </c>
      <c r="U53" s="159"/>
      <c r="V53" s="144"/>
      <c r="W53" s="150"/>
      <c r="X53" s="132"/>
      <c r="Y53" s="154">
        <f t="shared" si="18"/>
        <v>-321163</v>
      </c>
      <c r="Z53" s="168">
        <f t="shared" si="19"/>
        <v>-6.42326</v>
      </c>
      <c r="AA53" s="132"/>
    </row>
    <row r="54" spans="1:34" ht="15" customHeight="1" x14ac:dyDescent="0.25">
      <c r="A54" s="35" t="s">
        <v>45</v>
      </c>
      <c r="B54" s="36" t="s">
        <v>98</v>
      </c>
      <c r="C54" s="35" t="s">
        <v>220</v>
      </c>
      <c r="D54" s="142" t="s">
        <v>265</v>
      </c>
      <c r="E54" s="60" t="s">
        <v>256</v>
      </c>
      <c r="F54" s="116">
        <v>1</v>
      </c>
      <c r="G54" s="153">
        <f>IFERROR(VLOOKUP($A$3:$A$136,'APR-2026'!$A$4:$ABX$112,MATCH('FY-(26-27)Q1'!$G$2:$H$2,'APR-2026'!$A$2:$BY$2,0),0),0)</f>
        <v>-4883324</v>
      </c>
      <c r="H54" s="155">
        <f>IFERROR(VLOOKUP($A$3:$A$136,'APR-2026'!$A$4:$ABX$112,MATCH('FY-(26-27)Q1'!$G$2:$H$2,'APR-2026'!$A$2:$BY$2,0),0),0)</f>
        <v>-16.277746666666669</v>
      </c>
      <c r="I54" s="153">
        <f>IFERROR(VLOOKUP($A$3:$A$136,'MAY-2026'!$A$4:$ACP$113,MATCH('FY-(26-27)Q1'!$I$2:$J$2,'MAY-2026'!$A$2:$CQ$2,0),0),0)</f>
        <v>76551</v>
      </c>
      <c r="J54" s="155">
        <f>IFERROR(VLOOKUP($A$3:$A$136,'MAY-2026'!$A$4:$ACP$113,MATCH('FY-(26-27)Q1'!$I$2:$J$2,'MAY-2026'!$A$2:$CQ$2,0),0),0)</f>
        <v>0.25517000000000001</v>
      </c>
      <c r="K54" s="153">
        <f>IFERROR(VLOOKUP($A$3:$A$136,'JUNE-2026'!$A$4:$ADJ$113,MATCH('FY-(26-27)Q1'!$K$2:$L$2,'JUNE-2026'!$A$2:$DK$2,0),0),0)</f>
        <v>107798</v>
      </c>
      <c r="L54" s="155">
        <f>IFERROR(VLOOKUP($A$3:$A$136,'JUNE-2026'!$A$4:$ADJ$113,MATCH('FY-(26-27)Q1'!$K$2:$L$2,'JUNE-2026'!$A$2:$DK$2,0),0),0)</f>
        <v>0.35932666666666663</v>
      </c>
      <c r="M54" s="71">
        <f t="shared" si="2"/>
        <v>-4698975</v>
      </c>
      <c r="N54" s="166">
        <f t="shared" si="3"/>
        <v>-15.663250000000003</v>
      </c>
      <c r="O54" s="215"/>
      <c r="P54" s="153">
        <f>IFERROR(VLOOKUP($A$3:$A$136,'FY-(26-27)Q2'!$A$4:$ABW$120,MATCH('FY-(26-27)Q1'!$P$2:$Q$2,'FY-(26-27)Q2'!$A$2:$BX$2,0),0),0)</f>
        <v>10809</v>
      </c>
      <c r="Q54" s="155">
        <f>IFERROR(VLOOKUP($A$3:$A$136,'FY-(26-27)Q2'!$A$4:$ABW$120,MATCH('FY-(26-27)Q1'!$P$2:$Q$2,'FY-(26-27)Q2'!$A$2:$BX$2,0),0),0)</f>
        <v>3.6030000000000006E-2</v>
      </c>
      <c r="R54" s="159"/>
      <c r="S54" s="88">
        <f>IFERROR(VLOOKUP($A$4:$A$71,#REF!,MATCH('FY-(26-27)Q1'!$S$2:$T$2,#REF!,0),0),0)</f>
        <v>0</v>
      </c>
      <c r="T54" s="124">
        <f>IFERROR(VLOOKUP($A$4:$A$71,#REF!,MATCH('FY-(26-27)Q1'!$S$2:$T$2,#REF!,0),0),0)</f>
        <v>0</v>
      </c>
      <c r="U54" s="159"/>
      <c r="V54" s="45"/>
      <c r="W54" s="72"/>
      <c r="Y54" s="154">
        <f t="shared" si="18"/>
        <v>-4688166</v>
      </c>
      <c r="Z54" s="168">
        <f t="shared" si="19"/>
        <v>-15.627220000000003</v>
      </c>
      <c r="AB54" s="132"/>
      <c r="AC54" s="132"/>
    </row>
    <row r="55" spans="1:34" ht="15" customHeight="1" x14ac:dyDescent="0.25">
      <c r="A55" s="142" t="s">
        <v>193</v>
      </c>
      <c r="B55" s="143" t="s">
        <v>186</v>
      </c>
      <c r="C55" s="142" t="s">
        <v>221</v>
      </c>
      <c r="D55" s="142" t="s">
        <v>265</v>
      </c>
      <c r="E55" s="142" t="s">
        <v>256</v>
      </c>
      <c r="F55" s="156">
        <v>3</v>
      </c>
      <c r="G55" s="153">
        <f>IFERROR(VLOOKUP($A$3:$A$136,'APR-2026'!$A$4:$ABX$112,MATCH('FY-(26-27)Q1'!$G$2:$H$2,'APR-2026'!$A$2:$BY$2,0),0),0)</f>
        <v>-586367</v>
      </c>
      <c r="H55" s="155">
        <f>IFERROR(VLOOKUP($A$3:$A$136,'APR-2026'!$A$4:$ABX$112,MATCH('FY-(26-27)Q1'!$G$2:$H$2,'APR-2026'!$A$2:$BY$2,0),0),0)</f>
        <v>-1.9545566666666665</v>
      </c>
      <c r="I55" s="153">
        <f>IFERROR(VLOOKUP($A$3:$A$136,'MAY-2026'!$A$4:$ACP$113,MATCH('FY-(26-27)Q1'!$I$2:$J$2,'MAY-2026'!$A$2:$CQ$2,0),0),0)</f>
        <v>152411</v>
      </c>
      <c r="J55" s="155">
        <f>IFERROR(VLOOKUP($A$3:$A$136,'MAY-2026'!$A$4:$ACP$113,MATCH('FY-(26-27)Q1'!$I$2:$J$2,'MAY-2026'!$A$2:$CQ$2,0),0),0)</f>
        <v>0.50803666666666658</v>
      </c>
      <c r="K55" s="153">
        <f>IFERROR(VLOOKUP($A$3:$A$136,'JUNE-2026'!$A$4:$ADJ$113,MATCH('FY-(26-27)Q1'!$K$2:$L$2,'JUNE-2026'!$A$2:$DK$2,0),0),0)</f>
        <v>144510</v>
      </c>
      <c r="L55" s="155">
        <f>IFERROR(VLOOKUP($A$3:$A$136,'JUNE-2026'!$A$4:$ADJ$113,MATCH('FY-(26-27)Q1'!$K$2:$L$2,'JUNE-2026'!$A$2:$DK$2,0),0),0)</f>
        <v>0.48170000000000002</v>
      </c>
      <c r="M55" s="71">
        <f t="shared" ref="M55" si="25">G55+I55+K55</f>
        <v>-289446</v>
      </c>
      <c r="N55" s="166">
        <f t="shared" ref="N55" si="26">H55+J55+L55</f>
        <v>-0.96482000000000001</v>
      </c>
      <c r="O55" s="215"/>
      <c r="P55" s="153">
        <f>IFERROR(VLOOKUP($A$3:$A$136,'FY-(26-27)Q2'!$A$4:$ABW$120,MATCH('FY-(26-27)Q1'!$P$2:$Q$2,'FY-(26-27)Q2'!$A$2:$BX$2,0),0),0)</f>
        <v>-4835</v>
      </c>
      <c r="Q55" s="155">
        <f>IFERROR(VLOOKUP($A$3:$A$136,'FY-(26-27)Q2'!$A$4:$ABW$120,MATCH('FY-(26-27)Q1'!$P$2:$Q$2,'FY-(26-27)Q2'!$A$2:$BX$2,0),0),0)</f>
        <v>-1.6116666666666696E-2</v>
      </c>
      <c r="R55" s="159"/>
      <c r="S55" s="153">
        <f>IFERROR(VLOOKUP($A$4:$A$71,#REF!,MATCH('FY-(26-27)Q1'!$S$2:$T$2,#REF!,0),0),0)</f>
        <v>0</v>
      </c>
      <c r="T55" s="159">
        <f>IFERROR(VLOOKUP($A$4:$A$71,#REF!,MATCH('FY-(26-27)Q1'!$S$2:$T$2,#REF!,0),0),0)</f>
        <v>0</v>
      </c>
      <c r="U55" s="159"/>
      <c r="V55" s="144"/>
      <c r="W55" s="150"/>
      <c r="X55" s="132"/>
      <c r="Y55" s="154">
        <f t="shared" si="18"/>
        <v>-294281</v>
      </c>
      <c r="Z55" s="168">
        <f t="shared" si="19"/>
        <v>-0.98093666666666668</v>
      </c>
    </row>
    <row r="56" spans="1:34" s="1" customFormat="1" ht="15" customHeight="1" x14ac:dyDescent="0.25">
      <c r="A56" s="35" t="s">
        <v>52</v>
      </c>
      <c r="B56" s="36" t="s">
        <v>115</v>
      </c>
      <c r="C56" s="35" t="s">
        <v>219</v>
      </c>
      <c r="D56" s="142" t="s">
        <v>269</v>
      </c>
      <c r="E56" s="37" t="s">
        <v>256</v>
      </c>
      <c r="F56" s="116">
        <v>3</v>
      </c>
      <c r="G56" s="153">
        <f>IFERROR(VLOOKUP($A$3:$A$136,'APR-2026'!$A$4:$ABX$112,MATCH('FY-(26-27)Q1'!$G$2:$H$2,'APR-2026'!$A$2:$BY$2,0),0),0)</f>
        <v>-109500</v>
      </c>
      <c r="H56" s="155">
        <f>IFERROR(VLOOKUP($A$3:$A$136,'APR-2026'!$A$4:$ABX$112,MATCH('FY-(26-27)Q1'!$G$2:$H$2,'APR-2026'!$A$2:$BY$2,0),0),0)</f>
        <v>-0.36499999999999999</v>
      </c>
      <c r="I56" s="153">
        <f>IFERROR(VLOOKUP($A$3:$A$136,'MAY-2026'!$A$4:$ACP$113,MATCH('FY-(26-27)Q1'!$I$2:$J$2,'MAY-2026'!$A$2:$CQ$2,0),0),0)</f>
        <v>174432</v>
      </c>
      <c r="J56" s="155">
        <f>IFERROR(VLOOKUP($A$3:$A$136,'MAY-2026'!$A$4:$ACP$113,MATCH('FY-(26-27)Q1'!$I$2:$J$2,'MAY-2026'!$A$2:$CQ$2,0),0),0)</f>
        <v>0.58143999999999996</v>
      </c>
      <c r="K56" s="153">
        <f>IFERROR(VLOOKUP($A$3:$A$136,'JUNE-2026'!$A$4:$ADJ$113,MATCH('FY-(26-27)Q1'!$K$2:$L$2,'JUNE-2026'!$A$2:$DK$2,0),0),0)</f>
        <v>30862</v>
      </c>
      <c r="L56" s="155">
        <f>IFERROR(VLOOKUP($A$3:$A$136,'JUNE-2026'!$A$4:$ADJ$113,MATCH('FY-(26-27)Q1'!$K$2:$L$2,'JUNE-2026'!$A$2:$DK$2,0),0),0)</f>
        <v>0.10287333333333333</v>
      </c>
      <c r="M56" s="71">
        <f t="shared" si="2"/>
        <v>95794</v>
      </c>
      <c r="N56" s="166">
        <f t="shared" si="3"/>
        <v>0.31931333333333328</v>
      </c>
      <c r="O56" s="215"/>
      <c r="P56" s="153">
        <f>IFERROR(VLOOKUP($A$3:$A$136,'FY-(26-27)Q2'!$A$4:$ABW$120,MATCH('FY-(26-27)Q1'!$P$2:$Q$2,'FY-(26-27)Q2'!$A$2:$BX$2,0),0),0)</f>
        <v>55136</v>
      </c>
      <c r="Q56" s="155">
        <f>IFERROR(VLOOKUP($A$3:$A$136,'FY-(26-27)Q2'!$A$4:$ABW$120,MATCH('FY-(26-27)Q1'!$P$2:$Q$2,'FY-(26-27)Q2'!$A$2:$BX$2,0),0),0)</f>
        <v>0.1837866666666666</v>
      </c>
      <c r="R56" s="159"/>
      <c r="S56" s="88">
        <f>IFERROR(VLOOKUP($A$4:$A$71,#REF!,MATCH('FY-(26-27)Q1'!$S$2:$T$2,#REF!,0),0),0)</f>
        <v>0</v>
      </c>
      <c r="T56" s="124">
        <f>IFERROR(VLOOKUP($A$4:$A$71,#REF!,MATCH('FY-(26-27)Q1'!$S$2:$T$2,#REF!,0),0),0)</f>
        <v>0</v>
      </c>
      <c r="U56" s="159"/>
      <c r="V56" s="45"/>
      <c r="W56" s="72"/>
      <c r="X56"/>
      <c r="Y56" s="154">
        <f t="shared" si="18"/>
        <v>150930</v>
      </c>
      <c r="Z56" s="168">
        <f t="shared" si="19"/>
        <v>0.50309999999999988</v>
      </c>
      <c r="AB56"/>
      <c r="AC56"/>
      <c r="AD56"/>
      <c r="AE56"/>
      <c r="AF56"/>
      <c r="AG56"/>
      <c r="AH56"/>
    </row>
    <row r="57" spans="1:34" s="132" customFormat="1" ht="15" customHeight="1" x14ac:dyDescent="0.25">
      <c r="A57" s="35" t="s">
        <v>132</v>
      </c>
      <c r="B57" s="36" t="s">
        <v>129</v>
      </c>
      <c r="C57" s="35" t="s">
        <v>17</v>
      </c>
      <c r="D57" s="142" t="s">
        <v>267</v>
      </c>
      <c r="E57" s="37" t="s">
        <v>256</v>
      </c>
      <c r="F57" s="116">
        <v>1</v>
      </c>
      <c r="G57" s="153">
        <f>IFERROR(VLOOKUP($A$3:$A$136,'APR-2026'!$A$4:$ABX$112,MATCH('FY-(26-27)Q1'!$G$2:$H$2,'APR-2026'!$A$2:$BY$2,0),0),0)</f>
        <v>38535</v>
      </c>
      <c r="H57" s="155">
        <f>IFERROR(VLOOKUP($A$3:$A$136,'APR-2026'!$A$4:$ABX$112,MATCH('FY-(26-27)Q1'!$G$2:$H$2,'APR-2026'!$A$2:$BY$2,0),0),0)</f>
        <v>0.38535000000000003</v>
      </c>
      <c r="I57" s="153">
        <f>IFERROR(VLOOKUP($A$3:$A$136,'MAY-2026'!$A$4:$ACP$113,MATCH('FY-(26-27)Q1'!$I$2:$J$2,'MAY-2026'!$A$2:$CQ$2,0),0),0)</f>
        <v>11519</v>
      </c>
      <c r="J57" s="155">
        <f>IFERROR(VLOOKUP($A$3:$A$136,'MAY-2026'!$A$4:$ACP$113,MATCH('FY-(26-27)Q1'!$I$2:$J$2,'MAY-2026'!$A$2:$CQ$2,0),0),0)</f>
        <v>7.6793333333333325E-2</v>
      </c>
      <c r="K57" s="153">
        <f>IFERROR(VLOOKUP($A$3:$A$136,'JUNE-2026'!$A$4:$ADJ$113,MATCH('FY-(26-27)Q1'!$K$2:$L$2,'JUNE-2026'!$A$2:$DK$2,0),0),0)</f>
        <v>-13331</v>
      </c>
      <c r="L57" s="155">
        <f>IFERROR(VLOOKUP($A$3:$A$136,'JUNE-2026'!$A$4:$ADJ$113,MATCH('FY-(26-27)Q1'!$K$2:$L$2,'JUNE-2026'!$A$2:$DK$2,0),0),0)</f>
        <v>-0.13331000000000001</v>
      </c>
      <c r="M57" s="71">
        <f t="shared" si="2"/>
        <v>36723</v>
      </c>
      <c r="N57" s="166">
        <f t="shared" si="3"/>
        <v>0.32883333333333331</v>
      </c>
      <c r="O57" s="215"/>
      <c r="P57" s="153">
        <f>IFERROR(VLOOKUP($A$3:$A$136,'FY-(26-27)Q2'!$A$4:$ABW$120,MATCH('FY-(26-27)Q1'!$P$2:$Q$2,'FY-(26-27)Q2'!$A$2:$BX$2,0),0),0)</f>
        <v>34328</v>
      </c>
      <c r="Q57" s="155">
        <f>IFERROR(VLOOKUP($A$3:$A$136,'FY-(26-27)Q2'!$A$4:$ABW$120,MATCH('FY-(26-27)Q1'!$P$2:$Q$2,'FY-(26-27)Q2'!$A$2:$BX$2,0),0),0)</f>
        <v>0.36596000000000001</v>
      </c>
      <c r="R57" s="159"/>
      <c r="S57" s="88">
        <f>IFERROR(VLOOKUP($A$4:$A$71,#REF!,MATCH('FY-(26-27)Q1'!$S$2:$T$2,#REF!,0),0),0)</f>
        <v>0</v>
      </c>
      <c r="T57" s="124">
        <f>IFERROR(VLOOKUP($A$4:$A$71,#REF!,MATCH('FY-(26-27)Q1'!$S$2:$T$2,#REF!,0),0),0)</f>
        <v>0</v>
      </c>
      <c r="U57" s="159"/>
      <c r="V57" s="45"/>
      <c r="W57" s="72"/>
      <c r="X57" s="1"/>
      <c r="Y57" s="154">
        <f t="shared" si="18"/>
        <v>71051</v>
      </c>
      <c r="Z57" s="168">
        <f t="shared" si="19"/>
        <v>0.69479333333333337</v>
      </c>
      <c r="AB57" s="1"/>
      <c r="AC57" s="1"/>
      <c r="AD57" s="1"/>
      <c r="AE57" s="1"/>
      <c r="AF57" s="1"/>
      <c r="AG57" s="1"/>
      <c r="AH57" s="1"/>
    </row>
    <row r="58" spans="1:34" s="1" customFormat="1" ht="15" customHeight="1" x14ac:dyDescent="0.25">
      <c r="A58" s="35" t="s">
        <v>48</v>
      </c>
      <c r="B58" s="34" t="s">
        <v>95</v>
      </c>
      <c r="C58" s="35" t="s">
        <v>50</v>
      </c>
      <c r="D58" s="40" t="s">
        <v>107</v>
      </c>
      <c r="E58" s="40" t="s">
        <v>107</v>
      </c>
      <c r="F58" s="118">
        <v>1</v>
      </c>
      <c r="G58" s="153">
        <f>IFERROR(VLOOKUP($A$3:$A$136,'APR-2026'!$A$4:$ABX$112,MATCH('FY-(26-27)Q1'!$G$2:$H$2,'APR-2026'!$A$2:$BY$2,0),0),0)</f>
        <v>3123845</v>
      </c>
      <c r="H58" s="155">
        <f>IFERROR(VLOOKUP($A$3:$A$136,'APR-2026'!$A$4:$ABX$112,MATCH('FY-(26-27)Q1'!$G$2:$H$2,'APR-2026'!$A$2:$BY$2,0),0),0)</f>
        <v>31.23845</v>
      </c>
      <c r="I58" s="153">
        <f>IFERROR(VLOOKUP($A$3:$A$136,'MAY-2026'!$A$4:$ACP$113,MATCH('FY-(26-27)Q1'!$I$2:$J$2,'MAY-2026'!$A$2:$CQ$2,0),0),0)</f>
        <v>232568</v>
      </c>
      <c r="J58" s="155">
        <f>IFERROR(VLOOKUP($A$3:$A$136,'MAY-2026'!$A$4:$ACP$113,MATCH('FY-(26-27)Q1'!$I$2:$J$2,'MAY-2026'!$A$2:$CQ$2,0),0),0)</f>
        <v>2.3256800000000002</v>
      </c>
      <c r="K58" s="153">
        <f>IFERROR(VLOOKUP($A$3:$A$136,'JUNE-2026'!$A$4:$ADJ$113,MATCH('FY-(26-27)Q1'!$K$2:$L$2,'JUNE-2026'!$A$2:$DK$2,0),0),0)</f>
        <v>193656</v>
      </c>
      <c r="L58" s="155">
        <f>IFERROR(VLOOKUP($A$3:$A$136,'JUNE-2026'!$A$4:$ADJ$113,MATCH('FY-(26-27)Q1'!$K$2:$L$2,'JUNE-2026'!$A$2:$DK$2,0),0),0)</f>
        <v>1.9365600000000001</v>
      </c>
      <c r="M58" s="71">
        <f t="shared" si="2"/>
        <v>3550069</v>
      </c>
      <c r="N58" s="166">
        <f t="shared" si="3"/>
        <v>35.500689999999999</v>
      </c>
      <c r="O58" s="215"/>
      <c r="P58" s="153">
        <f>IFERROR(VLOOKUP($A$3:$A$136,'FY-(26-27)Q2'!$A$4:$ABW$120,MATCH('FY-(26-27)Q1'!$P$2:$Q$2,'FY-(26-27)Q2'!$A$2:$BX$2,0),0),0)</f>
        <v>459273</v>
      </c>
      <c r="Q58" s="155">
        <f>IFERROR(VLOOKUP($A$3:$A$136,'FY-(26-27)Q2'!$A$4:$ABW$120,MATCH('FY-(26-27)Q1'!$P$2:$Q$2,'FY-(26-27)Q2'!$A$2:$BX$2,0),0),0)</f>
        <v>4.5927300000000004</v>
      </c>
      <c r="R58" s="159"/>
      <c r="S58" s="88">
        <f>IFERROR(VLOOKUP($A$4:$A$71,#REF!,MATCH('FY-(26-27)Q1'!$S$2:$T$2,#REF!,0),0),0)</f>
        <v>0</v>
      </c>
      <c r="T58" s="124">
        <f>IFERROR(VLOOKUP($A$4:$A$71,#REF!,MATCH('FY-(26-27)Q1'!$S$2:$T$2,#REF!,0),0),0)</f>
        <v>0</v>
      </c>
      <c r="U58" s="159"/>
      <c r="V58" s="45"/>
      <c r="W58" s="72"/>
      <c r="Y58" s="154">
        <f t="shared" si="18"/>
        <v>4009342</v>
      </c>
      <c r="Z58" s="168">
        <f t="shared" si="19"/>
        <v>40.093420000000002</v>
      </c>
      <c r="AB58" s="132"/>
      <c r="AC58" s="132"/>
      <c r="AD58" s="132"/>
      <c r="AE58" s="132"/>
      <c r="AF58" s="132"/>
      <c r="AG58" s="132"/>
      <c r="AH58" s="132"/>
    </row>
    <row r="59" spans="1:34" s="132" customFormat="1" ht="15" customHeight="1" x14ac:dyDescent="0.25">
      <c r="A59" s="142" t="s">
        <v>301</v>
      </c>
      <c r="B59" s="141" t="s">
        <v>295</v>
      </c>
      <c r="C59" s="163" t="s">
        <v>296</v>
      </c>
      <c r="D59" s="163"/>
      <c r="E59" s="163" t="s">
        <v>256</v>
      </c>
      <c r="F59" s="164">
        <v>0.1</v>
      </c>
      <c r="G59" s="153">
        <f>IFERROR(VLOOKUP($A$3:$A$136,'APR-2026'!$A$4:$ABX$112,MATCH('FY-(26-27)Q1'!$G$2:$H$2,'APR-2026'!$A$2:$BY$2,0),0),0)</f>
        <v>0</v>
      </c>
      <c r="H59" s="155">
        <f>IFERROR(VLOOKUP($A$3:$A$136,'APR-2026'!$A$4:$ABX$112,MATCH('FY-(26-27)Q1'!$G$2:$H$2,'APR-2026'!$A$2:$BY$2,0),0),0)</f>
        <v>0</v>
      </c>
      <c r="I59" s="153">
        <f>IFERROR(VLOOKUP($A$3:$A$136,'MAY-2026'!$A$4:$ACP$113,MATCH('FY-(26-27)Q1'!$I$2:$J$2,'MAY-2026'!$A$2:$CQ$2,0),0),0)</f>
        <v>0</v>
      </c>
      <c r="J59" s="155">
        <f>IFERROR(VLOOKUP($A$3:$A$136,'MAY-2026'!$A$4:$ACP$113,MATCH('FY-(26-27)Q1'!$I$2:$J$2,'MAY-2026'!$A$2:$CQ$2,0),0),0)</f>
        <v>0</v>
      </c>
      <c r="K59" s="153">
        <f>IFERROR(VLOOKUP($A$3:$A$136,'JUNE-2026'!$A$4:$ADJ$113,MATCH('FY-(26-27)Q1'!$K$2:$L$2,'JUNE-2026'!$A$2:$DK$2,0),0),0)</f>
        <v>0</v>
      </c>
      <c r="L59" s="155">
        <f>IFERROR(VLOOKUP($A$3:$A$136,'JUNE-2026'!$A$4:$ADJ$113,MATCH('FY-(26-27)Q1'!$K$2:$L$2,'JUNE-2026'!$A$2:$DK$2,0),0),0)</f>
        <v>0</v>
      </c>
      <c r="M59" s="71">
        <f t="shared" ref="M59" si="27">G59+I59+K59</f>
        <v>0</v>
      </c>
      <c r="N59" s="166">
        <f t="shared" ref="N59" si="28">H59+J59+L59</f>
        <v>0</v>
      </c>
      <c r="O59" s="215"/>
      <c r="P59" s="153">
        <f>IFERROR(VLOOKUP($A$3:$A$136,'FY-(26-27)Q2'!$A$4:$ABW$120,MATCH('FY-(26-27)Q1'!$P$2:$Q$2,'FY-(26-27)Q2'!$A$2:$BX$2,0),0),0)</f>
        <v>-4826</v>
      </c>
      <c r="Q59" s="155">
        <f>IFERROR(VLOOKUP($A$3:$A$136,'FY-(26-27)Q2'!$A$4:$ABW$120,MATCH('FY-(26-27)Q1'!$P$2:$Q$2,'FY-(26-27)Q2'!$A$2:$BX$2,0),0),0)</f>
        <v>-0.48260000000000003</v>
      </c>
      <c r="R59" s="159"/>
      <c r="S59" s="153">
        <f>IFERROR(VLOOKUP($A$4:$A$71,#REF!,MATCH('FY-(26-27)Q1'!$S$2:$T$2,#REF!,0),0),0)</f>
        <v>0</v>
      </c>
      <c r="T59" s="159">
        <f>IFERROR(VLOOKUP($A$4:$A$71,#REF!,MATCH('FY-(26-27)Q1'!$S$2:$T$2,#REF!,0),0),0)</f>
        <v>0</v>
      </c>
      <c r="U59" s="159"/>
      <c r="V59" s="144"/>
      <c r="W59" s="150"/>
      <c r="Y59" s="154">
        <f t="shared" ref="Y59" si="29">M59+P59+S59+V59</f>
        <v>-4826</v>
      </c>
      <c r="Z59" s="168">
        <f t="shared" ref="Z59" si="30">(N59+Q59+T59+W59)</f>
        <v>-0.48260000000000003</v>
      </c>
    </row>
    <row r="60" spans="1:34" ht="15" customHeight="1" x14ac:dyDescent="0.25">
      <c r="A60" s="36" t="s">
        <v>33</v>
      </c>
      <c r="B60" s="34" t="s">
        <v>14</v>
      </c>
      <c r="C60" s="36" t="s">
        <v>13</v>
      </c>
      <c r="D60" s="141" t="s">
        <v>14</v>
      </c>
      <c r="E60" s="37" t="s">
        <v>256</v>
      </c>
      <c r="F60" s="118">
        <v>1</v>
      </c>
      <c r="G60" s="153">
        <f>IFERROR(VLOOKUP($A$3:$A$136,'APR-2026'!$A$4:$ABX$112,MATCH('FY-(26-27)Q1'!$G$2:$H$2,'APR-2026'!$A$2:$BY$2,0),0),0)</f>
        <v>633005</v>
      </c>
      <c r="H60" s="155">
        <f>IFERROR(VLOOKUP($A$3:$A$136,'APR-2026'!$A$4:$ABX$112,MATCH('FY-(26-27)Q1'!$G$2:$H$2,'APR-2026'!$A$2:$BY$2,0),0),0)</f>
        <v>2.1100166666666662</v>
      </c>
      <c r="I60" s="153">
        <f>IFERROR(VLOOKUP($A$3:$A$136,'MAY-2026'!$A$4:$ACP$113,MATCH('FY-(26-27)Q1'!$I$2:$J$2,'MAY-2026'!$A$2:$CQ$2,0),0),0)</f>
        <v>538474</v>
      </c>
      <c r="J60" s="155">
        <f>IFERROR(VLOOKUP($A$3:$A$136,'MAY-2026'!$A$4:$ACP$113,MATCH('FY-(26-27)Q1'!$I$2:$J$2,'MAY-2026'!$A$2:$CQ$2,0),0),0)</f>
        <v>1.7949133333333336</v>
      </c>
      <c r="K60" s="153">
        <f>IFERROR(VLOOKUP($A$3:$A$136,'JUNE-2026'!$A$4:$ADJ$113,MATCH('FY-(26-27)Q1'!$K$2:$L$2,'JUNE-2026'!$A$2:$DK$2,0),0),0)</f>
        <v>-498630</v>
      </c>
      <c r="L60" s="155">
        <f>IFERROR(VLOOKUP($A$3:$A$136,'JUNE-2026'!$A$4:$ADJ$113,MATCH('FY-(26-27)Q1'!$K$2:$L$2,'JUNE-2026'!$A$2:$DK$2,0),0),0)</f>
        <v>-1.6620999999999999</v>
      </c>
      <c r="M60" s="71">
        <f t="shared" si="2"/>
        <v>672849</v>
      </c>
      <c r="N60" s="166">
        <f t="shared" si="3"/>
        <v>2.2428299999999997</v>
      </c>
      <c r="O60" s="215"/>
      <c r="P60" s="153">
        <f>IFERROR(VLOOKUP($A$3:$A$136,'FY-(26-27)Q2'!$A$4:$ABW$120,MATCH('FY-(26-27)Q1'!$P$2:$Q$2,'FY-(26-27)Q2'!$A$2:$BX$2,0),0),0)</f>
        <v>77351</v>
      </c>
      <c r="Q60" s="155">
        <f>IFERROR(VLOOKUP($A$3:$A$136,'FY-(26-27)Q2'!$A$4:$ABW$120,MATCH('FY-(26-27)Q1'!$P$2:$Q$2,'FY-(26-27)Q2'!$A$2:$BX$2,0),0),0)</f>
        <v>0.25783666666666638</v>
      </c>
      <c r="R60" s="159"/>
      <c r="S60" s="88">
        <f>IFERROR(VLOOKUP($A$4:$A$71,#REF!,MATCH('FY-(26-27)Q1'!$S$2:$T$2,#REF!,0),0),0)</f>
        <v>0</v>
      </c>
      <c r="T60" s="124">
        <f>IFERROR(VLOOKUP($A$4:$A$71,#REF!,MATCH('FY-(26-27)Q1'!$S$2:$T$2,#REF!,0),0),0)</f>
        <v>0</v>
      </c>
      <c r="U60" s="159"/>
      <c r="V60" s="45"/>
      <c r="W60" s="72"/>
      <c r="Y60" s="154">
        <f t="shared" si="18"/>
        <v>750200</v>
      </c>
      <c r="Z60" s="168">
        <f t="shared" si="19"/>
        <v>2.5006666666666661</v>
      </c>
      <c r="AB60" s="1"/>
      <c r="AC60" s="1"/>
      <c r="AD60" s="1"/>
      <c r="AE60" s="1"/>
      <c r="AF60" s="1"/>
      <c r="AG60" s="1"/>
      <c r="AH60" s="1"/>
    </row>
    <row r="61" spans="1:34" ht="15" customHeight="1" x14ac:dyDescent="0.25">
      <c r="A61" s="143" t="s">
        <v>168</v>
      </c>
      <c r="B61" s="141" t="s">
        <v>169</v>
      </c>
      <c r="C61" s="133" t="s">
        <v>255</v>
      </c>
      <c r="D61" s="163" t="s">
        <v>253</v>
      </c>
      <c r="E61" s="163" t="s">
        <v>253</v>
      </c>
      <c r="F61" s="114">
        <v>4</v>
      </c>
      <c r="G61" s="153">
        <f>IFERROR(VLOOKUP($A$3:$A$136,'APR-2026'!$A$4:$ABX$112,MATCH('FY-(26-27)Q1'!$G$2:$H$2,'APR-2026'!$A$2:$BY$2,0),0),0)</f>
        <v>343500</v>
      </c>
      <c r="H61" s="155">
        <f>IFERROR(VLOOKUP($A$3:$A$136,'APR-2026'!$A$4:$ABX$112,MATCH('FY-(26-27)Q1'!$G$2:$H$2,'APR-2026'!$A$2:$BY$2,0),0),0)</f>
        <v>0.85875000000000001</v>
      </c>
      <c r="I61" s="153">
        <f>IFERROR(VLOOKUP($A$3:$A$136,'MAY-2026'!$A$4:$ACP$113,MATCH('FY-(26-27)Q1'!$I$2:$J$2,'MAY-2026'!$A$2:$CQ$2,0),0),0)</f>
        <v>352000</v>
      </c>
      <c r="J61" s="155">
        <f>IFERROR(VLOOKUP($A$3:$A$136,'MAY-2026'!$A$4:$ACP$113,MATCH('FY-(26-27)Q1'!$I$2:$J$2,'MAY-2026'!$A$2:$CQ$2,0),0),0)</f>
        <v>0.88</v>
      </c>
      <c r="K61" s="153">
        <f>IFERROR(VLOOKUP($A$3:$A$136,'JUNE-2026'!$A$4:$ADJ$113,MATCH('FY-(26-27)Q1'!$K$2:$L$2,'JUNE-2026'!$A$2:$DK$2,0),0),0)</f>
        <v>-20500</v>
      </c>
      <c r="L61" s="155">
        <f>IFERROR(VLOOKUP($A$3:$A$136,'JUNE-2026'!$A$4:$ADJ$113,MATCH('FY-(26-27)Q1'!$K$2:$L$2,'JUNE-2026'!$A$2:$DK$2,0),0),0)</f>
        <v>-5.1249999999999997E-2</v>
      </c>
      <c r="M61" s="71">
        <f t="shared" si="2"/>
        <v>675000</v>
      </c>
      <c r="N61" s="166">
        <f t="shared" si="3"/>
        <v>1.6875</v>
      </c>
      <c r="O61" s="215"/>
      <c r="P61" s="153">
        <f>IFERROR(VLOOKUP($A$3:$A$136,'FY-(26-27)Q2'!$A$4:$ABW$120,MATCH('FY-(26-27)Q1'!$P$2:$Q$2,'FY-(26-27)Q2'!$A$2:$BX$2,0),0),0)</f>
        <v>414410</v>
      </c>
      <c r="Q61" s="155">
        <f>IFERROR(VLOOKUP($A$3:$A$136,'FY-(26-27)Q2'!$A$4:$ABW$120,MATCH('FY-(26-27)Q1'!$P$2:$Q$2,'FY-(26-27)Q2'!$A$2:$BX$2,0),0),0)</f>
        <v>1.036025</v>
      </c>
      <c r="R61" s="159"/>
      <c r="S61" s="88">
        <f>IFERROR(VLOOKUP($A$4:$A$71,#REF!,MATCH('FY-(26-27)Q1'!$S$2:$T$2,#REF!,0),0),0)</f>
        <v>0</v>
      </c>
      <c r="T61" s="124">
        <f>IFERROR(VLOOKUP($A$4:$A$71,#REF!,MATCH('FY-(26-27)Q1'!$S$2:$T$2,#REF!,0),0),0)</f>
        <v>0</v>
      </c>
      <c r="U61" s="159"/>
      <c r="V61" s="45"/>
      <c r="W61" s="72"/>
      <c r="Y61" s="154">
        <f t="shared" si="18"/>
        <v>1089410</v>
      </c>
      <c r="Z61" s="168">
        <f t="shared" si="19"/>
        <v>2.723525</v>
      </c>
    </row>
    <row r="62" spans="1:34" ht="15" customHeight="1" x14ac:dyDescent="0.25">
      <c r="A62" s="143" t="s">
        <v>201</v>
      </c>
      <c r="B62" s="141" t="s">
        <v>169</v>
      </c>
      <c r="C62" s="59" t="s">
        <v>227</v>
      </c>
      <c r="D62" s="163" t="s">
        <v>254</v>
      </c>
      <c r="E62" s="163" t="s">
        <v>256</v>
      </c>
      <c r="F62" s="114">
        <v>0.5</v>
      </c>
      <c r="G62" s="153">
        <f>IFERROR(VLOOKUP($A$3:$A$136,'APR-2026'!$A$4:$ABX$112,MATCH('FY-(26-27)Q1'!$G$2:$H$2,'APR-2026'!$A$2:$BY$2,0),0),0)</f>
        <v>-159000</v>
      </c>
      <c r="H62" s="155">
        <f>IFERROR(VLOOKUP($A$3:$A$136,'APR-2026'!$A$4:$ABX$112,MATCH('FY-(26-27)Q1'!$G$2:$H$2,'APR-2026'!$A$2:$BY$2,0),0),0)</f>
        <v>-3.18</v>
      </c>
      <c r="I62" s="153">
        <f>IFERROR(VLOOKUP($A$3:$A$136,'MAY-2026'!$A$4:$ACP$113,MATCH('FY-(26-27)Q1'!$I$2:$J$2,'MAY-2026'!$A$2:$CQ$2,0),0),0)</f>
        <v>-106300</v>
      </c>
      <c r="J62" s="155">
        <f>IFERROR(VLOOKUP($A$3:$A$136,'MAY-2026'!$A$4:$ACP$113,MATCH('FY-(26-27)Q1'!$I$2:$J$2,'MAY-2026'!$A$2:$CQ$2,0),0),0)</f>
        <v>-2.1259999999999999</v>
      </c>
      <c r="K62" s="153">
        <f>IFERROR(VLOOKUP($A$3:$A$136,'JUNE-2026'!$A$4:$ADJ$113,MATCH('FY-(26-27)Q1'!$K$2:$L$2,'JUNE-2026'!$A$2:$DK$2,0),0),0)</f>
        <v>0</v>
      </c>
      <c r="L62" s="155">
        <f>IFERROR(VLOOKUP($A$3:$A$136,'JUNE-2026'!$A$4:$ADJ$113,MATCH('FY-(26-27)Q1'!$K$2:$L$2,'JUNE-2026'!$A$2:$DK$2,0),0),0)</f>
        <v>0</v>
      </c>
      <c r="M62" s="71">
        <f t="shared" ref="M62:M63" si="31">G62+I62+K62</f>
        <v>-265300</v>
      </c>
      <c r="N62" s="166">
        <f t="shared" ref="N62:N63" si="32">H62+J62+L62</f>
        <v>-5.306</v>
      </c>
      <c r="O62" s="215"/>
      <c r="P62" s="153">
        <f>IFERROR(VLOOKUP($A$3:$A$136,'FY-(26-27)Q2'!$A$4:$ABW$120,MATCH('FY-(26-27)Q1'!$P$2:$Q$2,'FY-(26-27)Q2'!$A$2:$BX$2,0),0),0)</f>
        <v>-20169</v>
      </c>
      <c r="Q62" s="155">
        <f>IFERROR(VLOOKUP($A$3:$A$136,'FY-(26-27)Q2'!$A$4:$ABW$120,MATCH('FY-(26-27)Q1'!$P$2:$Q$2,'FY-(26-27)Q2'!$A$2:$BX$2,0),0),0)</f>
        <v>-0.20168999999999998</v>
      </c>
      <c r="R62" s="159"/>
      <c r="S62" s="153">
        <f>IFERROR(VLOOKUP($A$4:$A$71,#REF!,MATCH('FY-(26-27)Q1'!$S$2:$T$2,#REF!,0),0),0)</f>
        <v>0</v>
      </c>
      <c r="T62" s="159">
        <f>IFERROR(VLOOKUP($A$4:$A$71,#REF!,MATCH('FY-(26-27)Q1'!$S$2:$T$2,#REF!,0),0),0)</f>
        <v>0</v>
      </c>
      <c r="U62" s="159"/>
      <c r="V62" s="144"/>
      <c r="W62" s="150"/>
      <c r="X62" s="132"/>
      <c r="Y62" s="154">
        <f t="shared" si="18"/>
        <v>-285469</v>
      </c>
      <c r="Z62" s="168">
        <f t="shared" si="19"/>
        <v>-5.5076900000000002</v>
      </c>
    </row>
    <row r="63" spans="1:34" ht="15" customHeight="1" x14ac:dyDescent="0.25">
      <c r="A63" s="143" t="s">
        <v>202</v>
      </c>
      <c r="B63" s="141" t="s">
        <v>169</v>
      </c>
      <c r="C63" s="59" t="s">
        <v>255</v>
      </c>
      <c r="D63" s="163" t="s">
        <v>116</v>
      </c>
      <c r="E63" s="163" t="s">
        <v>256</v>
      </c>
      <c r="F63" s="114">
        <v>4</v>
      </c>
      <c r="G63" s="153">
        <f>IFERROR(VLOOKUP($A$3:$A$136,'APR-2026'!$A$4:$ABX$112,MATCH('FY-(26-27)Q1'!$G$2:$H$2,'APR-2026'!$A$2:$BY$2,0),0),0)</f>
        <v>151712</v>
      </c>
      <c r="H63" s="155">
        <f>IFERROR(VLOOKUP($A$3:$A$136,'APR-2026'!$A$4:$ABX$112,MATCH('FY-(26-27)Q1'!$G$2:$H$2,'APR-2026'!$A$2:$BY$2,0),0),0)</f>
        <v>0.37928000000000001</v>
      </c>
      <c r="I63" s="153">
        <f>IFERROR(VLOOKUP($A$3:$A$136,'MAY-2026'!$A$4:$ACP$113,MATCH('FY-(26-27)Q1'!$I$2:$J$2,'MAY-2026'!$A$2:$CQ$2,0),0),0)</f>
        <v>145700</v>
      </c>
      <c r="J63" s="155">
        <f>IFERROR(VLOOKUP($A$3:$A$136,'MAY-2026'!$A$4:$ACP$113,MATCH('FY-(26-27)Q1'!$I$2:$J$2,'MAY-2026'!$A$2:$CQ$2,0),0),0)</f>
        <v>0.36425000000000002</v>
      </c>
      <c r="K63" s="153">
        <f>IFERROR(VLOOKUP($A$3:$A$136,'JUNE-2026'!$A$4:$ADJ$113,MATCH('FY-(26-27)Q1'!$K$2:$L$2,'JUNE-2026'!$A$2:$DK$2,0),0),0)</f>
        <v>227000</v>
      </c>
      <c r="L63" s="155">
        <f>IFERROR(VLOOKUP($A$3:$A$136,'JUNE-2026'!$A$4:$ADJ$113,MATCH('FY-(26-27)Q1'!$K$2:$L$2,'JUNE-2026'!$A$2:$DK$2,0),0),0)</f>
        <v>0.5675</v>
      </c>
      <c r="M63" s="71">
        <f t="shared" si="31"/>
        <v>524412</v>
      </c>
      <c r="N63" s="166">
        <f t="shared" si="32"/>
        <v>1.3110300000000001</v>
      </c>
      <c r="O63" s="215"/>
      <c r="P63" s="153">
        <f>IFERROR(VLOOKUP($A$3:$A$136,'FY-(26-27)Q2'!$A$4:$ABW$120,MATCH('FY-(26-27)Q1'!$P$2:$Q$2,'FY-(26-27)Q2'!$A$2:$BX$2,0),0),0)</f>
        <v>300390</v>
      </c>
      <c r="Q63" s="155">
        <f>IFERROR(VLOOKUP($A$3:$A$136,'FY-(26-27)Q2'!$A$4:$ABW$120,MATCH('FY-(26-27)Q1'!$P$2:$Q$2,'FY-(26-27)Q2'!$A$2:$BX$2,0),0),0)</f>
        <v>0.75097499999999995</v>
      </c>
      <c r="R63" s="159"/>
      <c r="S63" s="153">
        <f>IFERROR(VLOOKUP($A$4:$A$71,#REF!,MATCH('FY-(26-27)Q1'!$S$2:$T$2,#REF!,0),0),0)</f>
        <v>0</v>
      </c>
      <c r="T63" s="159">
        <f>IFERROR(VLOOKUP($A$4:$A$71,#REF!,MATCH('FY-(26-27)Q1'!$S$2:$T$2,#REF!,0),0),0)</f>
        <v>0</v>
      </c>
      <c r="U63" s="159"/>
      <c r="V63" s="144"/>
      <c r="W63" s="150"/>
      <c r="X63" s="132"/>
      <c r="Y63" s="154">
        <f t="shared" si="18"/>
        <v>824802</v>
      </c>
      <c r="Z63" s="168">
        <f t="shared" si="19"/>
        <v>2.0620050000000001</v>
      </c>
    </row>
    <row r="64" spans="1:34" ht="15" customHeight="1" x14ac:dyDescent="0.25">
      <c r="A64" s="36" t="s">
        <v>103</v>
      </c>
      <c r="B64" s="36" t="s">
        <v>0</v>
      </c>
      <c r="C64" s="59" t="s">
        <v>96</v>
      </c>
      <c r="D64" s="60" t="s">
        <v>57</v>
      </c>
      <c r="E64" s="60" t="s">
        <v>256</v>
      </c>
      <c r="F64" s="114">
        <v>1.5</v>
      </c>
      <c r="G64" s="153">
        <f>IFERROR(VLOOKUP($A$3:$A$136,'APR-2026'!$A$4:$ABX$112,MATCH('FY-(26-27)Q1'!$G$2:$H$2,'APR-2026'!$A$2:$BY$2,0),0),0)</f>
        <v>92278</v>
      </c>
      <c r="H64" s="155">
        <f>IFERROR(VLOOKUP($A$3:$A$136,'APR-2026'!$A$4:$ABX$112,MATCH('FY-(26-27)Q1'!$G$2:$H$2,'APR-2026'!$A$2:$BY$2,0),0),0)</f>
        <v>0.57673750000000001</v>
      </c>
      <c r="I64" s="153">
        <f>IFERROR(VLOOKUP($A$3:$A$136,'MAY-2026'!$A$4:$ACP$113,MATCH('FY-(26-27)Q1'!$I$2:$J$2,'MAY-2026'!$A$2:$CQ$2,0),0),0)</f>
        <v>35279</v>
      </c>
      <c r="J64" s="155">
        <f>IFERROR(VLOOKUP($A$3:$A$136,'MAY-2026'!$A$4:$ACP$113,MATCH('FY-(26-27)Q1'!$I$2:$J$2,'MAY-2026'!$A$2:$CQ$2,0),0),0)</f>
        <v>0.23519333333333331</v>
      </c>
      <c r="K64" s="153">
        <f>IFERROR(VLOOKUP($A$3:$A$136,'JUNE-2026'!$A$4:$ADJ$113,MATCH('FY-(26-27)Q1'!$K$2:$L$2,'JUNE-2026'!$A$2:$DK$2,0),0),0)</f>
        <v>0</v>
      </c>
      <c r="L64" s="155">
        <f>IFERROR(VLOOKUP($A$3:$A$136,'JUNE-2026'!$A$4:$ADJ$113,MATCH('FY-(26-27)Q1'!$K$2:$L$2,'JUNE-2026'!$A$2:$DK$2,0),0),0)</f>
        <v>0</v>
      </c>
      <c r="M64" s="71">
        <f t="shared" si="2"/>
        <v>127557</v>
      </c>
      <c r="N64" s="166">
        <f t="shared" si="3"/>
        <v>0.81193083333333327</v>
      </c>
      <c r="O64" s="215"/>
      <c r="P64" s="153">
        <f>IFERROR(VLOOKUP($A$3:$A$136,'FY-(26-27)Q2'!$A$4:$ABW$120,MATCH('FY-(26-27)Q1'!$P$2:$Q$2,'FY-(26-27)Q2'!$A$2:$BX$2,0),0),0)</f>
        <v>0</v>
      </c>
      <c r="Q64" s="155">
        <f>IFERROR(VLOOKUP($A$3:$A$136,'FY-(26-27)Q2'!$A$4:$ABW$120,MATCH('FY-(26-27)Q1'!$P$2:$Q$2,'FY-(26-27)Q2'!$A$2:$BX$2,0),0),0)</f>
        <v>0</v>
      </c>
      <c r="R64" s="159"/>
      <c r="S64" s="88">
        <f>IFERROR(VLOOKUP($A$4:$A$71,#REF!,MATCH('FY-(26-27)Q1'!$S$2:$T$2,#REF!,0),0),0)</f>
        <v>0</v>
      </c>
      <c r="T64" s="124">
        <f>IFERROR(VLOOKUP($A$4:$A$71,#REF!,MATCH('FY-(26-27)Q1'!$S$2:$T$2,#REF!,0),0),0)</f>
        <v>0</v>
      </c>
      <c r="U64" s="159"/>
      <c r="V64" s="45"/>
      <c r="W64" s="72"/>
      <c r="X64" s="132"/>
      <c r="Y64" s="154">
        <f t="shared" si="18"/>
        <v>127557</v>
      </c>
      <c r="Z64" s="168">
        <f t="shared" si="19"/>
        <v>0.81193083333333327</v>
      </c>
    </row>
    <row r="65" spans="1:27" s="132" customFormat="1" ht="15" customHeight="1" x14ac:dyDescent="0.25">
      <c r="A65" s="59" t="s">
        <v>306</v>
      </c>
      <c r="B65" s="62" t="s">
        <v>304</v>
      </c>
      <c r="C65" s="59" t="s">
        <v>128</v>
      </c>
      <c r="D65" s="141"/>
      <c r="E65" s="141" t="s">
        <v>256</v>
      </c>
      <c r="F65" s="114">
        <v>0.1</v>
      </c>
      <c r="G65" s="153">
        <f>IFERROR(VLOOKUP($A$3:$A$136,'APR-2026'!$A$4:$ABX$112,MATCH('FY-(26-27)Q1'!$G$2:$H$2,'APR-2026'!$A$2:$BY$2,0),0),0)</f>
        <v>0</v>
      </c>
      <c r="H65" s="155">
        <f>IFERROR(VLOOKUP($A$3:$A$136,'APR-2026'!$A$4:$ABX$112,MATCH('FY-(26-27)Q1'!$G$2:$H$2,'APR-2026'!$A$2:$BY$2,0),0),0)</f>
        <v>0</v>
      </c>
      <c r="I65" s="153">
        <f>IFERROR(VLOOKUP($A$3:$A$136,'MAY-2026'!$A$4:$ACP$113,MATCH('FY-(26-27)Q1'!$I$2:$J$2,'MAY-2026'!$A$2:$CQ$2,0),0),0)</f>
        <v>0</v>
      </c>
      <c r="J65" s="155">
        <f>IFERROR(VLOOKUP($A$3:$A$136,'MAY-2026'!$A$4:$ACP$113,MATCH('FY-(26-27)Q1'!$I$2:$J$2,'MAY-2026'!$A$2:$CQ$2,0),0),0)</f>
        <v>0</v>
      </c>
      <c r="K65" s="153">
        <f>IFERROR(VLOOKUP($A$3:$A$136,'JUNE-2026'!$A$4:$ADJ$113,MATCH('FY-(26-27)Q1'!$K$2:$L$2,'JUNE-2026'!$A$2:$DK$2,0),0),0)</f>
        <v>0</v>
      </c>
      <c r="L65" s="155">
        <f>IFERROR(VLOOKUP($A$3:$A$136,'JUNE-2026'!$A$4:$ADJ$113,MATCH('FY-(26-27)Q1'!$K$2:$L$2,'JUNE-2026'!$A$2:$DK$2,0),0),0)</f>
        <v>0</v>
      </c>
      <c r="M65" s="71">
        <f t="shared" ref="M65" si="33">G65+I65+K65</f>
        <v>0</v>
      </c>
      <c r="N65" s="166">
        <f t="shared" ref="N65" si="34">H65+J65+L65</f>
        <v>0</v>
      </c>
      <c r="O65" s="215"/>
      <c r="P65" s="153">
        <f>IFERROR(VLOOKUP($A$3:$A$136,'FY-(26-27)Q2'!$A$4:$ABW$120,MATCH('FY-(26-27)Q1'!$P$2:$Q$2,'FY-(26-27)Q2'!$A$2:$BX$2,0),0),0)</f>
        <v>-464997</v>
      </c>
      <c r="Q65" s="155">
        <f>IFERROR(VLOOKUP($A$3:$A$136,'FY-(26-27)Q2'!$A$4:$ABW$120,MATCH('FY-(26-27)Q1'!$P$2:$Q$2,'FY-(26-27)Q2'!$A$2:$BX$2,0),0),0)</f>
        <v>-0.93019399999999997</v>
      </c>
      <c r="R65" s="159"/>
      <c r="S65" s="153">
        <f>IFERROR(VLOOKUP($A$4:$A$71,#REF!,MATCH('FY-(26-27)Q1'!$S$2:$T$2,#REF!,0),0),0)</f>
        <v>0</v>
      </c>
      <c r="T65" s="159">
        <f>IFERROR(VLOOKUP($A$4:$A$71,#REF!,MATCH('FY-(26-27)Q1'!$S$2:$T$2,#REF!,0),0),0)</f>
        <v>0</v>
      </c>
      <c r="U65" s="159"/>
      <c r="V65" s="144"/>
      <c r="W65" s="150"/>
      <c r="Y65" s="154">
        <f t="shared" ref="Y65" si="35">M65+P65+S65+V65</f>
        <v>-464997</v>
      </c>
      <c r="Z65" s="168">
        <f t="shared" ref="Z65" si="36">(N65+Q65+T65+W65)</f>
        <v>-0.93019399999999997</v>
      </c>
    </row>
    <row r="66" spans="1:27" x14ac:dyDescent="0.25">
      <c r="A66" s="59" t="s">
        <v>197</v>
      </c>
      <c r="B66" s="62" t="s">
        <v>195</v>
      </c>
      <c r="C66" s="59" t="s">
        <v>196</v>
      </c>
      <c r="D66" s="62" t="s">
        <v>195</v>
      </c>
      <c r="E66" s="163" t="s">
        <v>256</v>
      </c>
      <c r="F66" s="114">
        <v>0.5</v>
      </c>
      <c r="G66" s="153">
        <f>IFERROR(VLOOKUP($A$3:$A$136,'APR-2026'!$A$4:$ABX$112,MATCH('FY-(26-27)Q1'!$G$2:$H$2,'APR-2026'!$A$2:$BY$2,0),0),0)</f>
        <v>34594</v>
      </c>
      <c r="H66" s="155">
        <f>IFERROR(VLOOKUP($A$3:$A$136,'APR-2026'!$A$4:$ABX$112,MATCH('FY-(26-27)Q1'!$G$2:$H$2,'APR-2026'!$A$2:$BY$2,0),0),0)</f>
        <v>0.69188000000000005</v>
      </c>
      <c r="I66" s="153">
        <f>IFERROR(VLOOKUP($A$3:$A$136,'MAY-2026'!$A$4:$ACP$113,MATCH('FY-(26-27)Q1'!$I$2:$J$2,'MAY-2026'!$A$2:$CQ$2,0),0),0)</f>
        <v>-44456</v>
      </c>
      <c r="J66" s="155">
        <f>IFERROR(VLOOKUP($A$3:$A$136,'MAY-2026'!$A$4:$ACP$113,MATCH('FY-(26-27)Q1'!$I$2:$J$2,'MAY-2026'!$A$2:$CQ$2,0),0),0)</f>
        <v>-0.88912000000000002</v>
      </c>
      <c r="K66" s="153">
        <f>IFERROR(VLOOKUP($A$3:$A$136,'JUNE-2026'!$A$4:$ADJ$113,MATCH('FY-(26-27)Q1'!$K$2:$L$2,'JUNE-2026'!$A$2:$DK$2,0),0),0)</f>
        <v>-36792</v>
      </c>
      <c r="L66" s="155">
        <f>IFERROR(VLOOKUP($A$3:$A$136,'JUNE-2026'!$A$4:$ADJ$113,MATCH('FY-(26-27)Q1'!$K$2:$L$2,'JUNE-2026'!$A$2:$DK$2,0),0),0)</f>
        <v>-0.73584000000000005</v>
      </c>
      <c r="M66" s="71">
        <f t="shared" si="2"/>
        <v>-46654</v>
      </c>
      <c r="N66" s="166">
        <f t="shared" si="3"/>
        <v>-0.93308000000000002</v>
      </c>
      <c r="O66" s="215"/>
      <c r="P66" s="153">
        <f>IFERROR(VLOOKUP($A$3:$A$136,'FY-(26-27)Q2'!$A$4:$ABW$120,MATCH('FY-(26-27)Q1'!$P$2:$Q$2,'FY-(26-27)Q2'!$A$2:$BX$2,0),0),0)</f>
        <v>-30142</v>
      </c>
      <c r="Q66" s="155">
        <f>IFERROR(VLOOKUP($A$3:$A$136,'FY-(26-27)Q2'!$A$4:$ABW$120,MATCH('FY-(26-27)Q1'!$P$2:$Q$2,'FY-(26-27)Q2'!$A$2:$BX$2,0),0),0)</f>
        <v>-0.60284000000000004</v>
      </c>
      <c r="R66" s="159"/>
      <c r="S66" s="153">
        <f>IFERROR(VLOOKUP($A$4:$A$71,#REF!,MATCH('FY-(26-27)Q1'!$S$2:$T$2,#REF!,0),0),0)</f>
        <v>0</v>
      </c>
      <c r="T66" s="159">
        <f>IFERROR(VLOOKUP($A$4:$A$71,#REF!,MATCH('FY-(26-27)Q1'!$S$2:$T$2,#REF!,0),0),0)</f>
        <v>0</v>
      </c>
      <c r="U66" s="159"/>
      <c r="V66" s="144"/>
      <c r="W66" s="150"/>
      <c r="Y66" s="154">
        <f t="shared" si="18"/>
        <v>-76796</v>
      </c>
      <c r="Z66" s="168">
        <f t="shared" si="19"/>
        <v>-1.53592</v>
      </c>
    </row>
    <row r="67" spans="1:27" x14ac:dyDescent="0.25">
      <c r="A67" s="59" t="s">
        <v>213</v>
      </c>
      <c r="B67" s="62" t="s">
        <v>209</v>
      </c>
      <c r="C67" s="59" t="s">
        <v>210</v>
      </c>
      <c r="D67" s="62" t="s">
        <v>209</v>
      </c>
      <c r="E67" s="163" t="s">
        <v>256</v>
      </c>
      <c r="F67" s="114">
        <v>4</v>
      </c>
      <c r="G67" s="153">
        <f>IFERROR(VLOOKUP($A$3:$A$136,'APR-2026'!$A$4:$ABX$112,MATCH('FY-(26-27)Q1'!$G$2:$H$2,'APR-2026'!$A$2:$BY$2,0),0),0)</f>
        <v>0</v>
      </c>
      <c r="H67" s="155">
        <f>IFERROR(VLOOKUP($A$3:$A$136,'APR-2026'!$A$4:$ABX$112,MATCH('FY-(26-27)Q1'!$G$2:$H$2,'APR-2026'!$A$2:$BY$2,0),0),0)</f>
        <v>0</v>
      </c>
      <c r="I67" s="153">
        <f>IFERROR(VLOOKUP($A$3:$A$136,'MAY-2026'!$A$4:$ACP$113,MATCH('FY-(26-27)Q1'!$I$2:$J$2,'MAY-2026'!$A$2:$CQ$2,0),0),0)</f>
        <v>-206359</v>
      </c>
      <c r="J67" s="155">
        <f>IFERROR(VLOOKUP($A$3:$A$136,'MAY-2026'!$A$4:$ACP$113,MATCH('FY-(26-27)Q1'!$I$2:$J$2,'MAY-2026'!$A$2:$CQ$2,0),0),0)</f>
        <v>-0.51589750000000001</v>
      </c>
      <c r="K67" s="153">
        <f>IFERROR(VLOOKUP($A$3:$A$136,'JUNE-2026'!$A$4:$ADJ$113,MATCH('FY-(26-27)Q1'!$K$2:$L$2,'JUNE-2026'!$A$2:$DK$2,0),0),0)</f>
        <v>-201593</v>
      </c>
      <c r="L67" s="155">
        <f>IFERROR(VLOOKUP($A$3:$A$136,'JUNE-2026'!$A$4:$ADJ$113,MATCH('FY-(26-27)Q1'!$K$2:$L$2,'JUNE-2026'!$A$2:$DK$2,0),0),0)</f>
        <v>-0.5039825</v>
      </c>
      <c r="M67" s="71">
        <f t="shared" ref="M67:M68" si="37">G67+I67+K67</f>
        <v>-407952</v>
      </c>
      <c r="N67" s="166">
        <f t="shared" ref="N67:N68" si="38">H67+J67+L67</f>
        <v>-1.0198800000000001</v>
      </c>
      <c r="O67" s="215"/>
      <c r="P67" s="153">
        <f>IFERROR(VLOOKUP($A$3:$A$136,'FY-(26-27)Q2'!$A$4:$ABW$120,MATCH('FY-(26-27)Q1'!$P$2:$Q$2,'FY-(26-27)Q2'!$A$2:$BX$2,0),0),0)</f>
        <v>799439</v>
      </c>
      <c r="Q67" s="155">
        <f>IFERROR(VLOOKUP($A$3:$A$136,'FY-(26-27)Q2'!$A$4:$ABW$120,MATCH('FY-(26-27)Q1'!$P$2:$Q$2,'FY-(26-27)Q2'!$A$2:$BX$2,0),0),0)</f>
        <v>1.9985975</v>
      </c>
      <c r="R67" s="159"/>
      <c r="S67" s="153">
        <f>IFERROR(VLOOKUP($A$4:$A$71,#REF!,MATCH('FY-(26-27)Q1'!$S$2:$T$2,#REF!,0),0),0)</f>
        <v>0</v>
      </c>
      <c r="T67" s="159">
        <f>IFERROR(VLOOKUP($A$4:$A$71,#REF!,MATCH('FY-(26-27)Q1'!$S$2:$T$2,#REF!,0),0),0)</f>
        <v>0</v>
      </c>
      <c r="U67" s="159"/>
      <c r="V67" s="144"/>
      <c r="W67" s="150"/>
      <c r="Y67" s="154">
        <f t="shared" si="18"/>
        <v>391487</v>
      </c>
      <c r="Z67" s="168">
        <f t="shared" si="19"/>
        <v>0.97871749999999991</v>
      </c>
    </row>
    <row r="68" spans="1:27" x14ac:dyDescent="0.25">
      <c r="A68" s="59" t="s">
        <v>214</v>
      </c>
      <c r="B68" s="62" t="s">
        <v>209</v>
      </c>
      <c r="C68" s="59" t="s">
        <v>211</v>
      </c>
      <c r="D68" s="62" t="s">
        <v>209</v>
      </c>
      <c r="E68" s="163" t="s">
        <v>256</v>
      </c>
      <c r="F68" s="114">
        <v>1</v>
      </c>
      <c r="G68" s="153">
        <f>IFERROR(VLOOKUP($A$3:$A$136,'APR-2026'!$A$4:$ABX$112,MATCH('FY-(26-27)Q1'!$G$2:$H$2,'APR-2026'!$A$2:$BY$2,0),0),0)</f>
        <v>0</v>
      </c>
      <c r="H68" s="155">
        <f>IFERROR(VLOOKUP($A$3:$A$136,'APR-2026'!$A$4:$ABX$112,MATCH('FY-(26-27)Q1'!$G$2:$H$2,'APR-2026'!$A$2:$BY$2,0),0),0)</f>
        <v>0</v>
      </c>
      <c r="I68" s="153">
        <f>IFERROR(VLOOKUP($A$3:$A$136,'MAY-2026'!$A$4:$ACP$113,MATCH('FY-(26-27)Q1'!$I$2:$J$2,'MAY-2026'!$A$2:$CQ$2,0),0),0)</f>
        <v>-52710</v>
      </c>
      <c r="J68" s="155">
        <f>IFERROR(VLOOKUP($A$3:$A$136,'MAY-2026'!$A$4:$ACP$113,MATCH('FY-(26-27)Q1'!$I$2:$J$2,'MAY-2026'!$A$2:$CQ$2,0),0),0)</f>
        <v>-0.52710000000000001</v>
      </c>
      <c r="K68" s="153">
        <f>IFERROR(VLOOKUP($A$3:$A$136,'JUNE-2026'!$A$4:$ADJ$113,MATCH('FY-(26-27)Q1'!$K$2:$L$2,'JUNE-2026'!$A$2:$DK$2,0),0),0)</f>
        <v>29428</v>
      </c>
      <c r="L68" s="155">
        <f>IFERROR(VLOOKUP($A$3:$A$136,'JUNE-2026'!$A$4:$ADJ$113,MATCH('FY-(26-27)Q1'!$K$2:$L$2,'JUNE-2026'!$A$2:$DK$2,0),0),0)</f>
        <v>0.29427999999999999</v>
      </c>
      <c r="M68" s="71">
        <f t="shared" si="37"/>
        <v>-23282</v>
      </c>
      <c r="N68" s="166">
        <f t="shared" si="38"/>
        <v>-0.23282000000000003</v>
      </c>
      <c r="O68" s="215"/>
      <c r="P68" s="153">
        <f>IFERROR(VLOOKUP($A$3:$A$136,'FY-(26-27)Q2'!$A$4:$ABW$120,MATCH('FY-(26-27)Q1'!$P$2:$Q$2,'FY-(26-27)Q2'!$A$2:$BX$2,0),0),0)</f>
        <v>208394</v>
      </c>
      <c r="Q68" s="155">
        <f>IFERROR(VLOOKUP($A$3:$A$136,'FY-(26-27)Q2'!$A$4:$ABW$120,MATCH('FY-(26-27)Q1'!$P$2:$Q$2,'FY-(26-27)Q2'!$A$2:$BX$2,0),0),0)</f>
        <v>1.6671520000000002</v>
      </c>
      <c r="R68" s="159"/>
      <c r="S68" s="153">
        <f>IFERROR(VLOOKUP($A$4:$A$71,#REF!,MATCH('FY-(26-27)Q1'!$S$2:$T$2,#REF!,0),0),0)</f>
        <v>0</v>
      </c>
      <c r="T68" s="159">
        <f>IFERROR(VLOOKUP($A$4:$A$71,#REF!,MATCH('FY-(26-27)Q1'!$S$2:$T$2,#REF!,0),0),0)</f>
        <v>0</v>
      </c>
      <c r="U68" s="159"/>
      <c r="V68" s="144"/>
      <c r="W68" s="150"/>
      <c r="Y68" s="154">
        <f t="shared" si="18"/>
        <v>185112</v>
      </c>
      <c r="Z68" s="168">
        <f t="shared" si="19"/>
        <v>1.4343320000000002</v>
      </c>
    </row>
    <row r="69" spans="1:27" x14ac:dyDescent="0.25">
      <c r="A69" s="59" t="s">
        <v>120</v>
      </c>
      <c r="B69" s="59" t="s">
        <v>99</v>
      </c>
      <c r="C69" s="59" t="s">
        <v>38</v>
      </c>
      <c r="D69" s="59" t="s">
        <v>99</v>
      </c>
      <c r="E69" s="59" t="s">
        <v>256</v>
      </c>
      <c r="F69" s="114">
        <v>3</v>
      </c>
      <c r="G69" s="153">
        <f>IFERROR(VLOOKUP($A$3:$A$136,'APR-2026'!$A$4:$ABX$112,MATCH('FY-(26-27)Q1'!$G$2:$H$2,'APR-2026'!$A$2:$BY$2,0),0),0)</f>
        <v>0</v>
      </c>
      <c r="H69" s="155">
        <f>IFERROR(VLOOKUP($A$3:$A$136,'APR-2026'!$A$4:$ABX$112,MATCH('FY-(26-27)Q1'!$G$2:$H$2,'APR-2026'!$A$2:$BY$2,0),0),0)</f>
        <v>0</v>
      </c>
      <c r="I69" s="153">
        <f>IFERROR(VLOOKUP($A$3:$A$136,'MAY-2026'!$A$4:$ACP$113,MATCH('FY-(26-27)Q1'!$I$2:$J$2,'MAY-2026'!$A$2:$CQ$2,0),0),0)</f>
        <v>0</v>
      </c>
      <c r="J69" s="155">
        <f>IFERROR(VLOOKUP($A$3:$A$136,'MAY-2026'!$A$4:$ACP$113,MATCH('FY-(26-27)Q1'!$I$2:$J$2,'MAY-2026'!$A$2:$CQ$2,0),0),0)</f>
        <v>0</v>
      </c>
      <c r="K69" s="153">
        <f>IFERROR(VLOOKUP($A$3:$A$136,'JUNE-2026'!$A$4:$ADJ$113,MATCH('FY-(26-27)Q1'!$K$2:$L$2,'JUNE-2026'!$A$2:$DK$2,0),0),0)</f>
        <v>0</v>
      </c>
      <c r="L69" s="155">
        <f>IFERROR(VLOOKUP($A$3:$A$136,'JUNE-2026'!$A$4:$ADJ$113,MATCH('FY-(26-27)Q1'!$K$2:$L$2,'JUNE-2026'!$A$2:$DK$2,0),0),0)</f>
        <v>0</v>
      </c>
      <c r="M69" s="71">
        <f t="shared" si="2"/>
        <v>0</v>
      </c>
      <c r="N69" s="166">
        <f t="shared" si="3"/>
        <v>0</v>
      </c>
      <c r="O69" s="215"/>
      <c r="P69" s="153">
        <f>IFERROR(VLOOKUP($A$3:$A$136,'FY-(26-27)Q2'!$A$4:$ABW$120,MATCH('FY-(26-27)Q1'!$P$2:$Q$2,'FY-(26-27)Q2'!$A$2:$BX$2,0),0),0)</f>
        <v>0</v>
      </c>
      <c r="Q69" s="155">
        <f>IFERROR(VLOOKUP($A$3:$A$136,'FY-(26-27)Q2'!$A$4:$ABW$120,MATCH('FY-(26-27)Q1'!$P$2:$Q$2,'FY-(26-27)Q2'!$A$2:$BX$2,0),0),0)</f>
        <v>0</v>
      </c>
      <c r="R69" s="159"/>
      <c r="S69" s="88">
        <f>IFERROR(VLOOKUP($A$4:$A$71,#REF!,MATCH('FY-(26-27)Q1'!$S$2:$T$2,#REF!,0),0),0)</f>
        <v>0</v>
      </c>
      <c r="T69" s="124">
        <f>IFERROR(VLOOKUP($A$4:$A$71,#REF!,MATCH('FY-(26-27)Q1'!$S$2:$T$2,#REF!,0),0),0)</f>
        <v>0</v>
      </c>
      <c r="U69" s="159"/>
      <c r="V69" s="45"/>
      <c r="W69" s="72"/>
      <c r="Y69" s="154">
        <f t="shared" si="18"/>
        <v>0</v>
      </c>
      <c r="Z69" s="168">
        <f t="shared" si="19"/>
        <v>0</v>
      </c>
    </row>
    <row r="70" spans="1:27" x14ac:dyDescent="0.25">
      <c r="A70" s="59" t="s">
        <v>49</v>
      </c>
      <c r="B70" s="59" t="s">
        <v>99</v>
      </c>
      <c r="C70" s="59" t="s">
        <v>100</v>
      </c>
      <c r="D70" s="59" t="s">
        <v>99</v>
      </c>
      <c r="E70" s="59" t="s">
        <v>256</v>
      </c>
      <c r="F70" s="114">
        <v>2.5</v>
      </c>
      <c r="G70" s="153">
        <f>IFERROR(VLOOKUP($A$3:$A$136,'APR-2026'!$A$4:$ABX$112,MATCH('FY-(26-27)Q1'!$G$2:$H$2,'APR-2026'!$A$2:$BY$2,0),0),0)</f>
        <v>251440</v>
      </c>
      <c r="H70" s="155">
        <f>IFERROR(VLOOKUP($A$3:$A$136,'APR-2026'!$A$4:$ABX$112,MATCH('FY-(26-27)Q1'!$G$2:$H$2,'APR-2026'!$A$2:$BY$2,0),0),0)</f>
        <v>0.83813333333333329</v>
      </c>
      <c r="I70" s="153">
        <f>IFERROR(VLOOKUP($A$3:$A$136,'MAY-2026'!$A$4:$ACP$113,MATCH('FY-(26-27)Q1'!$I$2:$J$2,'MAY-2026'!$A$2:$CQ$2,0),0),0)</f>
        <v>-173423</v>
      </c>
      <c r="J70" s="155">
        <f>IFERROR(VLOOKUP($A$3:$A$136,'MAY-2026'!$A$4:$ACP$113,MATCH('FY-(26-27)Q1'!$I$2:$J$2,'MAY-2026'!$A$2:$CQ$2,0),0),0)</f>
        <v>-0.57807666666666657</v>
      </c>
      <c r="K70" s="153">
        <f>IFERROR(VLOOKUP($A$3:$A$136,'JUNE-2026'!$A$4:$ADJ$113,MATCH('FY-(26-27)Q1'!$K$2:$L$2,'JUNE-2026'!$A$2:$DK$2,0),0),0)</f>
        <v>-245399</v>
      </c>
      <c r="L70" s="155">
        <f>IFERROR(VLOOKUP($A$3:$A$136,'JUNE-2026'!$A$4:$ADJ$113,MATCH('FY-(26-27)Q1'!$K$2:$L$2,'JUNE-2026'!$A$2:$DK$2,0),0),0)</f>
        <v>-0.81799666666666671</v>
      </c>
      <c r="M70" s="71">
        <f t="shared" si="2"/>
        <v>-167382</v>
      </c>
      <c r="N70" s="166">
        <f t="shared" si="3"/>
        <v>-0.55793999999999999</v>
      </c>
      <c r="O70" s="215"/>
      <c r="P70" s="153">
        <f>IFERROR(VLOOKUP($A$3:$A$136,'FY-(26-27)Q2'!$A$4:$ABW$120,MATCH('FY-(26-27)Q1'!$P$2:$Q$2,'FY-(26-27)Q2'!$A$2:$BX$2,0),0),0)</f>
        <v>723115</v>
      </c>
      <c r="Q70" s="155">
        <f>IFERROR(VLOOKUP($A$3:$A$136,'FY-(26-27)Q2'!$A$4:$ABW$120,MATCH('FY-(26-27)Q1'!$P$2:$Q$2,'FY-(26-27)Q2'!$A$2:$BX$2,0),0),0)</f>
        <v>2.4103833333333338</v>
      </c>
      <c r="R70" s="159"/>
      <c r="S70" s="88">
        <f>IFERROR(VLOOKUP($A$4:$A$71,#REF!,MATCH('FY-(26-27)Q1'!$S$2:$T$2,#REF!,0),0),0)</f>
        <v>0</v>
      </c>
      <c r="T70" s="124">
        <f>IFERROR(VLOOKUP($A$4:$A$71,#REF!,MATCH('FY-(26-27)Q1'!$S$2:$T$2,#REF!,0),0),0)</f>
        <v>0</v>
      </c>
      <c r="U70" s="159"/>
      <c r="V70" s="45"/>
      <c r="W70" s="72"/>
      <c r="Y70" s="154">
        <f t="shared" si="18"/>
        <v>555733</v>
      </c>
      <c r="Z70" s="168">
        <f t="shared" si="19"/>
        <v>1.8524433333333339</v>
      </c>
    </row>
    <row r="71" spans="1:27" x14ac:dyDescent="0.25">
      <c r="A71" s="59" t="s">
        <v>41</v>
      </c>
      <c r="B71" s="59" t="s">
        <v>86</v>
      </c>
      <c r="C71" s="59" t="s">
        <v>173</v>
      </c>
      <c r="D71" s="59" t="s">
        <v>86</v>
      </c>
      <c r="E71" s="59" t="s">
        <v>256</v>
      </c>
      <c r="F71" s="114">
        <v>1.5</v>
      </c>
      <c r="G71" s="153">
        <f>IFERROR(VLOOKUP($A$3:$A$136,'APR-2026'!$A$4:$ABX$112,MATCH('FY-(26-27)Q1'!$G$2:$H$2,'APR-2026'!$A$2:$BY$2,0),0),0)</f>
        <v>-37267</v>
      </c>
      <c r="H71" s="155">
        <f>IFERROR(VLOOKUP($A$3:$A$136,'APR-2026'!$A$4:$ABX$112,MATCH('FY-(26-27)Q1'!$G$2:$H$2,'APR-2026'!$A$2:$BY$2,0),0),0)</f>
        <v>-0.14906800000000001</v>
      </c>
      <c r="I71" s="153">
        <f>IFERROR(VLOOKUP($A$3:$A$136,'MAY-2026'!$A$4:$ACP$113,MATCH('FY-(26-27)Q1'!$I$2:$J$2,'MAY-2026'!$A$2:$CQ$2,0),0),0)</f>
        <v>-50171</v>
      </c>
      <c r="J71" s="155">
        <f>IFERROR(VLOOKUP($A$3:$A$136,'MAY-2026'!$A$4:$ACP$113,MATCH('FY-(26-27)Q1'!$I$2:$J$2,'MAY-2026'!$A$2:$CQ$2,0),0),0)</f>
        <v>-0.20068400000000003</v>
      </c>
      <c r="K71" s="153">
        <f>IFERROR(VLOOKUP($A$3:$A$136,'JUNE-2026'!$A$4:$ADJ$113,MATCH('FY-(26-27)Q1'!$K$2:$L$2,'JUNE-2026'!$A$2:$DK$2,0),0),0)</f>
        <v>-184314</v>
      </c>
      <c r="L71" s="155">
        <f>IFERROR(VLOOKUP($A$3:$A$136,'JUNE-2026'!$A$4:$ADJ$113,MATCH('FY-(26-27)Q1'!$K$2:$L$2,'JUNE-2026'!$A$2:$DK$2,0),0),0)</f>
        <v>-0.73725600000000013</v>
      </c>
      <c r="M71" s="71">
        <f t="shared" si="2"/>
        <v>-271752</v>
      </c>
      <c r="N71" s="166">
        <f t="shared" si="3"/>
        <v>-1.0870080000000002</v>
      </c>
      <c r="O71" s="215"/>
      <c r="P71" s="153">
        <f>IFERROR(VLOOKUP($A$3:$A$136,'FY-(26-27)Q2'!$A$4:$ABW$120,MATCH('FY-(26-27)Q1'!$P$2:$Q$2,'FY-(26-27)Q2'!$A$2:$BX$2,0),0),0)</f>
        <v>-42961</v>
      </c>
      <c r="Q71" s="155">
        <f>IFERROR(VLOOKUP($A$3:$A$136,'FY-(26-27)Q2'!$A$4:$ABW$120,MATCH('FY-(26-27)Q1'!$P$2:$Q$2,'FY-(26-27)Q2'!$A$2:$BX$2,0),0),0)</f>
        <v>-0.171844</v>
      </c>
      <c r="R71" s="159"/>
      <c r="S71" s="88">
        <f>IFERROR(VLOOKUP($A$4:$A$71,#REF!,MATCH('FY-(26-27)Q1'!$S$2:$T$2,#REF!,0),0),0)</f>
        <v>0</v>
      </c>
      <c r="T71" s="124">
        <f>IFERROR(VLOOKUP($A$4:$A$71,#REF!,MATCH('FY-(26-27)Q1'!$S$2:$T$2,#REF!,0),0),0)</f>
        <v>0</v>
      </c>
      <c r="U71" s="159"/>
      <c r="V71" s="45"/>
      <c r="W71" s="72"/>
      <c r="Y71" s="154">
        <f t="shared" si="18"/>
        <v>-314713</v>
      </c>
      <c r="Z71" s="168">
        <f t="shared" si="19"/>
        <v>-1.2588520000000001</v>
      </c>
    </row>
    <row r="72" spans="1:27" s="132" customFormat="1" x14ac:dyDescent="0.25">
      <c r="A72" s="59" t="s">
        <v>300</v>
      </c>
      <c r="B72" s="59" t="s">
        <v>286</v>
      </c>
      <c r="C72" s="59" t="s">
        <v>299</v>
      </c>
      <c r="D72" s="59"/>
      <c r="E72" s="59" t="s">
        <v>256</v>
      </c>
      <c r="F72" s="114">
        <v>0.25</v>
      </c>
      <c r="G72" s="153">
        <f>IFERROR(VLOOKUP($A$3:$A$136,'APR-2026'!$A$4:$ABX$112,MATCH('FY-(26-27)Q1'!$G$2:$H$2,'APR-2026'!$A$2:$BY$2,0),0),0)</f>
        <v>0</v>
      </c>
      <c r="H72" s="155">
        <f>IFERROR(VLOOKUP($A$3:$A$136,'APR-2026'!$A$4:$ABX$112,MATCH('FY-(26-27)Q1'!$G$2:$H$2,'APR-2026'!$A$2:$BY$2,0),0),0)</f>
        <v>0</v>
      </c>
      <c r="I72" s="153">
        <f>IFERROR(VLOOKUP($A$3:$A$136,'MAY-2026'!$A$4:$ACP$113,MATCH('FY-(26-27)Q1'!$I$2:$J$2,'MAY-2026'!$A$2:$CQ$2,0),0),0)</f>
        <v>0</v>
      </c>
      <c r="J72" s="155">
        <f>IFERROR(VLOOKUP($A$3:$A$136,'MAY-2026'!$A$4:$ACP$113,MATCH('FY-(26-27)Q1'!$I$2:$J$2,'MAY-2026'!$A$2:$CQ$2,0),0),0)</f>
        <v>0</v>
      </c>
      <c r="K72" s="153">
        <f>IFERROR(VLOOKUP($A$3:$A$136,'JUNE-2026'!$A$4:$ADJ$113,MATCH('FY-(26-27)Q1'!$K$2:$L$2,'JUNE-2026'!$A$2:$DK$2,0),0),0)</f>
        <v>0</v>
      </c>
      <c r="L72" s="155">
        <f>IFERROR(VLOOKUP($A$3:$A$136,'JUNE-2026'!$A$4:$ADJ$113,MATCH('FY-(26-27)Q1'!$K$2:$L$2,'JUNE-2026'!$A$2:$DK$2,0),0),0)</f>
        <v>0</v>
      </c>
      <c r="M72" s="71">
        <f t="shared" ref="M72:M73" si="39">G72+I72+K72</f>
        <v>0</v>
      </c>
      <c r="N72" s="166">
        <f t="shared" ref="N72:N73" si="40">H72+J72+L72</f>
        <v>0</v>
      </c>
      <c r="O72" s="215"/>
      <c r="P72" s="153">
        <f>IFERROR(VLOOKUP($A$3:$A$136,'FY-(26-27)Q2'!$A$4:$ABW$120,MATCH('FY-(26-27)Q1'!$P$2:$Q$2,'FY-(26-27)Q2'!$A$2:$BX$2,0),0),0)</f>
        <v>-6157</v>
      </c>
      <c r="Q72" s="155">
        <f>IFERROR(VLOOKUP($A$3:$A$136,'FY-(26-27)Q2'!$A$4:$ABW$120,MATCH('FY-(26-27)Q1'!$P$2:$Q$2,'FY-(26-27)Q2'!$A$2:$BX$2,0),0),0)</f>
        <v>-0.24628</v>
      </c>
      <c r="R72" s="159"/>
      <c r="S72" s="153">
        <f>IFERROR(VLOOKUP($A$4:$A$71,#REF!,MATCH('FY-(26-27)Q1'!$S$2:$T$2,#REF!,0),0),0)</f>
        <v>0</v>
      </c>
      <c r="T72" s="159">
        <f>IFERROR(VLOOKUP($A$4:$A$71,#REF!,MATCH('FY-(26-27)Q1'!$S$2:$T$2,#REF!,0),0),0)</f>
        <v>0</v>
      </c>
      <c r="U72" s="159"/>
      <c r="V72" s="144"/>
      <c r="W72" s="150"/>
      <c r="Y72" s="154">
        <f t="shared" ref="Y72:Y73" si="41">M72+P72+S72+V72</f>
        <v>-6157</v>
      </c>
      <c r="Z72" s="168">
        <f t="shared" ref="Z72:Z73" si="42">(N72+Q72+T72+W72)</f>
        <v>-0.24628</v>
      </c>
    </row>
    <row r="73" spans="1:27" s="132" customFormat="1" x14ac:dyDescent="0.25">
      <c r="A73" s="59" t="s">
        <v>288</v>
      </c>
      <c r="B73" s="59" t="s">
        <v>286</v>
      </c>
      <c r="C73" s="59" t="s">
        <v>285</v>
      </c>
      <c r="D73" s="59"/>
      <c r="E73" s="59" t="s">
        <v>287</v>
      </c>
      <c r="F73" s="114">
        <v>5</v>
      </c>
      <c r="G73" s="153">
        <f>IFERROR(VLOOKUP($A$3:$A$136,'APR-2026'!$A$4:$ABX$112,MATCH('FY-(26-27)Q1'!$G$2:$H$2,'APR-2026'!$A$2:$BY$2,0),0),0)</f>
        <v>0</v>
      </c>
      <c r="H73" s="155">
        <f>IFERROR(VLOOKUP($A$3:$A$136,'APR-2026'!$A$4:$ABX$112,MATCH('FY-(26-27)Q1'!$G$2:$H$2,'APR-2026'!$A$2:$BY$2,0),0),0)</f>
        <v>0</v>
      </c>
      <c r="I73" s="153">
        <f>IFERROR(VLOOKUP($A$3:$A$136,'MAY-2026'!$A$4:$ACP$113,MATCH('FY-(26-27)Q1'!$I$2:$J$2,'MAY-2026'!$A$2:$CQ$2,0),0),0)</f>
        <v>0</v>
      </c>
      <c r="J73" s="155">
        <f>IFERROR(VLOOKUP($A$3:$A$136,'MAY-2026'!$A$4:$ACP$113,MATCH('FY-(26-27)Q1'!$I$2:$J$2,'MAY-2026'!$A$2:$CQ$2,0),0),0)</f>
        <v>0</v>
      </c>
      <c r="K73" s="153">
        <f>IFERROR(VLOOKUP($A$3:$A$136,'JUNE-2026'!$A$4:$ADJ$113,MATCH('FY-(26-27)Q1'!$K$2:$L$2,'JUNE-2026'!$A$2:$DK$2,0),0),0)</f>
        <v>0</v>
      </c>
      <c r="L73" s="155">
        <f>IFERROR(VLOOKUP($A$3:$A$136,'JUNE-2026'!$A$4:$ADJ$113,MATCH('FY-(26-27)Q1'!$K$2:$L$2,'JUNE-2026'!$A$2:$DK$2,0),0),0)</f>
        <v>0</v>
      </c>
      <c r="M73" s="71">
        <f t="shared" si="39"/>
        <v>0</v>
      </c>
      <c r="N73" s="166">
        <f t="shared" si="40"/>
        <v>0</v>
      </c>
      <c r="O73" s="215"/>
      <c r="P73" s="153">
        <f>IFERROR(VLOOKUP($A$3:$A$136,'FY-(26-27)Q2'!$A$4:$ABW$120,MATCH('FY-(26-27)Q1'!$P$2:$Q$2,'FY-(26-27)Q2'!$A$2:$BX$2,0),0),0)</f>
        <v>203148</v>
      </c>
      <c r="Q73" s="155">
        <f>IFERROR(VLOOKUP($A$3:$A$136,'FY-(26-27)Q2'!$A$4:$ABW$120,MATCH('FY-(26-27)Q1'!$P$2:$Q$2,'FY-(26-27)Q2'!$A$2:$BX$2,0),0),0)</f>
        <v>0.40629599999999993</v>
      </c>
      <c r="R73" s="159"/>
      <c r="S73" s="153">
        <f>IFERROR(VLOOKUP($A$4:$A$71,#REF!,MATCH('FY-(26-27)Q1'!$S$2:$T$2,#REF!,0),0),0)</f>
        <v>0</v>
      </c>
      <c r="T73" s="159">
        <f>IFERROR(VLOOKUP($A$4:$A$71,#REF!,MATCH('FY-(26-27)Q1'!$S$2:$T$2,#REF!,0),0),0)</f>
        <v>0</v>
      </c>
      <c r="U73" s="159"/>
      <c r="V73" s="144"/>
      <c r="W73" s="150"/>
      <c r="Y73" s="154">
        <f t="shared" si="41"/>
        <v>203148</v>
      </c>
      <c r="Z73" s="168">
        <f t="shared" si="42"/>
        <v>0.40629599999999993</v>
      </c>
    </row>
    <row r="74" spans="1:27" x14ac:dyDescent="0.25">
      <c r="A74" s="20"/>
      <c r="B74" s="21"/>
      <c r="C74" s="20"/>
      <c r="D74" s="22"/>
      <c r="E74" s="208"/>
      <c r="F74" s="1"/>
      <c r="G74" s="89">
        <f>SUM(G4:G71)</f>
        <v>18164639</v>
      </c>
      <c r="H74" s="90"/>
      <c r="I74" s="99">
        <f>SUM(I4:I71)</f>
        <v>-608314</v>
      </c>
      <c r="J74" s="100"/>
      <c r="K74" s="109">
        <f>SUM(K4:K71)</f>
        <v>1801210</v>
      </c>
      <c r="L74" s="109"/>
      <c r="M74" s="122"/>
      <c r="N74" s="122"/>
      <c r="O74" s="122"/>
      <c r="P74" s="109">
        <f>SUM(P4:P71)</f>
        <v>12568331</v>
      </c>
      <c r="Q74" s="122"/>
      <c r="R74" s="122"/>
      <c r="S74" s="122"/>
      <c r="T74" s="122"/>
      <c r="U74" s="122"/>
      <c r="V74" s="56"/>
      <c r="W74" s="50"/>
      <c r="Y74" s="154">
        <f>SUM(Y4:Y73)</f>
        <v>32122857</v>
      </c>
      <c r="Z74" s="161"/>
    </row>
    <row r="75" spans="1:27" ht="15.75" thickBot="1" x14ac:dyDescent="0.3">
      <c r="A75" s="1"/>
      <c r="B75" s="1"/>
      <c r="C75" s="1"/>
      <c r="D75" s="1"/>
      <c r="F75" s="1"/>
      <c r="G75" s="91"/>
      <c r="H75" s="92"/>
      <c r="I75" s="101"/>
      <c r="J75" s="102"/>
      <c r="K75" s="110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51"/>
      <c r="W75" s="54"/>
    </row>
    <row r="76" spans="1:27" ht="16.5" thickBot="1" x14ac:dyDescent="0.3">
      <c r="A76" s="1"/>
      <c r="B76" s="1"/>
      <c r="C76" s="1"/>
      <c r="D76" s="1"/>
      <c r="F76" s="1"/>
      <c r="G76" s="84" t="s">
        <v>149</v>
      </c>
      <c r="H76" s="85" t="s">
        <v>150</v>
      </c>
      <c r="I76" s="95" t="s">
        <v>159</v>
      </c>
      <c r="J76" s="96" t="s">
        <v>160</v>
      </c>
      <c r="K76" s="105" t="s">
        <v>161</v>
      </c>
      <c r="L76" s="106" t="s">
        <v>162</v>
      </c>
      <c r="M76" s="67" t="s">
        <v>90</v>
      </c>
      <c r="N76" s="68" t="s">
        <v>125</v>
      </c>
      <c r="O76" s="213"/>
      <c r="P76" s="67" t="s">
        <v>89</v>
      </c>
      <c r="Q76" s="68" t="s">
        <v>126</v>
      </c>
      <c r="R76" s="213"/>
      <c r="S76" s="67" t="s">
        <v>101</v>
      </c>
      <c r="T76" s="68" t="s">
        <v>127</v>
      </c>
      <c r="U76" s="213"/>
      <c r="V76" s="67" t="s">
        <v>119</v>
      </c>
      <c r="W76" s="68" t="s">
        <v>78</v>
      </c>
      <c r="Y76" s="127" t="s">
        <v>163</v>
      </c>
      <c r="Z76" s="128" t="s">
        <v>78</v>
      </c>
    </row>
    <row r="77" spans="1:27" x14ac:dyDescent="0.25">
      <c r="A77" s="75" t="s">
        <v>36</v>
      </c>
      <c r="B77" s="76" t="s">
        <v>71</v>
      </c>
      <c r="C77" s="77" t="s">
        <v>57</v>
      </c>
      <c r="D77" s="77" t="s">
        <v>87</v>
      </c>
      <c r="E77" s="77" t="s">
        <v>256</v>
      </c>
      <c r="F77" s="241">
        <v>30</v>
      </c>
      <c r="G77" s="239">
        <f>IFERROR(VLOOKUP($A$3:$A$136,'APR-2026'!$A$4:$ABX$112,MATCH('FY-(26-27)Q1'!$G$2:$H$2,'APR-2026'!$A$2:$BY$2,0),0),0)</f>
        <v>3718000</v>
      </c>
      <c r="H77" s="159">
        <f>IFERROR(VLOOKUP($A$3:$A$136,'APR-2026'!$A$4:$ABX$112,MATCH('FY-(26-27)Q1'!$G$2:$H$2,'APR-2026'!$A$2:$BY$2,0),0),0)</f>
        <v>1.2393333333333332</v>
      </c>
      <c r="I77" s="153">
        <f>IFERROR(VLOOKUP($A$3:$A$136,'MAY-2026'!$A$4:$ACP$113,MATCH('FY-(26-27)Q1'!$I$2:$J$2,'MAY-2026'!$A$2:$CQ$2,0),0),0)</f>
        <v>-191500</v>
      </c>
      <c r="J77" s="155">
        <f>IFERROR(VLOOKUP($A$3:$A$136,'MAY-2026'!$A$4:$ACP$113,MATCH('FY-(26-27)Q1'!$I$2:$J$2,'MAY-2026'!$A$2:$CQ$2,0),0),0)</f>
        <v>-6.3833333333333325E-2</v>
      </c>
      <c r="K77" s="153">
        <f>IFERROR(VLOOKUP($A$3:$A$136,'JUNE-2026'!$A$4:$ADJ$113,MATCH('FY-(26-27)Q1'!$K$2:$L$2,'JUNE-2026'!$A$2:$DK$2,0),0),0)</f>
        <v>269000</v>
      </c>
      <c r="L77" s="155">
        <f>IFERROR(VLOOKUP($A$3:$A$136,'JUNE-2026'!$A$4:$ADJ$113,MATCH('FY-(26-27)Q1'!$K$2:$L$2,'JUNE-2026'!$A$2:$DK$2,0),0),0)</f>
        <v>8.9666666666666658E-2</v>
      </c>
      <c r="M77" s="88">
        <f t="shared" ref="M77:N79" si="43">G77+I77+K77</f>
        <v>3795500</v>
      </c>
      <c r="N77" s="167">
        <f t="shared" si="43"/>
        <v>1.2651666666666663</v>
      </c>
      <c r="O77" s="167"/>
      <c r="P77" s="153">
        <f>IFERROR(VLOOKUP($A$3:$A$136,'FY-(26-27)Q2'!$A$4:$ABW$120,MATCH('FY-(26-27)Q1'!$P$2:$Q$2,'FY-(26-27)Q2'!$A$2:$BX$2,0),0),0)</f>
        <v>0</v>
      </c>
      <c r="Q77" s="155">
        <f>IFERROR(VLOOKUP($A$3:$A$136,'FY-(26-27)Q2'!$A$4:$ABW$120,MATCH('FY-(26-27)Q1'!$P$2:$Q$2,'FY-(26-27)Q2'!$A$2:$BX$2,0),0),0)</f>
        <v>0</v>
      </c>
      <c r="R77" s="159"/>
      <c r="S77" s="153">
        <f>IFERROR(VLOOKUP($A$4:$A$71,#REF!,MATCH('FY-(26-27)Q1'!$S$2:$T$2,#REF!,0),0),0)</f>
        <v>0</v>
      </c>
      <c r="T77" s="159">
        <f>IFERROR(VLOOKUP($A$4:$A$71,#REF!,MATCH('FY-(26-27)Q1'!$S$2:$T$2,#REF!,0),0),0)</f>
        <v>0</v>
      </c>
      <c r="U77" s="219"/>
      <c r="V77" s="52"/>
      <c r="W77" s="53"/>
      <c r="Y77" s="52">
        <f t="shared" ref="Y77:Z79" si="44">M77+P77+S77+V77</f>
        <v>3795500</v>
      </c>
      <c r="Z77" s="53">
        <f t="shared" si="44"/>
        <v>1.2651666666666663</v>
      </c>
    </row>
    <row r="78" spans="1:27" x14ac:dyDescent="0.25">
      <c r="A78" s="79" t="s">
        <v>37</v>
      </c>
      <c r="B78" s="141" t="s">
        <v>77</v>
      </c>
      <c r="C78" s="41" t="s">
        <v>57</v>
      </c>
      <c r="D78" s="41" t="s">
        <v>87</v>
      </c>
      <c r="E78" s="41" t="s">
        <v>107</v>
      </c>
      <c r="F78" s="242">
        <v>2</v>
      </c>
      <c r="G78" s="239">
        <f>IFERROR(VLOOKUP($A$3:$A$136,'APR-2026'!$A$4:$ABX$112,MATCH('FY-(26-27)Q1'!$G$2:$H$2,'APR-2026'!$A$2:$BY$2,0),0),0)</f>
        <v>3262972</v>
      </c>
      <c r="H78" s="159">
        <f>IFERROR(VLOOKUP($A$3:$A$136,'APR-2026'!$A$4:$ABX$112,MATCH('FY-(26-27)Q1'!$G$2:$H$2,'APR-2026'!$A$2:$BY$2,0),0),0)</f>
        <v>16.314859999999999</v>
      </c>
      <c r="I78" s="153">
        <f>IFERROR(VLOOKUP($A$3:$A$136,'MAY-2026'!$A$4:$ACP$113,MATCH('FY-(26-27)Q1'!$I$2:$J$2,'MAY-2026'!$A$2:$CQ$2,0),0),0)</f>
        <v>0</v>
      </c>
      <c r="J78" s="155">
        <f>IFERROR(VLOOKUP($A$3:$A$136,'MAY-2026'!$A$4:$ACP$113,MATCH('FY-(26-27)Q1'!$I$2:$J$2,'MAY-2026'!$A$2:$CQ$2,0),0),0)</f>
        <v>0</v>
      </c>
      <c r="K78" s="153">
        <f>IFERROR(VLOOKUP($A$3:$A$136,'JUNE-2026'!$A$4:$ADJ$113,MATCH('FY-(26-27)Q1'!$K$2:$L$2,'JUNE-2026'!$A$2:$DK$2,0),0),0)</f>
        <v>0</v>
      </c>
      <c r="L78" s="155">
        <f>IFERROR(VLOOKUP($A$3:$A$136,'JUNE-2026'!$A$4:$ADJ$113,MATCH('FY-(26-27)Q1'!$K$2:$L$2,'JUNE-2026'!$A$2:$DK$2,0),0),0)</f>
        <v>0</v>
      </c>
      <c r="M78" s="153">
        <f t="shared" si="43"/>
        <v>3262972</v>
      </c>
      <c r="N78" s="167">
        <f t="shared" si="43"/>
        <v>16.314859999999999</v>
      </c>
      <c r="O78" s="167"/>
      <c r="P78" s="153">
        <f>IFERROR(VLOOKUP($A$3:$A$136,'FY-(26-27)Q2'!$A$4:$ABW$120,MATCH('FY-(26-27)Q1'!$P$2:$Q$2,'FY-(26-27)Q2'!$A$2:$BX$2,0),0),0)</f>
        <v>0</v>
      </c>
      <c r="Q78" s="155">
        <f>IFERROR(VLOOKUP($A$3:$A$136,'FY-(26-27)Q2'!$A$4:$ABW$120,MATCH('FY-(26-27)Q1'!$P$2:$Q$2,'FY-(26-27)Q2'!$A$2:$BX$2,0),0),0)</f>
        <v>0</v>
      </c>
      <c r="R78" s="159"/>
      <c r="S78" s="153">
        <f>IFERROR(VLOOKUP($A$4:$A$71,#REF!,MATCH('FY-(26-27)Q1'!$S$2:$T$2,#REF!,0),0),0)</f>
        <v>0</v>
      </c>
      <c r="T78" s="159">
        <f>IFERROR(VLOOKUP($A$4:$A$71,#REF!,MATCH('FY-(26-27)Q1'!$S$2:$T$2,#REF!,0),0),0)</f>
        <v>0</v>
      </c>
      <c r="U78" s="219"/>
      <c r="V78" s="52"/>
      <c r="W78" s="53"/>
      <c r="Y78" s="52">
        <f t="shared" si="44"/>
        <v>3262972</v>
      </c>
      <c r="Z78" s="53">
        <f t="shared" si="44"/>
        <v>16.314859999999999</v>
      </c>
    </row>
    <row r="79" spans="1:27" x14ac:dyDescent="0.25">
      <c r="A79" s="79" t="s">
        <v>241</v>
      </c>
      <c r="B79" s="141" t="s">
        <v>240</v>
      </c>
      <c r="C79" s="141" t="s">
        <v>57</v>
      </c>
      <c r="D79" s="141"/>
      <c r="E79" s="141"/>
      <c r="F79" s="207"/>
      <c r="G79" s="239">
        <f>IFERROR(VLOOKUP($A$3:$A$136,'APR-2026'!$A$4:$ABX$112,MATCH('FY-(26-27)Q1'!$G$2:$H$2,'APR-2026'!$A$2:$BY$2,0),0),0)</f>
        <v>0</v>
      </c>
      <c r="H79" s="159">
        <f>IFERROR(VLOOKUP($A$3:$A$136,'APR-2026'!$A$4:$ABX$112,MATCH('FY-(26-27)Q1'!$G$2:$H$2,'APR-2026'!$A$2:$BY$2,0),0),0)</f>
        <v>0</v>
      </c>
      <c r="I79" s="153">
        <f>IFERROR(VLOOKUP($A$3:$A$136,'MAY-2026'!$A$4:$ACP$113,MATCH('FY-(26-27)Q1'!$I$2:$J$2,'MAY-2026'!$A$2:$CQ$2,0),0),0)</f>
        <v>212000</v>
      </c>
      <c r="J79" s="155">
        <f>IFERROR(VLOOKUP($A$3:$A$136,'MAY-2026'!$A$4:$ACP$113,MATCH('FY-(26-27)Q1'!$I$2:$J$2,'MAY-2026'!$A$2:$CQ$2,0),0),0)</f>
        <v>0</v>
      </c>
      <c r="K79" s="153">
        <f>IFERROR(VLOOKUP($A$3:$A$136,'JUNE-2026'!$A$4:$ADJ$113,MATCH('FY-(26-27)Q1'!$K$2:$L$2,'JUNE-2026'!$A$2:$DK$2,0),0),0)</f>
        <v>-500</v>
      </c>
      <c r="L79" s="155">
        <f>IFERROR(VLOOKUP($A$3:$A$136,'JUNE-2026'!$A$4:$ADJ$113,MATCH('FY-(26-27)Q1'!$K$2:$L$2,'JUNE-2026'!$A$2:$DK$2,0),0),0)</f>
        <v>0</v>
      </c>
      <c r="M79" s="153">
        <f t="shared" si="43"/>
        <v>211500</v>
      </c>
      <c r="N79" s="167">
        <f t="shared" si="43"/>
        <v>0</v>
      </c>
      <c r="O79" s="167"/>
      <c r="P79" s="153">
        <f>IFERROR(VLOOKUP($A$3:$A$136,'FY-(26-27)Q2'!$A$4:$ABW$120,MATCH('FY-(26-27)Q1'!$P$2:$Q$2,'FY-(26-27)Q2'!$A$2:$BX$2,0),0),0)</f>
        <v>614980</v>
      </c>
      <c r="Q79" s="155">
        <f>IFERROR(VLOOKUP($A$3:$A$136,'FY-(26-27)Q2'!$A$4:$ABW$120,MATCH('FY-(26-27)Q1'!$P$2:$Q$2,'FY-(26-27)Q2'!$A$2:$BX$2,0),0),0)</f>
        <v>2.0499333333333336</v>
      </c>
      <c r="R79" s="159"/>
      <c r="S79" s="153">
        <f>IFERROR(VLOOKUP($A$4:$A$71,#REF!,MATCH('FY-(26-27)Q1'!$S$2:$T$2,#REF!,0),0),0)</f>
        <v>0</v>
      </c>
      <c r="T79" s="159">
        <f>IFERROR(VLOOKUP($A$4:$A$71,#REF!,MATCH('FY-(26-27)Q1'!$S$2:$T$2,#REF!,0),0),0)</f>
        <v>0</v>
      </c>
      <c r="U79" s="219"/>
      <c r="V79" s="52"/>
      <c r="W79" s="53"/>
      <c r="X79" s="132"/>
      <c r="Y79" s="52">
        <f t="shared" si="44"/>
        <v>826480</v>
      </c>
      <c r="Z79" s="53">
        <f t="shared" si="44"/>
        <v>2.0499333333333336</v>
      </c>
      <c r="AA79" s="132"/>
    </row>
    <row r="80" spans="1:27" s="132" customFormat="1" x14ac:dyDescent="0.25">
      <c r="A80" s="79" t="s">
        <v>273</v>
      </c>
      <c r="B80" s="141" t="s">
        <v>272</v>
      </c>
      <c r="C80" s="141" t="s">
        <v>57</v>
      </c>
      <c r="D80" s="141" t="s">
        <v>87</v>
      </c>
      <c r="E80" s="141" t="s">
        <v>256</v>
      </c>
      <c r="F80" s="207"/>
      <c r="G80" s="239">
        <f>IFERROR(VLOOKUP($A$3:$A$136,'APR-2026'!$A$4:$ABX$112,MATCH('FY-(26-27)Q1'!$G$2:$H$2,'APR-2026'!$A$2:$BY$2,0),0),0)</f>
        <v>0</v>
      </c>
      <c r="H80" s="159">
        <f>IFERROR(VLOOKUP($A$3:$A$136,'APR-2026'!$A$4:$ABX$112,MATCH('FY-(26-27)Q1'!$G$2:$H$2,'APR-2026'!$A$2:$BY$2,0),0),0)</f>
        <v>0</v>
      </c>
      <c r="I80" s="153">
        <f>IFERROR(VLOOKUP($A$3:$A$136,'MAY-2026'!$A$4:$ACP$113,MATCH('FY-(26-27)Q1'!$I$2:$J$2,'MAY-2026'!$A$2:$CQ$2,0),0),0)</f>
        <v>0</v>
      </c>
      <c r="J80" s="155">
        <f>IFERROR(VLOOKUP($A$3:$A$136,'MAY-2026'!$A$4:$ACP$113,MATCH('FY-(26-27)Q1'!$I$2:$J$2,'MAY-2026'!$A$2:$CQ$2,0),0),0)</f>
        <v>0</v>
      </c>
      <c r="K80" s="153">
        <f>IFERROR(VLOOKUP($A$3:$A$136,'JUNE-2026'!$A$4:$ADJ$113,MATCH('FY-(26-27)Q1'!$K$2:$L$2,'JUNE-2026'!$A$2:$DK$2,0),0),0)</f>
        <v>-410000</v>
      </c>
      <c r="L80" s="155">
        <f>IFERROR(VLOOKUP($A$3:$A$136,'JUNE-2026'!$A$4:$ADJ$113,MATCH('FY-(26-27)Q1'!$K$2:$L$2,'JUNE-2026'!$A$2:$DK$2,0),0),0)</f>
        <v>0</v>
      </c>
      <c r="M80" s="153">
        <f t="shared" ref="M80" si="45">G80+I80+K80</f>
        <v>-410000</v>
      </c>
      <c r="N80" s="167">
        <f t="shared" ref="N80" si="46">H80+J80+L80</f>
        <v>0</v>
      </c>
      <c r="O80" s="167"/>
      <c r="P80" s="153">
        <f>IFERROR(VLOOKUP($A$3:$A$136,'FY-(26-27)Q2'!$A$4:$ABW$120,MATCH('FY-(26-27)Q1'!$P$2:$Q$2,'FY-(26-27)Q2'!$A$2:$BX$2,0),0),0)</f>
        <v>971446</v>
      </c>
      <c r="Q80" s="155">
        <f>IFERROR(VLOOKUP($A$3:$A$136,'FY-(26-27)Q2'!$A$4:$ABW$120,MATCH('FY-(26-27)Q1'!$P$2:$Q$2,'FY-(26-27)Q2'!$A$2:$BX$2,0),0),0)</f>
        <v>0</v>
      </c>
      <c r="R80" s="159"/>
      <c r="S80" s="153">
        <f>IFERROR(VLOOKUP($A$4:$A$71,#REF!,MATCH('FY-(26-27)Q1'!$S$2:$T$2,#REF!,0),0),0)</f>
        <v>0</v>
      </c>
      <c r="T80" s="159">
        <f>IFERROR(VLOOKUP($A$4:$A$71,#REF!,MATCH('FY-(26-27)Q1'!$S$2:$T$2,#REF!,0),0),0)</f>
        <v>0</v>
      </c>
      <c r="U80" s="219"/>
      <c r="V80" s="52"/>
      <c r="W80" s="53"/>
      <c r="Y80" s="52">
        <f t="shared" ref="Y80" si="47">M80+P80+S80+V80</f>
        <v>561446</v>
      </c>
      <c r="Z80" s="53">
        <f t="shared" ref="Z80" si="48">N80+Q80+T80+W80</f>
        <v>0</v>
      </c>
    </row>
    <row r="81" spans="1:28" ht="15.75" thickBot="1" x14ac:dyDescent="0.3">
      <c r="A81" s="243"/>
      <c r="B81" s="244"/>
      <c r="C81" s="244"/>
      <c r="D81" s="244"/>
      <c r="E81" s="244"/>
      <c r="F81" s="245"/>
      <c r="G81" s="240">
        <f>SUM(G77:G78)</f>
        <v>6980972</v>
      </c>
      <c r="H81" s="94"/>
      <c r="I81" s="103">
        <f>SUM(I77:I78)</f>
        <v>-191500</v>
      </c>
      <c r="J81" s="104"/>
      <c r="K81" s="112">
        <f>SUM(K77:K78)</f>
        <v>269000</v>
      </c>
      <c r="L81" s="113"/>
      <c r="M81" s="123"/>
      <c r="N81" s="123"/>
      <c r="O81" s="123"/>
      <c r="P81" s="112">
        <f>SUM(P77:P80)</f>
        <v>1586426</v>
      </c>
      <c r="Q81" s="123"/>
      <c r="R81" s="123"/>
      <c r="S81" s="123"/>
      <c r="T81" s="123"/>
      <c r="U81" s="123"/>
      <c r="V81" s="57"/>
      <c r="W81" s="58"/>
      <c r="Y81" s="57">
        <f>SUM(Y77:Y78)</f>
        <v>7058472</v>
      </c>
      <c r="Z81" s="58">
        <f>SUM(Z77:Z78)</f>
        <v>17.580026666666665</v>
      </c>
      <c r="AB81" s="132"/>
    </row>
    <row r="82" spans="1:28" x14ac:dyDescent="0.25">
      <c r="A82" s="1"/>
    </row>
  </sheetData>
  <conditionalFormatting sqref="A54:C54 V4:W4 A25:F27 V18:W19 A11:C11 W47:W48 A3:F4 L2:L3 A47:F48 A51:C51 W20:W28 A77:F78 C14 A7:F8 W44:W45 W41 A41:H41 G40:H40 F14 F11 F67:F68 W56:W58 G56:J58 A64:J64 Y56:Y58 Y74:Z74 G11:H12 G7:J10 F52 F54:J54 Y54 W51:W54 H4:O4 M5:O5 G14:H16 I11:J16 Y4:Z16 K5:L16 A18:F22 D5:J5 F69:J71 A43:J43 Y64 Z54:Z58 G44:J53 Y18:Z31 K43:L58 A70:C70 A71:E71 A44:F45 E51:F51 A58:F58 Y33:Z35 G18:O31 M77:O79 M7:O16 A33:O35 R43:W43 R69:W71 R7:W8 R11:W14 R33:W35 R44:U45 R15:U15 R20:U28 R47:U58 U77:U79 A74:E74 A37:H38 A60:F60 K60:O64 Z60:Z64 Y60:Y61 G60:J61 R37:U42 M37:O58 I37:L42 Y37:Z53 W37:W38 G74:W75 G81:W81 K66:O71 G66:J66 W64:W65 R60:U68 G65:O65 Y65:Z71">
    <cfRule type="expression" dxfId="224" priority="427">
      <formula>MOD(ROW(),2)=0</formula>
    </cfRule>
  </conditionalFormatting>
  <conditionalFormatting sqref="V37:V38 V21:V22 V57 V47:V48 V54 V44:V45 V25:V27 G2:I3 V51 G4:H4">
    <cfRule type="expression" dxfId="223" priority="426">
      <formula>MOD(ROW(),2)=0</formula>
    </cfRule>
  </conditionalFormatting>
  <conditionalFormatting sqref="J2:J3">
    <cfRule type="expression" dxfId="222" priority="423">
      <formula>MOD(ROW(),2)=0</formula>
    </cfRule>
  </conditionalFormatting>
  <conditionalFormatting sqref="V77:W78">
    <cfRule type="expression" dxfId="221" priority="420">
      <formula>MOD(ROW(),2)=0</formula>
    </cfRule>
  </conditionalFormatting>
  <conditionalFormatting sqref="K2:K3">
    <cfRule type="expression" dxfId="220" priority="421">
      <formula>MOD(ROW(),2)=0</formula>
    </cfRule>
  </conditionalFormatting>
  <conditionalFormatting sqref="V58">
    <cfRule type="expression" dxfId="219" priority="411">
      <formula>MOD(ROW(),2)=0</formula>
    </cfRule>
  </conditionalFormatting>
  <conditionalFormatting sqref="V20">
    <cfRule type="expression" dxfId="218" priority="412">
      <formula>MOD(ROW(),2)=0</formula>
    </cfRule>
  </conditionalFormatting>
  <conditionalFormatting sqref="A52:C52 E52">
    <cfRule type="expression" dxfId="217" priority="401">
      <formula>MOD(ROW(),2)=0</formula>
    </cfRule>
  </conditionalFormatting>
  <conditionalFormatting sqref="V52:V53">
    <cfRule type="expression" dxfId="216" priority="399">
      <formula>MOD(ROW(),2)=0</formula>
    </cfRule>
  </conditionalFormatting>
  <conditionalFormatting sqref="E54">
    <cfRule type="expression" dxfId="215" priority="397">
      <formula>MOD(ROW(),2)=0</formula>
    </cfRule>
  </conditionalFormatting>
  <conditionalFormatting sqref="V41">
    <cfRule type="expression" dxfId="214" priority="388">
      <formula>MOD(ROW(),2)=0</formula>
    </cfRule>
  </conditionalFormatting>
  <conditionalFormatting sqref="A28:F28 A29:A31">
    <cfRule type="expression" dxfId="213" priority="387">
      <formula>MOD(ROW(),2)=0</formula>
    </cfRule>
  </conditionalFormatting>
  <conditionalFormatting sqref="B69:C69">
    <cfRule type="expression" dxfId="212" priority="359">
      <formula>MOD(ROW(),2)=0</formula>
    </cfRule>
  </conditionalFormatting>
  <conditionalFormatting sqref="V28">
    <cfRule type="expression" dxfId="211" priority="385">
      <formula>MOD(ROW(),2)=0</formula>
    </cfRule>
  </conditionalFormatting>
  <conditionalFormatting sqref="A24:E24">
    <cfRule type="expression" dxfId="210" priority="384">
      <formula>MOD(ROW(),2)=0</formula>
    </cfRule>
  </conditionalFormatting>
  <conditionalFormatting sqref="V24">
    <cfRule type="expression" dxfId="209" priority="382">
      <formula>MOD(ROW(),2)=0</formula>
    </cfRule>
  </conditionalFormatting>
  <conditionalFormatting sqref="A23:E23">
    <cfRule type="expression" dxfId="208" priority="381">
      <formula>MOD(ROW(),2)=0</formula>
    </cfRule>
  </conditionalFormatting>
  <conditionalFormatting sqref="V23">
    <cfRule type="expression" dxfId="207" priority="379">
      <formula>MOD(ROW(),2)=0</formula>
    </cfRule>
  </conditionalFormatting>
  <conditionalFormatting sqref="A56:C56 E56:F56">
    <cfRule type="expression" dxfId="206" priority="366">
      <formula>MOD(ROW(),2)=0</formula>
    </cfRule>
  </conditionalFormatting>
  <conditionalFormatting sqref="T4:U4 T18:U19">
    <cfRule type="expression" dxfId="205" priority="310">
      <formula>MOD(ROW(),2)=0</formula>
    </cfRule>
  </conditionalFormatting>
  <conditionalFormatting sqref="A69">
    <cfRule type="expression" dxfId="204" priority="357">
      <formula>MOD(ROW(),2)=0</formula>
    </cfRule>
  </conditionalFormatting>
  <conditionalFormatting sqref="S4:U4 S18:U19">
    <cfRule type="expression" dxfId="203" priority="309">
      <formula>MOD(ROW(),2)=0</formula>
    </cfRule>
  </conditionalFormatting>
  <conditionalFormatting sqref="V56">
    <cfRule type="expression" dxfId="202" priority="362">
      <formula>MOD(ROW(),2)=0</formula>
    </cfRule>
  </conditionalFormatting>
  <conditionalFormatting sqref="F23">
    <cfRule type="expression" dxfId="201" priority="328">
      <formula>MOD(ROW(),2)=0</formula>
    </cfRule>
  </conditionalFormatting>
  <conditionalFormatting sqref="M18:O19 M33:O33">
    <cfRule type="expression" dxfId="200" priority="326">
      <formula>MOD(ROW(),2)=0</formula>
    </cfRule>
  </conditionalFormatting>
  <conditionalFormatting sqref="A15:F15 A16:C16 E16:F16">
    <cfRule type="expression" dxfId="199" priority="334">
      <formula>MOD(ROW(),2)=0</formula>
    </cfRule>
  </conditionalFormatting>
  <conditionalFormatting sqref="V15:W15">
    <cfRule type="expression" dxfId="198" priority="333">
      <formula>MOD(ROW(),2)=0</formula>
    </cfRule>
  </conditionalFormatting>
  <conditionalFormatting sqref="R4 R18:R19">
    <cfRule type="expression" dxfId="197" priority="318">
      <formula>MOD(ROW(),2)=0</formula>
    </cfRule>
  </conditionalFormatting>
  <conditionalFormatting sqref="R4 R18:R19">
    <cfRule type="expression" dxfId="196" priority="317">
      <formula>MOD(ROW(),2)=0</formula>
    </cfRule>
  </conditionalFormatting>
  <conditionalFormatting sqref="V64:V65">
    <cfRule type="expression" dxfId="195" priority="348">
      <formula>MOD(ROW(),2)=0</formula>
    </cfRule>
  </conditionalFormatting>
  <conditionalFormatting sqref="W60">
    <cfRule type="expression" dxfId="194" priority="308">
      <formula>MOD(ROW(),2)=0</formula>
    </cfRule>
  </conditionalFormatting>
  <conditionalFormatting sqref="M34:O34">
    <cfRule type="expression" dxfId="193" priority="319">
      <formula>MOD(ROW(),2)=0</formula>
    </cfRule>
  </conditionalFormatting>
  <conditionalFormatting sqref="F24">
    <cfRule type="expression" dxfId="192" priority="329">
      <formula>MOD(ROW(),2)=0</formula>
    </cfRule>
  </conditionalFormatting>
  <conditionalFormatting sqref="N18:O19 N33:O33">
    <cfRule type="expression" dxfId="191" priority="327">
      <formula>MOD(ROW(),2)=0</formula>
    </cfRule>
  </conditionalFormatting>
  <conditionalFormatting sqref="N34:O34">
    <cfRule type="expression" dxfId="190" priority="320">
      <formula>MOD(ROW(),2)=0</formula>
    </cfRule>
  </conditionalFormatting>
  <conditionalFormatting sqref="V60">
    <cfRule type="expression" dxfId="189" priority="307">
      <formula>MOD(ROW(),2)=0</formula>
    </cfRule>
  </conditionalFormatting>
  <conditionalFormatting sqref="M16:O16">
    <cfRule type="expression" dxfId="188" priority="265">
      <formula>MOD(ROW(),2)=0</formula>
    </cfRule>
  </conditionalFormatting>
  <conditionalFormatting sqref="R16">
    <cfRule type="expression" dxfId="187" priority="264">
      <formula>MOD(ROW(),2)=0</formula>
    </cfRule>
  </conditionalFormatting>
  <conditionalFormatting sqref="T16:U16">
    <cfRule type="expression" dxfId="186" priority="262">
      <formula>MOD(ROW(),2)=0</formula>
    </cfRule>
  </conditionalFormatting>
  <conditionalFormatting sqref="B29:F30 B31:C31 E31:F31">
    <cfRule type="expression" dxfId="185" priority="254">
      <formula>MOD(ROW(),2)=0</formula>
    </cfRule>
  </conditionalFormatting>
  <conditionalFormatting sqref="W29:W30">
    <cfRule type="expression" dxfId="184" priority="253">
      <formula>MOD(ROW(),2)=0</formula>
    </cfRule>
  </conditionalFormatting>
  <conditionalFormatting sqref="V16:W16">
    <cfRule type="expression" dxfId="183" priority="267">
      <formula>MOD(ROW(),2)=0</formula>
    </cfRule>
  </conditionalFormatting>
  <conditionalFormatting sqref="N16:O16">
    <cfRule type="expression" dxfId="182" priority="266">
      <formula>MOD(ROW(),2)=0</formula>
    </cfRule>
  </conditionalFormatting>
  <conditionalFormatting sqref="R16">
    <cfRule type="expression" dxfId="181" priority="263">
      <formula>MOD(ROW(),2)=0</formula>
    </cfRule>
  </conditionalFormatting>
  <conditionalFormatting sqref="S16:U16">
    <cfRule type="expression" dxfId="180" priority="261">
      <formula>MOD(ROW(),2)=0</formula>
    </cfRule>
  </conditionalFormatting>
  <conditionalFormatting sqref="V29:V30">
    <cfRule type="expression" dxfId="179" priority="252">
      <formula>MOD(ROW(),2)=0</formula>
    </cfRule>
  </conditionalFormatting>
  <conditionalFormatting sqref="S29:U30">
    <cfRule type="expression" dxfId="178" priority="246">
      <formula>MOD(ROW(),2)=0</formula>
    </cfRule>
  </conditionalFormatting>
  <conditionalFormatting sqref="N29:O30">
    <cfRule type="expression" dxfId="177" priority="251">
      <formula>MOD(ROW(),2)=0</formula>
    </cfRule>
  </conditionalFormatting>
  <conditionalFormatting sqref="M29:O30">
    <cfRule type="expression" dxfId="176" priority="250">
      <formula>MOD(ROW(),2)=0</formula>
    </cfRule>
  </conditionalFormatting>
  <conditionalFormatting sqref="T29:U30">
    <cfRule type="expression" dxfId="175" priority="247">
      <formula>MOD(ROW(),2)=0</formula>
    </cfRule>
  </conditionalFormatting>
  <conditionalFormatting sqref="R29:R30">
    <cfRule type="expression" dxfId="174" priority="249">
      <formula>MOD(ROW(),2)=0</formula>
    </cfRule>
  </conditionalFormatting>
  <conditionalFormatting sqref="R29:R30">
    <cfRule type="expression" dxfId="173" priority="248">
      <formula>MOD(ROW(),2)=0</formula>
    </cfRule>
  </conditionalFormatting>
  <conditionalFormatting sqref="A10:F10 A9:C9 E9:F9">
    <cfRule type="expression" dxfId="172" priority="239">
      <formula>MOD(ROW(),2)=0</formula>
    </cfRule>
  </conditionalFormatting>
  <conditionalFormatting sqref="V9:W10">
    <cfRule type="expression" dxfId="171" priority="238">
      <formula>MOD(ROW(),2)=0</formula>
    </cfRule>
  </conditionalFormatting>
  <conditionalFormatting sqref="R9:R10">
    <cfRule type="expression" dxfId="170" priority="235">
      <formula>MOD(ROW(),2)=0</formula>
    </cfRule>
  </conditionalFormatting>
  <conditionalFormatting sqref="R9:R10">
    <cfRule type="expression" dxfId="169" priority="234">
      <formula>MOD(ROW(),2)=0</formula>
    </cfRule>
  </conditionalFormatting>
  <conditionalFormatting sqref="S9:U10">
    <cfRule type="expression" dxfId="168" priority="232">
      <formula>MOD(ROW(),2)=0</formula>
    </cfRule>
  </conditionalFormatting>
  <conditionalFormatting sqref="N9:O10">
    <cfRule type="expression" dxfId="167" priority="237">
      <formula>MOD(ROW(),2)=0</formula>
    </cfRule>
  </conditionalFormatting>
  <conditionalFormatting sqref="M9:O10">
    <cfRule type="expression" dxfId="166" priority="236">
      <formula>MOD(ROW(),2)=0</formula>
    </cfRule>
  </conditionalFormatting>
  <conditionalFormatting sqref="T9:U10">
    <cfRule type="expression" dxfId="165" priority="233">
      <formula>MOD(ROW(),2)=0</formula>
    </cfRule>
  </conditionalFormatting>
  <conditionalFormatting sqref="A46:C46 E46:F46">
    <cfRule type="expression" dxfId="164" priority="225">
      <formula>MOD(ROW(),2)=0</formula>
    </cfRule>
  </conditionalFormatting>
  <conditionalFormatting sqref="W46">
    <cfRule type="expression" dxfId="163" priority="224">
      <formula>MOD(ROW(),2)=0</formula>
    </cfRule>
  </conditionalFormatting>
  <conditionalFormatting sqref="V46">
    <cfRule type="expression" dxfId="162" priority="223">
      <formula>MOD(ROW(),2)=0</formula>
    </cfRule>
  </conditionalFormatting>
  <conditionalFormatting sqref="T46:U46">
    <cfRule type="expression" dxfId="161" priority="218">
      <formula>MOD(ROW(),2)=0</formula>
    </cfRule>
  </conditionalFormatting>
  <conditionalFormatting sqref="S46:U46">
    <cfRule type="expression" dxfId="160" priority="217">
      <formula>MOD(ROW(),2)=0</formula>
    </cfRule>
  </conditionalFormatting>
  <conditionalFormatting sqref="M46:O46">
    <cfRule type="expression" dxfId="159" priority="221">
      <formula>MOD(ROW(),2)=0</formula>
    </cfRule>
  </conditionalFormatting>
  <conditionalFormatting sqref="R46">
    <cfRule type="expression" dxfId="158" priority="220">
      <formula>MOD(ROW(),2)=0</formula>
    </cfRule>
  </conditionalFormatting>
  <conditionalFormatting sqref="R46">
    <cfRule type="expression" dxfId="157" priority="219">
      <formula>MOD(ROW(),2)=0</formula>
    </cfRule>
  </conditionalFormatting>
  <conditionalFormatting sqref="N46:O46">
    <cfRule type="expression" dxfId="156" priority="222">
      <formula>MOD(ROW(),2)=0</formula>
    </cfRule>
  </conditionalFormatting>
  <conditionalFormatting sqref="A57:C57 E57:F57">
    <cfRule type="expression" dxfId="155" priority="210">
      <formula>MOD(ROW(),2)=0</formula>
    </cfRule>
  </conditionalFormatting>
  <conditionalFormatting sqref="A5:C5">
    <cfRule type="expression" dxfId="154" priority="206">
      <formula>MOD(ROW(),2)=0</formula>
    </cfRule>
  </conditionalFormatting>
  <conditionalFormatting sqref="V5:W5">
    <cfRule type="expression" dxfId="153" priority="205">
      <formula>MOD(ROW(),2)=0</formula>
    </cfRule>
  </conditionalFormatting>
  <conditionalFormatting sqref="T5:U5">
    <cfRule type="expression" dxfId="152" priority="199">
      <formula>MOD(ROW(),2)=0</formula>
    </cfRule>
  </conditionalFormatting>
  <conditionalFormatting sqref="S5:U5">
    <cfRule type="expression" dxfId="151" priority="198">
      <formula>MOD(ROW(),2)=0</formula>
    </cfRule>
  </conditionalFormatting>
  <conditionalFormatting sqref="M5:O5">
    <cfRule type="expression" dxfId="150" priority="202">
      <formula>MOD(ROW(),2)=0</formula>
    </cfRule>
  </conditionalFormatting>
  <conditionalFormatting sqref="R5">
    <cfRule type="expression" dxfId="149" priority="201">
      <formula>MOD(ROW(),2)=0</formula>
    </cfRule>
  </conditionalFormatting>
  <conditionalFormatting sqref="R5">
    <cfRule type="expression" dxfId="148" priority="200">
      <formula>MOD(ROW(),2)=0</formula>
    </cfRule>
  </conditionalFormatting>
  <conditionalFormatting sqref="N5:O5">
    <cfRule type="expression" dxfId="147" priority="203">
      <formula>MOD(ROW(),2)=0</formula>
    </cfRule>
  </conditionalFormatting>
  <conditionalFormatting sqref="A49:F50">
    <cfRule type="expression" dxfId="146" priority="187">
      <formula>MOD(ROW(),2)=0</formula>
    </cfRule>
  </conditionalFormatting>
  <conditionalFormatting sqref="W49:W50">
    <cfRule type="expression" dxfId="145" priority="186">
      <formula>MOD(ROW(),2)=0</formula>
    </cfRule>
  </conditionalFormatting>
  <conditionalFormatting sqref="V49:V50">
    <cfRule type="expression" dxfId="144" priority="185">
      <formula>MOD(ROW(),2)=0</formula>
    </cfRule>
  </conditionalFormatting>
  <conditionalFormatting sqref="W31">
    <cfRule type="expression" dxfId="143" priority="179">
      <formula>MOD(ROW(),2)=0</formula>
    </cfRule>
  </conditionalFormatting>
  <conditionalFormatting sqref="V31">
    <cfRule type="expression" dxfId="142" priority="178">
      <formula>MOD(ROW(),2)=0</formula>
    </cfRule>
  </conditionalFormatting>
  <conditionalFormatting sqref="S31:U31">
    <cfRule type="expression" dxfId="141" priority="172">
      <formula>MOD(ROW(),2)=0</formula>
    </cfRule>
  </conditionalFormatting>
  <conditionalFormatting sqref="N31:O31">
    <cfRule type="expression" dxfId="140" priority="177">
      <formula>MOD(ROW(),2)=0</formula>
    </cfRule>
  </conditionalFormatting>
  <conditionalFormatting sqref="M31:O31">
    <cfRule type="expression" dxfId="139" priority="176">
      <formula>MOD(ROW(),2)=0</formula>
    </cfRule>
  </conditionalFormatting>
  <conditionalFormatting sqref="T31:U31">
    <cfRule type="expression" dxfId="138" priority="173">
      <formula>MOD(ROW(),2)=0</formula>
    </cfRule>
  </conditionalFormatting>
  <conditionalFormatting sqref="R31">
    <cfRule type="expression" dxfId="137" priority="175">
      <formula>MOD(ROW(),2)=0</formula>
    </cfRule>
  </conditionalFormatting>
  <conditionalFormatting sqref="R31">
    <cfRule type="expression" dxfId="136" priority="174">
      <formula>MOD(ROW(),2)=0</formula>
    </cfRule>
  </conditionalFormatting>
  <conditionalFormatting sqref="W61">
    <cfRule type="expression" dxfId="135" priority="170">
      <formula>MOD(ROW(),2)=0</formula>
    </cfRule>
  </conditionalFormatting>
  <conditionalFormatting sqref="V61">
    <cfRule type="expression" dxfId="134" priority="169">
      <formula>MOD(ROW(),2)=0</formula>
    </cfRule>
  </conditionalFormatting>
  <conditionalFormatting sqref="A12:F12">
    <cfRule type="expression" dxfId="133" priority="156">
      <formula>MOD(ROW(),2)=0</formula>
    </cfRule>
  </conditionalFormatting>
  <conditionalFormatting sqref="W40">
    <cfRule type="expression" dxfId="132" priority="165">
      <formula>MOD(ROW(),2)=0</formula>
    </cfRule>
  </conditionalFormatting>
  <conditionalFormatting sqref="V40">
    <cfRule type="expression" dxfId="131" priority="164">
      <formula>MOD(ROW(),2)=0</formula>
    </cfRule>
  </conditionalFormatting>
  <conditionalFormatting sqref="A66:C66 E66:F66">
    <cfRule type="expression" dxfId="130" priority="154">
      <formula>MOD(ROW(),2)=0</formula>
    </cfRule>
  </conditionalFormatting>
  <conditionalFormatting sqref="W66">
    <cfRule type="expression" dxfId="129" priority="153">
      <formula>MOD(ROW(),2)=0</formula>
    </cfRule>
  </conditionalFormatting>
  <conditionalFormatting sqref="V66">
    <cfRule type="expression" dxfId="128" priority="152">
      <formula>MOD(ROW(),2)=0</formula>
    </cfRule>
  </conditionalFormatting>
  <conditionalFormatting sqref="G77:G78">
    <cfRule type="expression" dxfId="127" priority="147">
      <formula>MOD(ROW(),2)=0</formula>
    </cfRule>
  </conditionalFormatting>
  <conditionalFormatting sqref="H77">
    <cfRule type="expression" dxfId="126" priority="144">
      <formula>MOD(ROW(),2)=0</formula>
    </cfRule>
  </conditionalFormatting>
  <conditionalFormatting sqref="H78">
    <cfRule type="expression" dxfId="125" priority="143">
      <formula>MOD(ROW(),2)=0</formula>
    </cfRule>
  </conditionalFormatting>
  <conditionalFormatting sqref="L76">
    <cfRule type="expression" dxfId="124" priority="142">
      <formula>MOD(ROW(),2)=0</formula>
    </cfRule>
  </conditionalFormatting>
  <conditionalFormatting sqref="G76:I76">
    <cfRule type="expression" dxfId="123" priority="141">
      <formula>MOD(ROW(),2)=0</formula>
    </cfRule>
  </conditionalFormatting>
  <conditionalFormatting sqref="J76">
    <cfRule type="expression" dxfId="122" priority="140">
      <formula>MOD(ROW(),2)=0</formula>
    </cfRule>
  </conditionalFormatting>
  <conditionalFormatting sqref="K76">
    <cfRule type="expression" dxfId="121" priority="139">
      <formula>MOD(ROW(),2)=0</formula>
    </cfRule>
  </conditionalFormatting>
  <conditionalFormatting sqref="Y77:Z78">
    <cfRule type="expression" dxfId="120" priority="126">
      <formula>MOD(ROW(),2)=0</formula>
    </cfRule>
  </conditionalFormatting>
  <conditionalFormatting sqref="A39:F39">
    <cfRule type="expression" dxfId="119" priority="136">
      <formula>MOD(ROW(),2)=0</formula>
    </cfRule>
  </conditionalFormatting>
  <conditionalFormatting sqref="A40:F40">
    <cfRule type="expression" dxfId="118" priority="135">
      <formula>MOD(ROW(),2)=0</formula>
    </cfRule>
  </conditionalFormatting>
  <conditionalFormatting sqref="A42:F42">
    <cfRule type="expression" dxfId="117" priority="134">
      <formula>MOD(ROW(),2)=0</formula>
    </cfRule>
  </conditionalFormatting>
  <conditionalFormatting sqref="W42 G42:H42">
    <cfRule type="expression" dxfId="116" priority="133">
      <formula>MOD(ROW(),2)=0</formula>
    </cfRule>
  </conditionalFormatting>
  <conditionalFormatting sqref="V42">
    <cfRule type="expression" dxfId="115" priority="132">
      <formula>MOD(ROW(),2)=0</formula>
    </cfRule>
  </conditionalFormatting>
  <conditionalFormatting sqref="W39 G39:H39">
    <cfRule type="expression" dxfId="114" priority="131">
      <formula>MOD(ROW(),2)=0</formula>
    </cfRule>
  </conditionalFormatting>
  <conditionalFormatting sqref="V39">
    <cfRule type="expression" dxfId="113" priority="130">
      <formula>MOD(ROW(),2)=0</formula>
    </cfRule>
  </conditionalFormatting>
  <conditionalFormatting sqref="D11:E11">
    <cfRule type="expression" dxfId="112" priority="121">
      <formula>MOD(ROW(),2)=0</formula>
    </cfRule>
  </conditionalFormatting>
  <conditionalFormatting sqref="Y81:Z81">
    <cfRule type="expression" dxfId="111" priority="127">
      <formula>MOD(ROW(),2)=0</formula>
    </cfRule>
  </conditionalFormatting>
  <conditionalFormatting sqref="A13:B14">
    <cfRule type="expression" dxfId="110" priority="125">
      <formula>MOD(ROW(),2)=0</formula>
    </cfRule>
  </conditionalFormatting>
  <conditionalFormatting sqref="C13">
    <cfRule type="expression" dxfId="109" priority="124">
      <formula>MOD(ROW(),2)=0</formula>
    </cfRule>
  </conditionalFormatting>
  <conditionalFormatting sqref="F13">
    <cfRule type="expression" dxfId="108" priority="123">
      <formula>MOD(ROW(),2)=0</formula>
    </cfRule>
  </conditionalFormatting>
  <conditionalFormatting sqref="D13:E14">
    <cfRule type="expression" dxfId="107" priority="122">
      <formula>MOD(ROW(),2)=0</formula>
    </cfRule>
  </conditionalFormatting>
  <conditionalFormatting sqref="G13:H13">
    <cfRule type="expression" dxfId="106" priority="120">
      <formula>MOD(ROW(),2)=0</formula>
    </cfRule>
  </conditionalFormatting>
  <conditionalFormatting sqref="J77:J78">
    <cfRule type="expression" dxfId="105" priority="117">
      <formula>MOD(ROW(),2)=0</formula>
    </cfRule>
  </conditionalFormatting>
  <conditionalFormatting sqref="I77:J78">
    <cfRule type="expression" dxfId="104" priority="116">
      <formula>MOD(ROW(),2)=0</formula>
    </cfRule>
  </conditionalFormatting>
  <conditionalFormatting sqref="A67:C68 E67:E68">
    <cfRule type="expression" dxfId="103" priority="115">
      <formula>MOD(ROW(),2)=0</formula>
    </cfRule>
  </conditionalFormatting>
  <conditionalFormatting sqref="G67:J68 M67:O68">
    <cfRule type="expression" dxfId="102" priority="114">
      <formula>MOD(ROW(),2)=0</formula>
    </cfRule>
  </conditionalFormatting>
  <conditionalFormatting sqref="W67:W68">
    <cfRule type="expression" dxfId="101" priority="113">
      <formula>MOD(ROW(),2)=0</formula>
    </cfRule>
  </conditionalFormatting>
  <conditionalFormatting sqref="V67:V68">
    <cfRule type="expression" dxfId="100" priority="112">
      <formula>MOD(ROW(),2)=0</formula>
    </cfRule>
  </conditionalFormatting>
  <conditionalFormatting sqref="V55">
    <cfRule type="expression" dxfId="99" priority="109">
      <formula>MOD(ROW(),2)=0</formula>
    </cfRule>
  </conditionalFormatting>
  <conditionalFormatting sqref="A55:C55 E55:F55">
    <cfRule type="expression" dxfId="98" priority="111">
      <formula>MOD(ROW(),2)=0</formula>
    </cfRule>
  </conditionalFormatting>
  <conditionalFormatting sqref="W55 Y55 G55:J55">
    <cfRule type="expression" dxfId="97" priority="110">
      <formula>MOD(ROW(),2)=0</formula>
    </cfRule>
  </conditionalFormatting>
  <conditionalFormatting sqref="A62:A63">
    <cfRule type="expression" dxfId="96" priority="108">
      <formula>MOD(ROW(),2)=0</formula>
    </cfRule>
  </conditionalFormatting>
  <conditionalFormatting sqref="A61:B61">
    <cfRule type="expression" dxfId="95" priority="107">
      <formula>MOD(ROW(),2)=0</formula>
    </cfRule>
  </conditionalFormatting>
  <conditionalFormatting sqref="B62:B63">
    <cfRule type="expression" dxfId="94" priority="106">
      <formula>MOD(ROW(),2)=0</formula>
    </cfRule>
  </conditionalFormatting>
  <conditionalFormatting sqref="M62:O63 G62:J63 Y62:Y63">
    <cfRule type="expression" dxfId="93" priority="105">
      <formula>MOD(ROW(),2)=0</formula>
    </cfRule>
  </conditionalFormatting>
  <conditionalFormatting sqref="W62:W63">
    <cfRule type="expression" dxfId="92" priority="103">
      <formula>MOD(ROW(),2)=0</formula>
    </cfRule>
  </conditionalFormatting>
  <conditionalFormatting sqref="V62:V63">
    <cfRule type="expression" dxfId="91" priority="102">
      <formula>MOD(ROW(),2)=0</formula>
    </cfRule>
  </conditionalFormatting>
  <conditionalFormatting sqref="A6:C6 E6:F6">
    <cfRule type="expression" dxfId="90" priority="101">
      <formula>MOD(ROW(),2)=0</formula>
    </cfRule>
  </conditionalFormatting>
  <conditionalFormatting sqref="G6:J6 M6:O6">
    <cfRule type="expression" dxfId="89" priority="100">
      <formula>MOD(ROW(),2)=0</formula>
    </cfRule>
  </conditionalFormatting>
  <conditionalFormatting sqref="V6:W6">
    <cfRule type="expression" dxfId="88" priority="99">
      <formula>MOD(ROW(),2)=0</formula>
    </cfRule>
  </conditionalFormatting>
  <conditionalFormatting sqref="T6:U6">
    <cfRule type="expression" dxfId="87" priority="94">
      <formula>MOD(ROW(),2)=0</formula>
    </cfRule>
  </conditionalFormatting>
  <conditionalFormatting sqref="S6:U6">
    <cfRule type="expression" dxfId="86" priority="93">
      <formula>MOD(ROW(),2)=0</formula>
    </cfRule>
  </conditionalFormatting>
  <conditionalFormatting sqref="M6:O6">
    <cfRule type="expression" dxfId="85" priority="97">
      <formula>MOD(ROW(),2)=0</formula>
    </cfRule>
  </conditionalFormatting>
  <conditionalFormatting sqref="R6">
    <cfRule type="expression" dxfId="84" priority="96">
      <formula>MOD(ROW(),2)=0</formula>
    </cfRule>
  </conditionalFormatting>
  <conditionalFormatting sqref="R6">
    <cfRule type="expression" dxfId="83" priority="95">
      <formula>MOD(ROW(),2)=0</formula>
    </cfRule>
  </conditionalFormatting>
  <conditionalFormatting sqref="N6:O6">
    <cfRule type="expression" dxfId="82" priority="98">
      <formula>MOD(ROW(),2)=0</formula>
    </cfRule>
  </conditionalFormatting>
  <conditionalFormatting sqref="A53:C53 E53:F53">
    <cfRule type="expression" dxfId="81" priority="92">
      <formula>MOD(ROW(),2)=0</formula>
    </cfRule>
  </conditionalFormatting>
  <conditionalFormatting sqref="A79:F79">
    <cfRule type="expression" dxfId="80" priority="90">
      <formula>MOD(ROW(),2)=0</formula>
    </cfRule>
  </conditionalFormatting>
  <conditionalFormatting sqref="V79:W79">
    <cfRule type="expression" dxfId="79" priority="88">
      <formula>MOD(ROW(),2)=0</formula>
    </cfRule>
  </conditionalFormatting>
  <conditionalFormatting sqref="G79">
    <cfRule type="expression" dxfId="78" priority="87">
      <formula>MOD(ROW(),2)=0</formula>
    </cfRule>
  </conditionalFormatting>
  <conditionalFormatting sqref="H79">
    <cfRule type="expression" dxfId="77" priority="86">
      <formula>MOD(ROW(),2)=0</formula>
    </cfRule>
  </conditionalFormatting>
  <conditionalFormatting sqref="Y79:Z79">
    <cfRule type="expression" dxfId="76" priority="85">
      <formula>MOD(ROW(),2)=0</formula>
    </cfRule>
  </conditionalFormatting>
  <conditionalFormatting sqref="J79">
    <cfRule type="expression" dxfId="75" priority="84">
      <formula>MOD(ROW(),2)=0</formula>
    </cfRule>
  </conditionalFormatting>
  <conditionalFormatting sqref="I79:J79">
    <cfRule type="expression" dxfId="74" priority="83">
      <formula>MOD(ROW(),2)=0</formula>
    </cfRule>
  </conditionalFormatting>
  <conditionalFormatting sqref="K77:L79">
    <cfRule type="expression" dxfId="73" priority="81">
      <formula>MOD(ROW(),2)=0</formula>
    </cfRule>
  </conditionalFormatting>
  <conditionalFormatting sqref="S17:U17">
    <cfRule type="expression" dxfId="72" priority="71">
      <formula>MOD(ROW(),2)=0</formula>
    </cfRule>
  </conditionalFormatting>
  <conditionalFormatting sqref="A17:F17">
    <cfRule type="expression" dxfId="71" priority="79">
      <formula>MOD(ROW(),2)=0</formula>
    </cfRule>
  </conditionalFormatting>
  <conditionalFormatting sqref="Y17:Z17 G17:O17">
    <cfRule type="expression" dxfId="70" priority="78">
      <formula>MOD(ROW(),2)=0</formula>
    </cfRule>
  </conditionalFormatting>
  <conditionalFormatting sqref="M17:O17">
    <cfRule type="expression" dxfId="69" priority="75">
      <formula>MOD(ROW(),2)=0</formula>
    </cfRule>
  </conditionalFormatting>
  <conditionalFormatting sqref="R17">
    <cfRule type="expression" dxfId="68" priority="74">
      <formula>MOD(ROW(),2)=0</formula>
    </cfRule>
  </conditionalFormatting>
  <conditionalFormatting sqref="T17:U17">
    <cfRule type="expression" dxfId="67" priority="72">
      <formula>MOD(ROW(),2)=0</formula>
    </cfRule>
  </conditionalFormatting>
  <conditionalFormatting sqref="V17:W17">
    <cfRule type="expression" dxfId="66" priority="77">
      <formula>MOD(ROW(),2)=0</formula>
    </cfRule>
  </conditionalFormatting>
  <conditionalFormatting sqref="N17:O17">
    <cfRule type="expression" dxfId="65" priority="76">
      <formula>MOD(ROW(),2)=0</formula>
    </cfRule>
  </conditionalFormatting>
  <conditionalFormatting sqref="R17">
    <cfRule type="expression" dxfId="64" priority="73">
      <formula>MOD(ROW(),2)=0</formula>
    </cfRule>
  </conditionalFormatting>
  <conditionalFormatting sqref="E69:E70">
    <cfRule type="expression" dxfId="63" priority="70">
      <formula>MOD(ROW(),2)=0</formula>
    </cfRule>
  </conditionalFormatting>
  <conditionalFormatting sqref="F62:F63">
    <cfRule type="expression" dxfId="62" priority="69">
      <formula>MOD(ROW(),2)=0</formula>
    </cfRule>
  </conditionalFormatting>
  <conditionalFormatting sqref="F61">
    <cfRule type="expression" dxfId="61" priority="68">
      <formula>MOD(ROW(),2)=0</formula>
    </cfRule>
  </conditionalFormatting>
  <conditionalFormatting sqref="D61:E61 C62:E63">
    <cfRule type="expression" dxfId="60" priority="67">
      <formula>MOD(ROW(),2)=0</formula>
    </cfRule>
  </conditionalFormatting>
  <conditionalFormatting sqref="D9">
    <cfRule type="expression" dxfId="59" priority="66">
      <formula>MOD(ROW(),2)=0</formula>
    </cfRule>
  </conditionalFormatting>
  <conditionalFormatting sqref="D6">
    <cfRule type="expression" dxfId="58" priority="65">
      <formula>MOD(ROW(),2)=0</formula>
    </cfRule>
  </conditionalFormatting>
  <conditionalFormatting sqref="D16">
    <cfRule type="expression" dxfId="57" priority="64">
      <formula>MOD(ROW(),2)=0</formula>
    </cfRule>
  </conditionalFormatting>
  <conditionalFormatting sqref="D31">
    <cfRule type="expression" dxfId="56" priority="63">
      <formula>MOD(ROW(),2)=0</formula>
    </cfRule>
  </conditionalFormatting>
  <conditionalFormatting sqref="D67:D68">
    <cfRule type="expression" dxfId="55" priority="51">
      <formula>MOD(ROW(),2)=0</formula>
    </cfRule>
  </conditionalFormatting>
  <conditionalFormatting sqref="D46">
    <cfRule type="expression" dxfId="54" priority="61">
      <formula>MOD(ROW(),2)=0</formula>
    </cfRule>
  </conditionalFormatting>
  <conditionalFormatting sqref="D52:D53">
    <cfRule type="expression" dxfId="53" priority="60">
      <formula>MOD(ROW(),2)=0</formula>
    </cfRule>
  </conditionalFormatting>
  <conditionalFormatting sqref="D51">
    <cfRule type="expression" dxfId="52" priority="59">
      <formula>MOD(ROW(),2)=0</formula>
    </cfRule>
  </conditionalFormatting>
  <conditionalFormatting sqref="D54">
    <cfRule type="expression" dxfId="51" priority="58">
      <formula>MOD(ROW(),2)=0</formula>
    </cfRule>
  </conditionalFormatting>
  <conditionalFormatting sqref="D55">
    <cfRule type="expression" dxfId="50" priority="57">
      <formula>MOD(ROW(),2)=0</formula>
    </cfRule>
  </conditionalFormatting>
  <conditionalFormatting sqref="D56">
    <cfRule type="expression" dxfId="49" priority="56">
      <formula>MOD(ROW(),2)=0</formula>
    </cfRule>
  </conditionalFormatting>
  <conditionalFormatting sqref="D57">
    <cfRule type="expression" dxfId="48" priority="55">
      <formula>MOD(ROW(),2)=0</formula>
    </cfRule>
  </conditionalFormatting>
  <conditionalFormatting sqref="D70">
    <cfRule type="expression" dxfId="47" priority="54">
      <formula>MOD(ROW(),2)=0</formula>
    </cfRule>
  </conditionalFormatting>
  <conditionalFormatting sqref="D69">
    <cfRule type="expression" dxfId="46" priority="53">
      <formula>MOD(ROW(),2)=0</formula>
    </cfRule>
  </conditionalFormatting>
  <conditionalFormatting sqref="D66">
    <cfRule type="expression" dxfId="45" priority="52">
      <formula>MOD(ROW(),2)=0</formula>
    </cfRule>
  </conditionalFormatting>
  <conditionalFormatting sqref="A32:F32">
    <cfRule type="expression" dxfId="44" priority="50">
      <formula>MOD(ROW(),2)=0</formula>
    </cfRule>
  </conditionalFormatting>
  <conditionalFormatting sqref="G32:O32 Y32:Z32">
    <cfRule type="expression" dxfId="43" priority="49">
      <formula>MOD(ROW(),2)=0</formula>
    </cfRule>
  </conditionalFormatting>
  <conditionalFormatting sqref="W32">
    <cfRule type="expression" dxfId="42" priority="48">
      <formula>MOD(ROW(),2)=0</formula>
    </cfRule>
  </conditionalFormatting>
  <conditionalFormatting sqref="V32">
    <cfRule type="expression" dxfId="41" priority="47">
      <formula>MOD(ROW(),2)=0</formula>
    </cfRule>
  </conditionalFormatting>
  <conditionalFormatting sqref="S32:U32">
    <cfRule type="expression" dxfId="40" priority="41">
      <formula>MOD(ROW(),2)=0</formula>
    </cfRule>
  </conditionalFormatting>
  <conditionalFormatting sqref="N32:O32">
    <cfRule type="expression" dxfId="39" priority="46">
      <formula>MOD(ROW(),2)=0</formula>
    </cfRule>
  </conditionalFormatting>
  <conditionalFormatting sqref="M32:O32">
    <cfRule type="expression" dxfId="38" priority="45">
      <formula>MOD(ROW(),2)=0</formula>
    </cfRule>
  </conditionalFormatting>
  <conditionalFormatting sqref="T32:U32">
    <cfRule type="expression" dxfId="37" priority="42">
      <formula>MOD(ROW(),2)=0</formula>
    </cfRule>
  </conditionalFormatting>
  <conditionalFormatting sqref="R32">
    <cfRule type="expression" dxfId="36" priority="44">
      <formula>MOD(ROW(),2)=0</formula>
    </cfRule>
  </conditionalFormatting>
  <conditionalFormatting sqref="R32">
    <cfRule type="expression" dxfId="35" priority="43">
      <formula>MOD(ROW(),2)=0</formula>
    </cfRule>
  </conditionalFormatting>
  <conditionalFormatting sqref="Q4:Q35 Q37:Q58 Q60:Q71">
    <cfRule type="expression" dxfId="34" priority="38">
      <formula>MOD(ROW(),2)=0</formula>
    </cfRule>
  </conditionalFormatting>
  <conditionalFormatting sqref="P4:Q35 P37:Q58 P60:Q71">
    <cfRule type="expression" dxfId="33" priority="37">
      <formula>MOD(ROW(),2)=0</formula>
    </cfRule>
  </conditionalFormatting>
  <conditionalFormatting sqref="R77:T79">
    <cfRule type="expression" dxfId="32" priority="36">
      <formula>MOD(ROW(),2)=0</formula>
    </cfRule>
  </conditionalFormatting>
  <conditionalFormatting sqref="Q77:Q79">
    <cfRule type="expression" dxfId="31" priority="35">
      <formula>MOD(ROW(),2)=0</formula>
    </cfRule>
  </conditionalFormatting>
  <conditionalFormatting sqref="P77:Q79">
    <cfRule type="expression" dxfId="30" priority="34">
      <formula>MOD(ROW(),2)=0</formula>
    </cfRule>
  </conditionalFormatting>
  <conditionalFormatting sqref="A73:F73">
    <cfRule type="expression" dxfId="29" priority="33">
      <formula>MOD(ROW(),2)=0</formula>
    </cfRule>
  </conditionalFormatting>
  <conditionalFormatting sqref="A72:F72">
    <cfRule type="expression" dxfId="28" priority="32">
      <formula>MOD(ROW(),2)=0</formula>
    </cfRule>
  </conditionalFormatting>
  <conditionalFormatting sqref="G72:O73 Y72:Z73 R72:W73">
    <cfRule type="expression" dxfId="27" priority="31">
      <formula>MOD(ROW(),2)=0</formula>
    </cfRule>
  </conditionalFormatting>
  <conditionalFormatting sqref="Q72:Q73">
    <cfRule type="expression" dxfId="26" priority="30">
      <formula>MOD(ROW(),2)=0</formula>
    </cfRule>
  </conditionalFormatting>
  <conditionalFormatting sqref="P72:Q73">
    <cfRule type="expression" dxfId="25" priority="29">
      <formula>MOD(ROW(),2)=0</formula>
    </cfRule>
  </conditionalFormatting>
  <conditionalFormatting sqref="P36:Q36">
    <cfRule type="expression" dxfId="24" priority="18">
      <formula>MOD(ROW(),2)=0</formula>
    </cfRule>
  </conditionalFormatting>
  <conditionalFormatting sqref="A36:F36">
    <cfRule type="expression" dxfId="23" priority="27">
      <formula>MOD(ROW(),2)=0</formula>
    </cfRule>
  </conditionalFormatting>
  <conditionalFormatting sqref="P80:Q80">
    <cfRule type="expression" dxfId="22" priority="3">
      <formula>MOD(ROW(),2)=0</formula>
    </cfRule>
  </conditionalFormatting>
  <conditionalFormatting sqref="A59:F59">
    <cfRule type="expression" dxfId="21" priority="25">
      <formula>MOD(ROW(),2)=0</formula>
    </cfRule>
  </conditionalFormatting>
  <conditionalFormatting sqref="W59 Y59:Z59 G59:O59 R59:U59">
    <cfRule type="expression" dxfId="20" priority="24">
      <formula>MOD(ROW(),2)=0</formula>
    </cfRule>
  </conditionalFormatting>
  <conditionalFormatting sqref="V59">
    <cfRule type="expression" dxfId="19" priority="23">
      <formula>MOD(ROW(),2)=0</formula>
    </cfRule>
  </conditionalFormatting>
  <conditionalFormatting sqref="Q59">
    <cfRule type="expression" dxfId="18" priority="22">
      <formula>MOD(ROW(),2)=0</formula>
    </cfRule>
  </conditionalFormatting>
  <conditionalFormatting sqref="P59:Q59">
    <cfRule type="expression" dxfId="17" priority="21">
      <formula>MOD(ROW(),2)=0</formula>
    </cfRule>
  </conditionalFormatting>
  <conditionalFormatting sqref="Y36:Z36 G36:O36 R36:W36">
    <cfRule type="expression" dxfId="16" priority="20">
      <formula>MOD(ROW(),2)=0</formula>
    </cfRule>
  </conditionalFormatting>
  <conditionalFormatting sqref="Q36">
    <cfRule type="expression" dxfId="15" priority="19">
      <formula>MOD(ROW(),2)=0</formula>
    </cfRule>
  </conditionalFormatting>
  <conditionalFormatting sqref="Q80">
    <cfRule type="expression" dxfId="14" priority="4">
      <formula>MOD(ROW(),2)=0</formula>
    </cfRule>
  </conditionalFormatting>
  <conditionalFormatting sqref="F80">
    <cfRule type="expression" dxfId="13" priority="15">
      <formula>MOD(ROW(),2)=0</formula>
    </cfRule>
  </conditionalFormatting>
  <conditionalFormatting sqref="A80:E80">
    <cfRule type="expression" dxfId="12" priority="14">
      <formula>MOD(ROW(),2)=0</formula>
    </cfRule>
  </conditionalFormatting>
  <conditionalFormatting sqref="M80:O80 U80">
    <cfRule type="expression" dxfId="11" priority="13">
      <formula>MOD(ROW(),2)=0</formula>
    </cfRule>
  </conditionalFormatting>
  <conditionalFormatting sqref="V80:W80">
    <cfRule type="expression" dxfId="10" priority="12">
      <formula>MOD(ROW(),2)=0</formula>
    </cfRule>
  </conditionalFormatting>
  <conditionalFormatting sqref="G80">
    <cfRule type="expression" dxfId="9" priority="11">
      <formula>MOD(ROW(),2)=0</formula>
    </cfRule>
  </conditionalFormatting>
  <conditionalFormatting sqref="H80">
    <cfRule type="expression" dxfId="8" priority="10">
      <formula>MOD(ROW(),2)=0</formula>
    </cfRule>
  </conditionalFormatting>
  <conditionalFormatting sqref="Y80:Z80">
    <cfRule type="expression" dxfId="7" priority="9">
      <formula>MOD(ROW(),2)=0</formula>
    </cfRule>
  </conditionalFormatting>
  <conditionalFormatting sqref="J80">
    <cfRule type="expression" dxfId="6" priority="8">
      <formula>MOD(ROW(),2)=0</formula>
    </cfRule>
  </conditionalFormatting>
  <conditionalFormatting sqref="I80:J80">
    <cfRule type="expression" dxfId="5" priority="7">
      <formula>MOD(ROW(),2)=0</formula>
    </cfRule>
  </conditionalFormatting>
  <conditionalFormatting sqref="K80:L80">
    <cfRule type="expression" dxfId="4" priority="6">
      <formula>MOD(ROW(),2)=0</formula>
    </cfRule>
  </conditionalFormatting>
  <conditionalFormatting sqref="R80:T80">
    <cfRule type="expression" dxfId="3" priority="5">
      <formula>MOD(ROW(),2)=0</formula>
    </cfRule>
  </conditionalFormatting>
  <conditionalFormatting sqref="F65">
    <cfRule type="expression" dxfId="2" priority="2">
      <formula>MOD(ROW(),2)=0</formula>
    </cfRule>
  </conditionalFormatting>
  <conditionalFormatting sqref="A65:E65">
    <cfRule type="expression" dxfId="1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2026-08-05T10:17:55Z</dcterms:modified>
</cp:coreProperties>
</file>